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L1 EMI and the cost of a longer" sheetId="2" state="visible" r:id="rId4"/>
    <sheet name="L2 The amortisation schedule" sheetId="3" state="visible" r:id="rId5"/>
    <sheet name="L3 Goals, SIPs and compounding" sheetId="4" state="visible" r:id="rId6"/>
    <sheet name="L4 NPV, IRR and payback" sheetId="5" state="visible" r:id="rId7"/>
    <sheet name="L5 Irregular dates — XNPV and X" sheetId="6" state="visible" r:id="rId8"/>
    <sheet name="L6 Boss round — prepay or inves" sheetId="7" state="visible" r:id="rId9"/>
    <sheet name="Solu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<sst xmlns="http://schemas.openxmlformats.org/spreadsheetml/2006/main" count="474" uniqueCount="339">
  <si>
    <t xml:space="preserve">EXCEL LAB  ·  07 LOANS, SIPS &amp; INVESTMENTS</t>
  </si>
  <si>
    <t xml:space="preserve">The money functions, properly: EMI and the true cost of a long loan, a full amortisation schedule that proves itself to zero, SIP and goal planning, NPV/IRR project appraisal, XIRR on real dates, and a prepay-or-invest boss round with a break-even rate.</t>
  </si>
  <si>
    <t xml:space="preserve">HOW TO USE THIS WORKBOOK</t>
  </si>
  <si>
    <t xml:space="preserve">Work through the lessons in order — each one is harder than the last (★ to ★★★★★).</t>
  </si>
  <si>
    <t xml:space="preserve">Read the Concept box at the top of each lesson, then look at the data.</t>
  </si>
  <si>
    <t xml:space="preserve">Type a FORMULA in each yellow cell. The Check column marks it ✓ or ✗ instantly.</t>
  </si>
  <si>
    <t xml:space="preserve">Blue cells are inputs. Change them and watch every answer update — that is how you know your formula is really right.</t>
  </si>
  <si>
    <t xml:space="preserve">Stuck? Read the Hint. Still stuck? The Solutions sheet shows the model answer and other ways to do it.</t>
  </si>
  <si>
    <t xml:space="preserve">COLOUR CODE</t>
  </si>
  <si>
    <t xml:space="preserve">Yellow — your answer goes here (always a formula)</t>
  </si>
  <si>
    <t xml:space="preserve">Blue — an input you can change</t>
  </si>
  <si>
    <t xml:space="preserve">✓ Correct — marked automatically</t>
  </si>
  <si>
    <t xml:space="preserve">✗ Check again — the result does not match</t>
  </si>
  <si>
    <t xml:space="preserve">✎ You typed a value — replace it with a formula</t>
  </si>
  <si>
    <t xml:space="preserve">#</t>
  </si>
  <si>
    <t xml:space="preserve">Lesson</t>
  </si>
  <si>
    <t xml:space="preserve">Difficulty</t>
  </si>
  <si>
    <t xml:space="preserve">Tasks</t>
  </si>
  <si>
    <t xml:space="preserve">Solved</t>
  </si>
  <si>
    <t xml:space="preserve">Progress</t>
  </si>
  <si>
    <t xml:space="preserve">L1 EMI and the cost of a longer</t>
  </si>
  <si>
    <t xml:space="preserve">★★☆☆☆</t>
  </si>
  <si>
    <t xml:space="preserve">L2 The amortisation schedule</t>
  </si>
  <si>
    <t xml:space="preserve">★★★☆☆</t>
  </si>
  <si>
    <t xml:space="preserve">L3 Goals, SIPs and compounding</t>
  </si>
  <si>
    <t xml:space="preserve">L4 NPV, IRR and payback</t>
  </si>
  <si>
    <t xml:space="preserve">★★★★☆</t>
  </si>
  <si>
    <t xml:space="preserve">L5 Irregular dates — XNPV and X</t>
  </si>
  <si>
    <t xml:space="preserve">L6 Boss round — prepay or inves</t>
  </si>
  <si>
    <t xml:space="preserve">★★★★★</t>
  </si>
  <si>
    <t xml:space="preserve">OVERALL</t>
  </si>
  <si>
    <t xml:space="preserve">Excel Lab — created by Pranay  ·  excel-lab-by-pranay.vercel.app  ·  free for every student</t>
  </si>
  <si>
    <t xml:space="preserve">LESSON 1  ·  EMI AND THE COST OF A LONGER LOAN</t>
  </si>
  <si>
    <t xml:space="preserve">★★☆☆☆   Eight home-loan offers, one formula, and the number nobody shows you: total repaid.</t>
  </si>
  <si>
    <t xml:space="preserve">CONCEPT  ·  PMT(rate_per_period, number_of_periods, present_value) returns the level instalment on a loan. Three rules decide whether you get it right: the rate must match the period (annual ÷ 12 for a monthly EMI), the periods must be counted the same way (years × 12), and the sign must be handled — PMT returns a negative number because money leaves you, so put a minus in front to read it as a positive EMI.</t>
  </si>
  <si>
    <t xml:space="preserve">Loan amount</t>
  </si>
  <si>
    <t xml:space="preserve">Bank</t>
  </si>
  <si>
    <t xml:space="preserve">Rate p.a.</t>
  </si>
  <si>
    <t xml:space="preserve">Years</t>
  </si>
  <si>
    <t xml:space="preserve">EMI</t>
  </si>
  <si>
    <t xml:space="preserve">Total repaid</t>
  </si>
  <si>
    <t xml:space="preserve">Task</t>
  </si>
  <si>
    <t xml:space="preserve">Your answer</t>
  </si>
  <si>
    <t xml:space="preserve">Check</t>
  </si>
  <si>
    <t xml:space="preserve">Hint</t>
  </si>
  <si>
    <t xml:space="preserve">State Bank</t>
  </si>
  <si>
    <t xml:space="preserve">Fill EMI for every bank, rounded to whole rupees, on the loan amount in B6.</t>
  </si>
  <si>
    <t xml:space="preserve">→ fill column D</t>
  </si>
  <si>
    <t xml:space="preserve">=ROUND(-PMT(B9/12,C9*12,$B$6),0) — divide the rate by 12, multiply the years by 12, lock B6.</t>
  </si>
  <si>
    <t xml:space="preserve">HDFC</t>
  </si>
  <si>
    <t xml:space="preserve">Fill Total repaid = EMI × Years × 12.</t>
  </si>
  <si>
    <t xml:space="preserve">→ fill column E</t>
  </si>
  <si>
    <t xml:space="preserve">=D9*C9*12</t>
  </si>
  <si>
    <t xml:space="preserve">ICICI</t>
  </si>
  <si>
    <t xml:space="preserve">The lowest EMI on offer.</t>
  </si>
  <si>
    <t xml:space="preserve">MIN over your EMI column.</t>
  </si>
  <si>
    <t xml:space="preserve">Axis</t>
  </si>
  <si>
    <t xml:space="preserve">Which bank has the lowest EMI?</t>
  </si>
  <si>
    <t xml:space="preserve">MIN, then MATCH, then INDEX.</t>
  </si>
  <si>
    <t xml:space="preserve">Kotak</t>
  </si>
  <si>
    <t xml:space="preserve">Which bank costs the LEAST in total repayment?</t>
  </si>
  <si>
    <t xml:space="preserve">Same pattern on the Total repaid column.</t>
  </si>
  <si>
    <t xml:space="preserve">Bank of Baroda</t>
  </si>
  <si>
    <t xml:space="preserve">The gap between the most expensive and the cheapest offer, in total repayment.</t>
  </si>
  <si>
    <t xml:space="preserve">MAX minus MIN on the Total repaid column.</t>
  </si>
  <si>
    <t xml:space="preserve">PNB Housing</t>
  </si>
  <si>
    <t xml:space="preserve">How many offers have an EMI below ₹25,000?</t>
  </si>
  <si>
    <t xml:space="preserve">COUNTIF(range,"&lt;25000").</t>
  </si>
  <si>
    <t xml:space="preserve">LIC Housing</t>
  </si>
  <si>
    <t xml:space="preserve">LESSON 2  ·  THE AMORTISATION SCHEDULE</t>
  </si>
  <si>
    <t xml:space="preserve">★★★☆☆   Build the table the bank will not give you — and prove the loan ends at exactly zero.</t>
  </si>
  <si>
    <t xml:space="preserve">CONCEPT  ·  Every EMI splits into interest and principal. Interest for a month = opening balance × monthly rate. Principal = EMI − interest. Closing = opening − principal, and that closing becomes next month's opening. That chain is the schedule. IPMT and PPMT give the same two pieces directly for any month, and FV gives the balance after any number of payments — build the chain first so you understand it, then learn the shortcuts.</t>
  </si>
  <si>
    <t xml:space="preserve">Annual rate</t>
  </si>
  <si>
    <t xml:space="preserve">Month</t>
  </si>
  <si>
    <t xml:space="preserve">Opening</t>
  </si>
  <si>
    <t xml:space="preserve">Interest</t>
  </si>
  <si>
    <t xml:space="preserve">Principal</t>
  </si>
  <si>
    <t xml:space="preserve">Closing</t>
  </si>
  <si>
    <t xml:space="preserve">The EMI on this loan. Do NOT round it — the schedule must tie to the paisa.</t>
  </si>
  <si>
    <t xml:space="preserve">=-PMT($E$6/12,$H$6*12,$B$6)</t>
  </si>
  <si>
    <t xml:space="preserve">Fill Opening: the loan amount in month 1, then last month's closing balance.</t>
  </si>
  <si>
    <t xml:space="preserve">→ fill column B</t>
  </si>
  <si>
    <t xml:space="preserve">Row 1 points at the loan amount. Row 2 onwards points at the Closing cell one row above.</t>
  </si>
  <si>
    <t xml:space="preserve">Fill Interest = opening balance × monthly rate.</t>
  </si>
  <si>
    <t xml:space="preserve">→ fill column C</t>
  </si>
  <si>
    <t xml:space="preserve">=B9*$E$6/12</t>
  </si>
  <si>
    <t xml:space="preserve">Fill Principal = EMI − Interest. Point at your EMI answer so one cell drives the whole table.</t>
  </si>
  <si>
    <t xml:space="preserve">=$I$9-C9 — lock the EMI cell with $ so it does not move as you fill down.</t>
  </si>
  <si>
    <t xml:space="preserve">Fill Closing = Opening − Principal.</t>
  </si>
  <si>
    <t xml:space="preserve">=B9-D9</t>
  </si>
  <si>
    <t xml:space="preserve">Total interest paid over the whole loan.</t>
  </si>
  <si>
    <t xml:space="preserve">SUM your Interest column.</t>
  </si>
  <si>
    <t xml:space="preserve">The closing balance in the final month. It must be zero.</t>
  </si>
  <si>
    <t xml:space="preserve">Just point at the last cell of your Closing column.</t>
  </si>
  <si>
    <t xml:space="preserve">In which month does the PRINCIPAL part first become larger than the INTEREST part?</t>
  </si>
  <si>
    <t xml:space="preserve">Count the months where interest is still the bigger half, then add one.</t>
  </si>
  <si>
    <t xml:space="preserve">LESSON 3  ·  GOALS, SIPS AND COMPOUNDING</t>
  </si>
  <si>
    <t xml:space="preserve">★★★☆☆   Work backwards from what you want to what you must save every month.</t>
  </si>
  <si>
    <t xml:space="preserve">CONCEPT  ·  FV(rate, periods, payment) grows a stream of savings. PMT(rate, periods, 0, target) reverses it: how much per month to land on a target. NPER answers 'how long', RATE answers 'what return would I need'. All four are the same equation rearranged, and all four need the sign convention: money you pay in is negative, money you get back is positive.</t>
  </si>
  <si>
    <t xml:space="preserve">Expected return p.a.</t>
  </si>
  <si>
    <t xml:space="preserve">Goal</t>
  </si>
  <si>
    <t xml:space="preserve">Target</t>
  </si>
  <si>
    <t xml:space="preserve">Monthly SIP</t>
  </si>
  <si>
    <t xml:space="preserve">Emergency fund</t>
  </si>
  <si>
    <t xml:space="preserve">Fill Monthly SIP: the amount to invest every month to reach each target, at the return in B6.</t>
  </si>
  <si>
    <t xml:space="preserve">=-PMT($B$6/12,C9*12,0,B9) — the 0 is today's value (you start from nothing), B9 is the future value you want.</t>
  </si>
  <si>
    <t xml:space="preserve">New laptop</t>
  </si>
  <si>
    <t xml:space="preserve">What is a ₹10,000 monthly SIP worth after 15 years at the return in B6?</t>
  </si>
  <si>
    <t xml:space="preserve">=FV($B$6/12,15*12,-10000) — the payment is negative because you pay it in.</t>
  </si>
  <si>
    <t xml:space="preserve">Higher studies</t>
  </si>
  <si>
    <t xml:space="preserve">Of that value, how much is growth rather than your own money?</t>
  </si>
  <si>
    <t xml:space="preserve">Future value minus (10,000 × 180 months).</t>
  </si>
  <si>
    <t xml:space="preserve">Car down payment</t>
  </si>
  <si>
    <t xml:space="preserve">How many MONTHS to reach ₹25,00,000 saving ₹15,000 a month? Round up to a whole month.</t>
  </si>
  <si>
    <t xml:space="preserve">NPER(rate, payment, present value, future value), then ROUNDUP.</t>
  </si>
  <si>
    <t xml:space="preserve">House down payment</t>
  </si>
  <si>
    <t xml:space="preserve">What ANNUAL return would turn ₹5,000 a month for 10 years into ₹12,00,000?</t>
  </si>
  <si>
    <t xml:space="preserve">RATE gives the MONTHLY rate — multiply by 12.</t>
  </si>
  <si>
    <t xml:space="preserve">Wedding</t>
  </si>
  <si>
    <t xml:space="preserve">What single lump sum today becomes ₹50,00,000 in 12 years at the return in B6?</t>
  </si>
  <si>
    <t xml:space="preserve">=-PV($B$6,12,0,5000000) — annual rate and annual periods this time, so no ÷12.</t>
  </si>
  <si>
    <t xml:space="preserve">Retirement corpus</t>
  </si>
  <si>
    <t xml:space="preserve">Total of all the monthly SIPs in the table.</t>
  </si>
  <si>
    <t xml:space="preserve">SUM your SIP column.</t>
  </si>
  <si>
    <t xml:space="preserve">Which goal needs the largest monthly SIP?</t>
  </si>
  <si>
    <t xml:space="preserve">MAX, MATCH, INDEX.</t>
  </si>
  <si>
    <t xml:space="preserve">LESSON 4  ·  NPV, IRR AND PAYBACK</t>
  </si>
  <si>
    <t xml:space="preserve">★★★★☆   Appraise a project the way a finance committee does.</t>
  </si>
  <si>
    <t xml:space="preserve">CONCEPT  ·  NPV discounts future cash flows back to today. Excel's NPV assumes the FIRST value in the range is one period away, so a year-0 outflow must be ADDED separately: =NPV(rate, year1:yearN) + year0. IRR is the discount rate that makes NPV exactly zero — it takes the whole range including year 0. Payback ignores the time value of money entirely, which is why it is a sanity check, not a decision.</t>
  </si>
  <si>
    <t xml:space="preserve">Discount rate</t>
  </si>
  <si>
    <t xml:space="preserve">Year</t>
  </si>
  <si>
    <t xml:space="preserve">Cash flow</t>
  </si>
  <si>
    <t xml:space="preserve">Cumulative</t>
  </si>
  <si>
    <t xml:space="preserve">Fill Cumulative: the running total of cash flows from year 0 down.</t>
  </si>
  <si>
    <t xml:space="preserve">=SUM($B$9:B9) — lock only the START of the range so it grows as you fill down.</t>
  </si>
  <si>
    <t xml:space="preserve">NPV of the project at the discount rate in B6.</t>
  </si>
  <si>
    <t xml:space="preserve">=NPV($B$6,B10:B16)+B9 — years 1 to 7 inside NPV, year 0 added outside.</t>
  </si>
  <si>
    <t xml:space="preserve">The project's IRR.</t>
  </si>
  <si>
    <t xml:space="preserve">=IRR(B9:B16) — the whole range, year 0 included.</t>
  </si>
  <si>
    <t xml:space="preserve">In which YEAR does the cumulative cash flow first turn positive?</t>
  </si>
  <si>
    <t xml:space="preserve">Count how many years are still negative — that count is the payback year.</t>
  </si>
  <si>
    <t xml:space="preserve">Present value of the INFLOWS only (years 1 to 7).</t>
  </si>
  <si>
    <t xml:space="preserve">The same NPV, without adding year 0.</t>
  </si>
  <si>
    <t xml:space="preserve">Profitability index = PV of inflows ÷ the initial outflow (as a positive number).</t>
  </si>
  <si>
    <t xml:space="preserve">PV of inflows ÷ −B9.</t>
  </si>
  <si>
    <t xml:space="preserve">Proof: NPV calculated AT the IRR. It must be zero.</t>
  </si>
  <si>
    <t xml:space="preserve">Replace the discount rate in your NPV formula with IRR(B9:B16).</t>
  </si>
  <si>
    <t xml:space="preserve">NPV if every inflow came in 10% lower than forecast.</t>
  </si>
  <si>
    <t xml:space="preserve">Multiply the inflow PV by 0.9, then add year 0.</t>
  </si>
  <si>
    <t xml:space="preserve">LESSON 5  ·  IRREGULAR DATES — XNPV AND XIRR</t>
  </si>
  <si>
    <t xml:space="preserve">★★★★☆   Real money does not arrive on 31 March. Value it on the dates it actually moved.</t>
  </si>
  <si>
    <t xml:space="preserve">CONCEPT  ·  NPV and IRR assume every cash flow is exactly one period apart. Real investments are not like that. XNPV(rate, values, dates) and XIRR(values, dates) take the actual dates and discount on a 365-day basis, so a payment two weeks late is worth slightly less. Both need at least one negative and one positive value, and the dates must line up with the values one for one.</t>
  </si>
  <si>
    <t xml:space="preserve">Date</t>
  </si>
  <si>
    <t xml:space="preserve">XNPV of the whole series at the rate in B6.</t>
  </si>
  <si>
    <t xml:space="preserve">=XNPV($B$6,B9:B18,A9:A18) — values first, dates second.</t>
  </si>
  <si>
    <t xml:space="preserve">The XIRR of the series — the annualised return actually earned.</t>
  </si>
  <si>
    <t xml:space="preserve">=XIRR(B9:B18,A9:A18) — values first, dates second, no rate needed.</t>
  </si>
  <si>
    <t xml:space="preserve">What would plain IRR say if you ignored the dates? (You are meant to see the difference.)</t>
  </si>
  <si>
    <t xml:space="preserve">=IRR(B9:B18).</t>
  </si>
  <si>
    <t xml:space="preserve">Total invested (the sum of the negative flows).</t>
  </si>
  <si>
    <t xml:space="preserve">SUMIF(range,"&lt;0") — with no third argument it sums the range it tested.</t>
  </si>
  <si>
    <t xml:space="preserve">Total received (the sum of the positive flows).</t>
  </si>
  <si>
    <t xml:space="preserve">SUMIF(range,"&gt;0").</t>
  </si>
  <si>
    <t xml:space="preserve">Absolute return: total received ÷ total invested, minus 1.</t>
  </si>
  <si>
    <t xml:space="preserve">Received ÷ invested − 1. Remember the invested total is negative, so negate it.</t>
  </si>
  <si>
    <t xml:space="preserve">How many days span the first and last cash flow?</t>
  </si>
  <si>
    <t xml:space="preserve">Dates are just numbers — subtract them.</t>
  </si>
  <si>
    <t xml:space="preserve">Proof: XNPV calculated at the XIRR. It must be zero.</t>
  </si>
  <si>
    <t xml:space="preserve">Feed the XIRR straight into XNPV as the rate.</t>
  </si>
  <si>
    <t xml:space="preserve">LESSON 6  ·  BOSS ROUND — PREPAY OR INVEST</t>
  </si>
  <si>
    <t xml:space="preserve">★★★★★   The ₹3 lakh question, answered with arithmetic instead of opinions.</t>
  </si>
  <si>
    <t xml:space="preserve">CONCEPT  ·  You have a surplus. Put it into the loan and you save interest at the loan rate, guaranteed and tax-free. Invest it and you might earn more, with risk. The honest comparison is: rupees of interest saved versus rupees of investment gain, over the SAME number of months. Everything here comes from five blue cells — change any of them and the recommendation changes with it.</t>
  </si>
  <si>
    <t xml:space="preserve">Outstanding</t>
  </si>
  <si>
    <t xml:space="preserve">Months left</t>
  </si>
  <si>
    <t xml:space="preserve">Invest return</t>
  </si>
  <si>
    <t xml:space="preserve">Surplus</t>
  </si>
  <si>
    <t xml:space="preserve">Prepay amount</t>
  </si>
  <si>
    <t xml:space="preserve">New tenure (months)</t>
  </si>
  <si>
    <t xml:space="preserve">Months saved</t>
  </si>
  <si>
    <t xml:space="preserve">Interest saved</t>
  </si>
  <si>
    <t xml:space="preserve">The EMI on the outstanding loan.</t>
  </si>
  <si>
    <t xml:space="preserve">=-PMT($E$6/12,$H$6,$B$6) — months are already months, so no ×12 here.</t>
  </si>
  <si>
    <t xml:space="preserve">Fill New tenure: how many months the loan would run if you prepaid each amount today and kept the same EMI.</t>
  </si>
  <si>
    <t xml:space="preserve">=NPER($E$6/12,-$H$9,$B$6-A9) — the payment is negative, the balance is positive.</t>
  </si>
  <si>
    <t xml:space="preserve">Fill Months saved = original months left − new tenure.</t>
  </si>
  <si>
    <t xml:space="preserve">=$H$6-B9</t>
  </si>
  <si>
    <t xml:space="preserve">Fill Interest saved = EMI × months saved − the prepayment.</t>
  </si>
  <si>
    <t xml:space="preserve">=$I$9*C9-A9 — you stop paying the EMI for those months, but you did hand over the prepayment.</t>
  </si>
  <si>
    <t xml:space="preserve">Interest saved if you prepay exactly the surplus in N6.</t>
  </si>
  <si>
    <t xml:space="preserve">The same formula as the column, with N6 in place of the prepayment amount.</t>
  </si>
  <si>
    <t xml:space="preserve">What the surplus would grow to if you INVESTED it instead, for the original months left.</t>
  </si>
  <si>
    <t xml:space="preserve">=FV($K$6/12,$H$6,0,-$N$6) — no monthly addition, just one lump sum compounding.</t>
  </si>
  <si>
    <t xml:space="preserve">The investment GAIN (future value minus the surplus you put in).</t>
  </si>
  <si>
    <t xml:space="preserve">Future value − N6.</t>
  </si>
  <si>
    <t xml:space="preserve">The verdict: "Prepay" if the interest saved beats the investment gain, otherwise "Invest".</t>
  </si>
  <si>
    <t xml:space="preserve">IF, comparing your answer to task 5 against your answer to task 7.</t>
  </si>
  <si>
    <t xml:space="preserve">The break-even investment return (annual) at which both options are worth exactly the same.</t>
  </si>
  <si>
    <t xml:space="preserve">RATE(months, 0, −surplus, surplus + interest saved) × 12 — what return turns the surplus into the same gain?</t>
  </si>
  <si>
    <t xml:space="preserve">SOLUTIONS &amp; OTHER WAYS — open only after you have tried</t>
  </si>
  <si>
    <t xml:space="preserve">Model answers are shapes, not the only answer. If your formula gives the same result, it is right — compare the logic.</t>
  </si>
  <si>
    <t xml:space="preserve">L1 EMI and the cost of a longer   ★★</t>
  </si>
  <si>
    <t xml:space="preserve">Answer cell</t>
  </si>
  <si>
    <t xml:space="preserve">Model formula</t>
  </si>
  <si>
    <t xml:space="preserve">Other ways</t>
  </si>
  <si>
    <t xml:space="preserve">Why it works</t>
  </si>
  <si>
    <t xml:space="preserve">column D</t>
  </si>
  <si>
    <t xml:space="preserve">=ROUND(-PMT(B9/12,C9*12,$B$6),0)   (row 9, then fill down)</t>
  </si>
  <si>
    <t xml:space="preserve">=ROUND(PMT(B9/12,C9*12,-$B$6),0) — a negative loan amount flips the sign instead
=ROUND($B$6*(B9/12)/(1-(1+B9/12)^(-C9*12)),0) — the textbook EMI formula, if you want to see the machinery</t>
  </si>
  <si>
    <t xml:space="preserve">The classic mistake is PMT(B9, C9, ...) with an annual rate and a count of years. It gives an answer, and the answer is nonsense.</t>
  </si>
  <si>
    <t xml:space="preserve">column E</t>
  </si>
  <si>
    <t xml:space="preserve">=D9*C9*12   (row 9, then fill down)</t>
  </si>
  <si>
    <t xml:space="preserve">The EMI is what you can afford. This is what it actually costs.</t>
  </si>
  <si>
    <t xml:space="preserve">I11</t>
  </si>
  <si>
    <t xml:space="preserve">=MIN($D$9:$D$16)</t>
  </si>
  <si>
    <t xml:space="preserve">=SMALL(D9:D16,1)</t>
  </si>
  <si>
    <t xml:space="preserve">I12</t>
  </si>
  <si>
    <t xml:space="preserve">=INDEX($A$9:$A$16,MATCH(MIN($D$9:$D$16),$D$9:$D$16,0))</t>
  </si>
  <si>
    <t xml:space="preserve">=XLOOKUP(MIN(D9:D16),D9:D16,A9:A16)</t>
  </si>
  <si>
    <t xml:space="preserve">The lowest EMI and the cheapest loan are almost never the same offer — look at the next two answers.</t>
  </si>
  <si>
    <t xml:space="preserve">I13</t>
  </si>
  <si>
    <t xml:space="preserve">=INDEX($A$9:$A$16,MATCH(MIN($E$9:$E$16),$E$9:$E$16,0))</t>
  </si>
  <si>
    <t xml:space="preserve">A 30-year loan at a lower rate can still cost far more than a 15-year loan at a higher one.</t>
  </si>
  <si>
    <t xml:space="preserve">I14</t>
  </si>
  <si>
    <t xml:space="preserve">=MAX($E$9:$E$16)-MIN($E$9:$E$16)</t>
  </si>
  <si>
    <t xml:space="preserve">This is the number worth negotiating over.</t>
  </si>
  <si>
    <t xml:space="preserve">I15</t>
  </si>
  <si>
    <t xml:space="preserve">=COUNTIF($D$9:$D$16,"&lt;25000")</t>
  </si>
  <si>
    <t xml:space="preserve">L2 The amortisation schedule   ★★★</t>
  </si>
  <si>
    <t xml:space="preserve">I9</t>
  </si>
  <si>
    <t xml:space="preserve">Round the EMI and the last month will not land on zero. Banks solve that by adjusting the final instalment.</t>
  </si>
  <si>
    <t xml:space="preserve">column B</t>
  </si>
  <si>
    <t xml:space="preserve">=$B$6 in the first row, then =E9 (the row above's closing) filled down</t>
  </si>
  <si>
    <t xml:space="preserve">=-FV($E$6/12,A9-1,PMT($E$6/12,$H$6*12,$B$6),$B$6) — the closed form: balance after A9−1 payments, no chain at all</t>
  </si>
  <si>
    <t xml:space="preserve">A chain is easy to read and easy to break. A closed form survives sorting, filtering and inserted rows.</t>
  </si>
  <si>
    <t xml:space="preserve">column C</t>
  </si>
  <si>
    <t xml:space="preserve">=B9*$E$6/12   (row 9, then fill down)</t>
  </si>
  <si>
    <t xml:space="preserve">=-IPMT($E$6/12,A9,$H$6*12,$B$6) — the interest part of instalment number A9</t>
  </si>
  <si>
    <t xml:space="preserve">Interest is charged on what you still owe, which is why it shrinks every month.</t>
  </si>
  <si>
    <t xml:space="preserve">=$I$9-C9   (row 9, then fill down)</t>
  </si>
  <si>
    <t xml:space="preserve">=-PPMT($E$6/12,A9,$H$6*12,$B$6)</t>
  </si>
  <si>
    <t xml:space="preserve">Never retype a number that already exists in a cell. Point at it, and one correction fixes everything.</t>
  </si>
  <si>
    <t xml:space="preserve">=B9-D9   (row 9, then fill down)</t>
  </si>
  <si>
    <t xml:space="preserve">=B9+C9-$I$9 — opening plus interest minus EMI says the same thing</t>
  </si>
  <si>
    <t xml:space="preserve">=SUM($C$9:$C$32)</t>
  </si>
  <si>
    <t xml:space="preserve">=-CUMIPMT($E$6/12,$H$6*12,$B$6,1,$H$6*12,0) — cumulative interest between any two instalment numbers
=$I$9*$H$6*12-$B$6 — total paid minus the amount borrowed</t>
  </si>
  <si>
    <t xml:space="preserve">=E32</t>
  </si>
  <si>
    <t xml:space="preserve">If it is not zero, your chain has a broken link — and you now know exactly where to look.</t>
  </si>
  <si>
    <t xml:space="preserve">I16</t>
  </si>
  <si>
    <t xml:space="preserve">=SUMPRODUCT(--($C$9:$C$32&gt;=$D$9:$D$32))+1</t>
  </si>
  <si>
    <t xml:space="preserve">On a 20-year home loan that crossover takes years — which is the real argument for prepaying early.</t>
  </si>
  <si>
    <t xml:space="preserve">L3 Goals, SIPs and compounding   ★★★</t>
  </si>
  <si>
    <t xml:space="preserve">=-PMT($B$6/12,C9*12,0,B9)   (row 9, then fill down)</t>
  </si>
  <si>
    <t xml:space="preserve">=B9*($B$6/12)/((1+$B$6/12)^(C9*12)-1) — the future-value-of-an-annuity formula, rearranged</t>
  </si>
  <si>
    <t xml:space="preserve">The third argument of PMT is the present value. Leave it 0 for a pure SIP; use it when you already have a corpus.</t>
  </si>
  <si>
    <t xml:space="preserve">H10</t>
  </si>
  <si>
    <t xml:space="preserve">=FV($B$6/12,15*12,-10000)</t>
  </si>
  <si>
    <t xml:space="preserve">H11</t>
  </si>
  <si>
    <t xml:space="preserve">=FV($B$6/12,15*12,-10000)-10000*15*12</t>
  </si>
  <si>
    <t xml:space="preserve">Eighteen lakh in, and the rest is compounding. That difference is the entire argument for starting early.</t>
  </si>
  <si>
    <t xml:space="preserve">H12</t>
  </si>
  <si>
    <t xml:space="preserve">=ROUNDUP(NPER($B$6/12,-15000,0,2500000),0)</t>
  </si>
  <si>
    <t xml:space="preserve">H13</t>
  </si>
  <si>
    <t xml:space="preserve">=RATE(120,-5000,0,1200000)*12</t>
  </si>
  <si>
    <t xml:space="preserve">=(1+RATE(120,-5000,0,1200000))^12-1 — the compounded annual equivalent, slightly higher</t>
  </si>
  <si>
    <t xml:space="preserve">RATE returns the rate for one period. Forgetting to annualise it is the most common error in this whole family.</t>
  </si>
  <si>
    <t xml:space="preserve">H14</t>
  </si>
  <si>
    <t xml:space="preserve">=-PV($B$6,12,0,5000000)</t>
  </si>
  <si>
    <t xml:space="preserve">H15</t>
  </si>
  <si>
    <t xml:space="preserve">=SUM($D$9:$D$15)</t>
  </si>
  <si>
    <t xml:space="preserve">This is the monthly number that decides whether the plan is real or a wish list.</t>
  </si>
  <si>
    <t xml:space="preserve">H16</t>
  </si>
  <si>
    <t xml:space="preserve">=INDEX($A$9:$A$15,MATCH(MAX($D$9:$D$15),$D$9:$D$15,0))</t>
  </si>
  <si>
    <t xml:space="preserve">Not always the biggest target — a short horizon is far more expensive than a big number.</t>
  </si>
  <si>
    <t xml:space="preserve">L4 NPV, IRR and payback   ★★★★</t>
  </si>
  <si>
    <t xml:space="preserve">=SUM($B$9:B9)   (row 9, then fill down)</t>
  </si>
  <si>
    <t xml:space="preserve">=C8+B9 with a 0 above — the chain version
=SUMIF($A$9:A9,"&lt;="&amp;A9,$B$9:B9) — overkill, but it works</t>
  </si>
  <si>
    <t xml:space="preserve">An expanding range is the cleanest running total in Excel. The $ goes on the first cell only.</t>
  </si>
  <si>
    <t xml:space="preserve">G10</t>
  </si>
  <si>
    <t xml:space="preserve">=NPV($B$6,B10:B16)+B9</t>
  </si>
  <si>
    <t xml:space="preserve">=SUMPRODUCT(B9:B16/(1+$B$6)^A9:A16) — discount each year yourself; this one is unambiguous about timing</t>
  </si>
  <si>
    <t xml:space="preserve">Putting year 0 inside NPV discounts it by a year it never waited. It is the single most common NPV bug.</t>
  </si>
  <si>
    <t xml:space="preserve">G11</t>
  </si>
  <si>
    <t xml:space="preserve">=IRR($B$9:$B$16)</t>
  </si>
  <si>
    <t xml:space="preserve">IRR needs at least one negative and one positive flow, or it returns #NUM!.</t>
  </si>
  <si>
    <t xml:space="preserve">G12</t>
  </si>
  <si>
    <t xml:space="preserve">=COUNTIF($C$9:$C$16,"&lt;0")</t>
  </si>
  <si>
    <t xml:space="preserve">=MATCH(TRUE,INDEX(C9:C16&gt;0,0),0)-1</t>
  </si>
  <si>
    <t xml:space="preserve">G13</t>
  </si>
  <si>
    <t xml:space="preserve">=NPV($B$6,B10:B16)</t>
  </si>
  <si>
    <t xml:space="preserve">G14</t>
  </si>
  <si>
    <t xml:space="preserve">=NPV($B$6,B10:B16)/-B9</t>
  </si>
  <si>
    <t xml:space="preserve">Above 1.0 the project creates value. It is NPV expressed per rupee invested, which lets you rank projects of different sizes.</t>
  </si>
  <si>
    <t xml:space="preserve">G15</t>
  </si>
  <si>
    <t xml:space="preserve">=NPV(IRR($B$9:$B$16),B10:B16)+B9</t>
  </si>
  <si>
    <t xml:space="preserve">This is the definition of IRR, and proving it once means you will never confuse the two again.</t>
  </si>
  <si>
    <t xml:space="preserve">G16</t>
  </si>
  <si>
    <t xml:space="preserve">=NPV($B$6,B10:B16)*0.9+B9</t>
  </si>
  <si>
    <t xml:space="preserve">One line of sensitivity analysis is worth ten pages of forecast.</t>
  </si>
  <si>
    <t xml:space="preserve">L5 Irregular dates — XNPV and X   ★★★★</t>
  </si>
  <si>
    <t xml:space="preserve">F9</t>
  </si>
  <si>
    <t xml:space="preserve">=XNPV($B$6,$B$9:$B$18,$A$9:$A$18)</t>
  </si>
  <si>
    <t xml:space="preserve">XNPV discounts from the FIRST date in the list, not from today. Add a zero-value row at today's date if you want it valued as of now.</t>
  </si>
  <si>
    <t xml:space="preserve">F10</t>
  </si>
  <si>
    <t xml:space="preserve">=XIRR($B$9:$B$18,$A$9:$A$18)</t>
  </si>
  <si>
    <t xml:space="preserve">=XIRR(B9:B18,A9:A18,0.2) — a starting guess, if Excel returns #NUM! on a difficult series</t>
  </si>
  <si>
    <t xml:space="preserve">F11</t>
  </si>
  <si>
    <t xml:space="preserve">=IRR($B$9:$B$18)</t>
  </si>
  <si>
    <t xml:space="preserve">IRR treats ten irregular dates as ten equal periods. It answers a question nobody asked.</t>
  </si>
  <si>
    <t xml:space="preserve">F12</t>
  </si>
  <si>
    <t xml:space="preserve">=SUMIF($B$9:$B$18,"&lt;0")</t>
  </si>
  <si>
    <t xml:space="preserve">F13</t>
  </si>
  <si>
    <t xml:space="preserve">=SUMIF($B$9:$B$18,"&gt;0")</t>
  </si>
  <si>
    <t xml:space="preserve">F14</t>
  </si>
  <si>
    <t xml:space="preserve">=SUMIF($B$9:$B$18,"&gt;0")/-SUMIF($B$9:$B$18,"&lt;0")-1</t>
  </si>
  <si>
    <t xml:space="preserve">Absolute return says nothing about time. XIRR is what you compare against a fixed deposit.</t>
  </si>
  <si>
    <t xml:space="preserve">F15</t>
  </si>
  <si>
    <t xml:space="preserve">=MAX($A$9:$A$18)-MIN($A$9:$A$18)</t>
  </si>
  <si>
    <t xml:space="preserve">=DAYS(MAX(A9:A18),MIN(A9:A18))</t>
  </si>
  <si>
    <t xml:space="preserve">F16</t>
  </si>
  <si>
    <t xml:space="preserve">=XNPV(XIRR($B$9:$B$18,$A$9:$A$18),$B$9:$B$18,$A$9:$A$18)</t>
  </si>
  <si>
    <t xml:space="preserve">Same relationship as NPV and IRR, and the same proof.</t>
  </si>
  <si>
    <t xml:space="preserve">L6 Boss round — prepay or inves   ★★★★★</t>
  </si>
  <si>
    <t xml:space="preserve">H9</t>
  </si>
  <si>
    <t xml:space="preserve">=-PMT($E$6/12,$H$6,$B$6)</t>
  </si>
  <si>
    <t xml:space="preserve">=NPER($E$6/12,-$H$9,$B$6-A9)   (row 9, then fill down)</t>
  </si>
  <si>
    <t xml:space="preserve">=NPER($E$6/12,PMT($E$6/12,$H$6,$B$6),$B$6-A9) — PMT is already negative, so no minus sign needed</t>
  </si>
  <si>
    <t xml:space="preserve">Prepaying keeps the EMI and shortens the loan. Ask your bank to reduce the tenure, not the instalment.</t>
  </si>
  <si>
    <t xml:space="preserve">=$H$6-B9   (row 9, then fill down)</t>
  </si>
  <si>
    <t xml:space="preserve">=$H$9*C9-A9   (row 9, then fill down)</t>
  </si>
  <si>
    <t xml:space="preserve">Interest saved is not EMI × months saved. You have to subtract the cash you gave up today.</t>
  </si>
  <si>
    <t xml:space="preserve">=-PMT($E$6/12,$H$6,$B$6)*($H$6-NPER($E$6/12,PMT($E$6/12,$H$6,$B$6),$B$6-$N$6))-$N$6</t>
  </si>
  <si>
    <t xml:space="preserve">=FV($K$6/12,$H$6,0,-$N$6)</t>
  </si>
  <si>
    <t xml:space="preserve">=FV($K$6/12,$H$6,0,-$N$6)-$N$6</t>
  </si>
  <si>
    <t xml:space="preserve">Compare gains with gains. Comparing a future value against an interest saving is comparing apples with the orchard.</t>
  </si>
  <si>
    <t xml:space="preserve">=IF($H$13&gt;$H$15,"Prepay","Invest")</t>
  </si>
  <si>
    <t xml:space="preserve">Now change K6. Find the return at which the answer flips — that is your real hurdle rate.</t>
  </si>
  <si>
    <t xml:space="preserve">H17</t>
  </si>
  <si>
    <t xml:space="preserve">=RATE($H$6,0,-$N$6,$N$6+(-PMT($E$6/12,$H$6,$B$6)*($H$6-NPER($E$6/12,PMT($E$6/12,$H$6,$B$6),$B$6-$N$6))-$N$6))*12</t>
  </si>
  <si>
    <t xml:space="preserve">Below this return, prepaying wins with zero risk. That is the number to remember, not the opinion.</t>
  </si>
</sst>
</file>

<file path=xl/styles.xml><?xml version="1.0" encoding="utf-8"?>
<styleSheet xmlns="http://schemas.openxmlformats.org/spreadsheetml/2006/main">
  <numFmts count="10">
    <numFmt numFmtId="164" formatCode="General"/>
    <numFmt numFmtId="165" formatCode="0"/>
    <numFmt numFmtId="166" formatCode="0.0%"/>
    <numFmt numFmtId="167" formatCode="#,##0"/>
    <numFmt numFmtId="168" formatCode="0.00%"/>
    <numFmt numFmtId="169" formatCode="General"/>
    <numFmt numFmtId="170" formatCode="#,##0.00"/>
    <numFmt numFmtId="171" formatCode="[$$-409]#,##0.00;[RED]\-[$$-409]#,##0.00"/>
    <numFmt numFmtId="172" formatCode="0.00"/>
    <numFmt numFmtId="173" formatCode="dd\-mmm\-yyyy"/>
  </numFmts>
  <fonts count="26">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1E293B"/>
      <name val="Arial"/>
      <family val="0"/>
      <charset val="1"/>
    </font>
    <font>
      <b val="true"/>
      <sz val="11"/>
      <color rgb="FF048398"/>
      <name val="Arial"/>
      <family val="0"/>
      <charset val="1"/>
    </font>
    <font>
      <b val="true"/>
      <sz val="10"/>
      <color rgb="FF06B6D4"/>
      <name val="Arial"/>
      <family val="0"/>
      <charset val="1"/>
    </font>
    <font>
      <b val="true"/>
      <sz val="10"/>
      <color rgb="FFFFFFFF"/>
      <name val="Arial"/>
      <family val="0"/>
      <charset val="1"/>
    </font>
    <font>
      <b val="true"/>
      <sz val="10"/>
      <color rgb="FF1E293B"/>
      <name val="Arial"/>
      <family val="0"/>
      <charset val="1"/>
    </font>
    <font>
      <b val="true"/>
      <sz val="10"/>
      <color rgb="FF1D4ED8"/>
      <name val="Arial"/>
      <family val="0"/>
      <charset val="1"/>
    </font>
    <font>
      <b val="true"/>
      <sz val="10"/>
      <color rgb="FFD97706"/>
      <name val="Arial"/>
      <family val="0"/>
      <charset val="1"/>
    </font>
    <font>
      <b val="true"/>
      <sz val="9"/>
      <color rgb="FF64748B"/>
      <name val="Arial"/>
      <family val="0"/>
      <charset val="1"/>
    </font>
    <font>
      <b val="true"/>
      <sz val="15"/>
      <color rgb="FFFFFFFF"/>
      <name val="Arial"/>
      <family val="0"/>
      <charset val="1"/>
    </font>
    <font>
      <b val="true"/>
      <sz val="10"/>
      <color rgb="FF0E8477"/>
      <name val="Arial"/>
      <family val="0"/>
      <charset val="1"/>
    </font>
    <font>
      <b val="true"/>
      <sz val="10"/>
      <color rgb="FF0000FF"/>
      <name val="Arial"/>
      <family val="0"/>
      <charset val="1"/>
    </font>
    <font>
      <b val="true"/>
      <sz val="9"/>
      <color rgb="FF92400E"/>
      <name val="Arial"/>
      <family val="0"/>
      <charset val="1"/>
    </font>
    <font>
      <i val="true"/>
      <sz val="9"/>
      <color rgb="FF64748B"/>
      <name val="Arial"/>
      <family val="0"/>
      <charset val="1"/>
    </font>
    <font>
      <b val="true"/>
      <sz val="11"/>
      <color rgb="FF1E293B"/>
      <name val="Arial"/>
      <family val="0"/>
      <charset val="1"/>
    </font>
    <font>
      <b val="true"/>
      <sz val="10"/>
      <color rgb="FF2A5DB1"/>
      <name val="Arial"/>
      <family val="0"/>
      <charset val="1"/>
    </font>
    <font>
      <b val="true"/>
      <sz val="10"/>
      <color rgb="FF6442B1"/>
      <name val="Arial"/>
      <family val="0"/>
      <charset val="1"/>
    </font>
    <font>
      <b val="true"/>
      <sz val="10"/>
      <color rgb="FFA21433"/>
      <name val="Arial"/>
      <family val="0"/>
      <charset val="1"/>
    </font>
    <font>
      <b val="true"/>
      <sz val="14"/>
      <color rgb="FFFFFFFF"/>
      <name val="Arial"/>
      <family val="0"/>
      <charset val="1"/>
    </font>
    <font>
      <b val="true"/>
      <sz val="11"/>
      <color rgb="FFFFFFFF"/>
      <name val="Arial"/>
      <family val="0"/>
      <charset val="1"/>
    </font>
    <font>
      <b val="true"/>
      <sz val="10"/>
      <color rgb="FF1E293B"/>
      <name val="Consolas"/>
      <family val="0"/>
      <charset val="1"/>
    </font>
    <font>
      <sz val="10"/>
      <color rgb="FF1E293B"/>
      <name val="Consolas"/>
      <family val="0"/>
      <charset val="1"/>
    </font>
  </fonts>
  <fills count="25">
    <fill>
      <patternFill patternType="none"/>
    </fill>
    <fill>
      <patternFill patternType="gray125"/>
    </fill>
    <fill>
      <patternFill patternType="solid">
        <fgColor rgb="FF06B6D4"/>
        <bgColor rgb="FF14B8A6"/>
      </patternFill>
    </fill>
    <fill>
      <patternFill patternType="solid">
        <fgColor rgb="FFFFF3B0"/>
        <bgColor rgb="FFFEF3C7"/>
      </patternFill>
    </fill>
    <fill>
      <patternFill patternType="solid">
        <fgColor rgb="FFDBEAFE"/>
        <bgColor rgb="FFEBF2FE"/>
      </patternFill>
    </fill>
    <fill>
      <patternFill patternType="solid">
        <fgColor rgb="FFD1FAE5"/>
        <bgColor rgb="FFE7F7F6"/>
      </patternFill>
    </fill>
    <fill>
      <patternFill patternType="solid">
        <fgColor rgb="FFFEE2E2"/>
        <bgColor rgb="FFFCE8EC"/>
      </patternFill>
    </fill>
    <fill>
      <patternFill patternType="solid">
        <fgColor rgb="FFFEF3C7"/>
        <bgColor rgb="FFFFF3B0"/>
      </patternFill>
    </fill>
    <fill>
      <patternFill patternType="solid">
        <fgColor rgb="FF048398"/>
        <bgColor rgb="FF0E8477"/>
      </patternFill>
    </fill>
    <fill>
      <patternFill patternType="solid">
        <fgColor rgb="FF14B8A6"/>
        <bgColor rgb="FF06B6D4"/>
      </patternFill>
    </fill>
    <fill>
      <patternFill patternType="solid">
        <fgColor rgb="FFE7F7F6"/>
        <bgColor rgb="FFEBF2FE"/>
      </patternFill>
    </fill>
    <fill>
      <patternFill patternType="solid">
        <fgColor rgb="FF0F172A"/>
        <bgColor rgb="FF1E293B"/>
      </patternFill>
    </fill>
    <fill>
      <patternFill patternType="solid">
        <fgColor rgb="FFF59E0B"/>
        <bgColor rgb="FFD97706"/>
      </patternFill>
    </fill>
    <fill>
      <patternFill patternType="solid">
        <fgColor rgb="FF0E8477"/>
        <bgColor rgb="FF048398"/>
      </patternFill>
    </fill>
    <fill>
      <patternFill patternType="solid">
        <fgColor rgb="FFF8FAFC"/>
        <bgColor rgb="FFFFFFFF"/>
      </patternFill>
    </fill>
    <fill>
      <patternFill patternType="solid">
        <fgColor rgb="FF3B82F6"/>
        <bgColor rgb="FF2A5DB1"/>
      </patternFill>
    </fill>
    <fill>
      <patternFill patternType="solid">
        <fgColor rgb="FFEBF2FE"/>
        <bgColor rgb="FFF1F5F9"/>
      </patternFill>
    </fill>
    <fill>
      <patternFill patternType="solid">
        <fgColor rgb="FF2A5DB1"/>
        <bgColor rgb="FF1D4ED8"/>
      </patternFill>
    </fill>
    <fill>
      <patternFill patternType="solid">
        <fgColor rgb="FF8B5CF6"/>
        <bgColor rgb="FF6442B1"/>
      </patternFill>
    </fill>
    <fill>
      <patternFill patternType="solid">
        <fgColor rgb="FFF3EEFE"/>
        <bgColor rgb="FFEBF2FE"/>
      </patternFill>
    </fill>
    <fill>
      <patternFill patternType="solid">
        <fgColor rgb="FF6442B1"/>
        <bgColor rgb="FF8B5CF6"/>
      </patternFill>
    </fill>
    <fill>
      <patternFill patternType="solid">
        <fgColor rgb="FFE11D48"/>
        <bgColor rgb="FFA21433"/>
      </patternFill>
    </fill>
    <fill>
      <patternFill patternType="solid">
        <fgColor rgb="FFFCE8EC"/>
        <bgColor rgb="FFFEE2E2"/>
      </patternFill>
    </fill>
    <fill>
      <patternFill patternType="solid">
        <fgColor rgb="FFA21433"/>
        <bgColor rgb="FF991B1B"/>
      </patternFill>
    </fill>
    <fill>
      <patternFill patternType="solid">
        <fgColor rgb="FF334155"/>
        <bgColor rgb="FF1E293B"/>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medium">
        <color rgb="FFF59E0B"/>
      </left>
      <right style="medium">
        <color rgb="FFF59E0B"/>
      </right>
      <top style="medium">
        <color rgb="FFF59E0B"/>
      </top>
      <bottom style="medium">
        <color rgb="FFF59E0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false" indent="1" shrinkToFit="false"/>
      <protection locked="true" hidden="false"/>
    </xf>
    <xf numFmtId="164" fontId="14" fillId="0" borderId="0" xfId="0" applyFont="true" applyBorder="true" applyAlignment="true" applyProtection="false">
      <alignment horizontal="general" vertical="center" textRotation="0" wrapText="false" indent="1" shrinkToFit="false"/>
      <protection locked="true" hidden="false"/>
    </xf>
    <xf numFmtId="164" fontId="5" fillId="10" borderId="0" xfId="0" applyFont="true" applyBorder="true" applyAlignment="true" applyProtection="false">
      <alignment horizontal="general" vertical="top" textRotation="0" wrapText="true" indent="1" shrinkToFit="false"/>
      <protection locked="true" hidden="false"/>
    </xf>
    <xf numFmtId="164" fontId="12" fillId="0" borderId="0" xfId="0" applyFont="true" applyBorder="false" applyAlignment="true" applyProtection="false">
      <alignment horizontal="right" vertical="center" textRotation="0" wrapText="false" indent="0" shrinkToFit="false"/>
      <protection locked="true" hidden="false"/>
    </xf>
    <xf numFmtId="167" fontId="15" fillId="4" borderId="1" xfId="0" applyFont="true" applyBorder="true" applyAlignment="false" applyProtection="false">
      <alignment horizontal="general" vertical="bottom" textRotation="0" wrapText="fals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5" fillId="14" borderId="1" xfId="0" applyFont="true" applyBorder="true" applyAlignment="false" applyProtection="false">
      <alignment horizontal="general" vertical="bottom" textRotation="0" wrapText="false" indent="0" shrinkToFit="false"/>
      <protection locked="true" hidden="false"/>
    </xf>
    <xf numFmtId="168" fontId="5" fillId="14" borderId="1" xfId="0" applyFont="true" applyBorder="true" applyAlignment="false" applyProtection="false">
      <alignment horizontal="general" vertical="bottom" textRotation="0" wrapText="false" indent="0" shrinkToFit="false"/>
      <protection locked="true" hidden="false"/>
    </xf>
    <xf numFmtId="165" fontId="5" fillId="14" borderId="1" xfId="0" applyFont="true" applyBorder="true" applyAlignment="false" applyProtection="false">
      <alignment horizontal="general" vertical="bottom" textRotation="0" wrapText="false" indent="0" shrinkToFit="false"/>
      <protection locked="true" hidden="false"/>
    </xf>
    <xf numFmtId="167" fontId="18" fillId="3" borderId="2" xfId="0" applyFont="true" applyBorder="true" applyAlignment="true" applyProtection="false">
      <alignment horizontal="center" vertical="center" textRotation="0" wrapText="false" indent="0" shrinkToFit="false"/>
      <protection locked="tru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5" fontId="18" fillId="3" borderId="2"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3" fillId="15" borderId="0" xfId="0" applyFont="true" applyBorder="true" applyAlignment="true" applyProtection="false">
      <alignment horizontal="general" vertical="center" textRotation="0" wrapText="false" indent="1" shrinkToFit="false"/>
      <protection locked="true" hidden="false"/>
    </xf>
    <xf numFmtId="164" fontId="19" fillId="0" borderId="0" xfId="0" applyFont="true" applyBorder="true" applyAlignment="true" applyProtection="false">
      <alignment horizontal="general" vertical="center" textRotation="0" wrapText="false" indent="1" shrinkToFit="false"/>
      <protection locked="true" hidden="false"/>
    </xf>
    <xf numFmtId="164" fontId="5" fillId="16" borderId="0" xfId="0" applyFont="true" applyBorder="true" applyAlignment="true" applyProtection="false">
      <alignment horizontal="general" vertical="top" textRotation="0" wrapText="true" indent="1" shrinkToFit="false"/>
      <protection locked="true" hidden="false"/>
    </xf>
    <xf numFmtId="168" fontId="15" fillId="4"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xf numFmtId="164" fontId="8" fillId="17" borderId="1" xfId="0" applyFont="true" applyBorder="true" applyAlignment="true" applyProtection="false">
      <alignment horizontal="center" vertical="center" textRotation="0" wrapText="true" indent="0" shrinkToFit="false"/>
      <protection locked="true" hidden="false"/>
    </xf>
    <xf numFmtId="170" fontId="5" fillId="3" borderId="1" xfId="0" applyFont="true" applyBorder="true" applyAlignment="false" applyProtection="false">
      <alignment horizontal="general" vertical="bottom" textRotation="0" wrapText="fals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70" fontId="18" fillId="3" borderId="2" xfId="0"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7" fontId="5" fillId="14" borderId="1" xfId="0" applyFont="true" applyBorder="true" applyAlignment="false" applyProtection="false">
      <alignment horizontal="general" vertical="bottom" textRotation="0" wrapText="false" indent="0" shrinkToFit="false"/>
      <protection locked="true" hidden="false"/>
    </xf>
    <xf numFmtId="168" fontId="18" fillId="3" borderId="2"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18" borderId="0" xfId="0" applyFont="true" applyBorder="true" applyAlignment="true" applyProtection="false">
      <alignment horizontal="general" vertical="center" textRotation="0" wrapText="false" indent="1" shrinkToFit="false"/>
      <protection locked="true" hidden="false"/>
    </xf>
    <xf numFmtId="164" fontId="20" fillId="0" borderId="0" xfId="0" applyFont="true" applyBorder="true" applyAlignment="true" applyProtection="false">
      <alignment horizontal="general" vertical="center" textRotation="0" wrapText="false" indent="1" shrinkToFit="false"/>
      <protection locked="true" hidden="false"/>
    </xf>
    <xf numFmtId="164" fontId="5" fillId="19" borderId="0" xfId="0" applyFont="true" applyBorder="true" applyAlignment="true" applyProtection="false">
      <alignment horizontal="general" vertical="top" textRotation="0" wrapText="true" indent="1" shrinkToFit="false"/>
      <protection locked="true" hidden="false"/>
    </xf>
    <xf numFmtId="164" fontId="8" fillId="20" borderId="1" xfId="0" applyFont="true" applyBorder="true" applyAlignment="true" applyProtection="false">
      <alignment horizontal="center" vertical="center" textRotation="0" wrapText="tru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72" fontId="18" fillId="3" borderId="2" xfId="0" applyFont="true" applyBorder="true" applyAlignment="true" applyProtection="false">
      <alignment horizontal="center" vertical="center"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3" fontId="5" fillId="14" borderId="1" xfId="0" applyFont="true" applyBorder="true" applyAlignment="false" applyProtection="false">
      <alignment horizontal="general" vertical="bottom" textRotation="0" wrapText="false" indent="0" shrinkToFit="false"/>
      <protection locked="true" hidden="false"/>
    </xf>
    <xf numFmtId="164" fontId="13" fillId="21" borderId="0" xfId="0" applyFont="true" applyBorder="true" applyAlignment="true" applyProtection="false">
      <alignment horizontal="general" vertical="center" textRotation="0" wrapText="false" indent="1" shrinkToFit="false"/>
      <protection locked="true" hidden="false"/>
    </xf>
    <xf numFmtId="164" fontId="21" fillId="0" borderId="0" xfId="0" applyFont="true" applyBorder="true" applyAlignment="true" applyProtection="false">
      <alignment horizontal="general" vertical="center" textRotation="0" wrapText="false" indent="1" shrinkToFit="false"/>
      <protection locked="true" hidden="false"/>
    </xf>
    <xf numFmtId="164" fontId="5" fillId="22" borderId="0" xfId="0" applyFont="true" applyBorder="true" applyAlignment="true" applyProtection="false">
      <alignment horizontal="general" vertical="top" textRotation="0" wrapText="true" indent="1"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72" fontId="5" fillId="3" borderId="1" xfId="0" applyFont="true" applyBorder="true" applyAlignment="false" applyProtection="false">
      <alignment horizontal="general" vertical="bottom" textRotation="0" wrapText="false" indent="0" shrinkToFit="false"/>
      <protection locked="true" hidden="false"/>
    </xf>
    <xf numFmtId="165" fontId="21" fillId="0" borderId="1" xfId="0" applyFont="true" applyBorder="true" applyAlignment="true" applyProtection="false">
      <alignment horizontal="center" vertical="center" textRotation="0" wrapText="false" indent="0" shrinkToFit="false"/>
      <protection locked="true" hidden="false"/>
    </xf>
    <xf numFmtId="164" fontId="22" fillId="11" borderId="0" xfId="0" applyFont="true" applyBorder="true" applyAlignment="true" applyProtection="false">
      <alignment horizontal="general" vertical="center" textRotation="0" wrapText="false" indent="1"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3" fillId="9" borderId="0" xfId="0" applyFont="true" applyBorder="true" applyAlignment="true" applyProtection="false">
      <alignment horizontal="general" vertical="center" textRotation="0" wrapText="false" indent="1"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23" fillId="15" borderId="0" xfId="0" applyFont="true" applyBorder="true" applyAlignment="true" applyProtection="false">
      <alignment horizontal="general" vertical="center" textRotation="0" wrapText="false" indent="1" shrinkToFit="false"/>
      <protection locked="true" hidden="false"/>
    </xf>
    <xf numFmtId="164" fontId="23" fillId="18" borderId="0" xfId="0" applyFont="true" applyBorder="true" applyAlignment="true" applyProtection="false">
      <alignment horizontal="general" vertical="center" textRotation="0" wrapText="false" indent="1" shrinkToFit="false"/>
      <protection locked="true" hidden="false"/>
    </xf>
    <xf numFmtId="164" fontId="23" fillId="21" borderId="0" xfId="0" applyFont="true" applyBorder="true" applyAlignment="true" applyProtection="false">
      <alignment horizontal="general"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065F46"/>
      </font>
      <fill>
        <patternFill>
          <bgColor rgb="FFD1FAE5"/>
        </patternFill>
      </fill>
    </dxf>
    <dxf>
      <font>
        <name val="Arial"/>
        <charset val="1"/>
        <family val="0"/>
        <b val="1"/>
        <color rgb="FF991B1B"/>
      </font>
      <fill>
        <patternFill>
          <bgColor rgb="FFFEE2E2"/>
        </patternFill>
      </fill>
    </dxf>
    <dxf>
      <font>
        <name val="Arial"/>
        <charset val="1"/>
        <family val="0"/>
        <b val="1"/>
        <color rgb="FF92400E"/>
      </font>
      <fill>
        <patternFill>
          <bgColor rgb="FFFEF3C7"/>
        </patternFill>
      </fill>
    </dxf>
    <dxf>
      <font>
        <name val="Arial"/>
        <charset val="1"/>
        <family val="0"/>
        <b val="1"/>
        <color rgb="FF64748B"/>
      </font>
      <fill>
        <patternFill>
          <bgColor rgb="FFF1F5F9"/>
        </patternFill>
      </fill>
    </dxf>
  </dxfs>
  <colors>
    <indexedColors>
      <rgbColor rgb="FF000000"/>
      <rgbColor rgb="FFFFFFFF"/>
      <rgbColor rgb="FFE11D48"/>
      <rgbColor rgb="FF00FF00"/>
      <rgbColor rgb="FF0000FF"/>
      <rgbColor rgb="FFF8FAFC"/>
      <rgbColor rgb="FFFF00FF"/>
      <rgbColor rgb="FF00FFFF"/>
      <rgbColor rgb="FF991B1B"/>
      <rgbColor rgb="FF065F46"/>
      <rgbColor rgb="FF000080"/>
      <rgbColor rgb="FF808000"/>
      <rgbColor rgb="FF800080"/>
      <rgbColor rgb="FF048398"/>
      <rgbColor rgb="FFFCE8EC"/>
      <rgbColor rgb="FF808080"/>
      <rgbColor rgb="FF8B5CF6"/>
      <rgbColor rgb="FF6442B1"/>
      <rgbColor rgb="FFFEF3C7"/>
      <rgbColor rgb="FFE7F7F6"/>
      <rgbColor rgb="FF660066"/>
      <rgbColor rgb="FFFF8080"/>
      <rgbColor rgb="FF1D4ED8"/>
      <rgbColor rgb="FFCBD5E1"/>
      <rgbColor rgb="FF000080"/>
      <rgbColor rgb="FFFF00FF"/>
      <rgbColor rgb="FFFFFF00"/>
      <rgbColor rgb="FF00FFFF"/>
      <rgbColor rgb="FF800080"/>
      <rgbColor rgb="FFA21433"/>
      <rgbColor rgb="FF0E8477"/>
      <rgbColor rgb="FF0000FF"/>
      <rgbColor rgb="FF06B6D4"/>
      <rgbColor rgb="FFDBEAFE"/>
      <rgbColor rgb="FFD1FAE5"/>
      <rgbColor rgb="FFFFF3B0"/>
      <rgbColor rgb="FFEBF2FE"/>
      <rgbColor rgb="FFF3EEFE"/>
      <rgbColor rgb="FFF1F5F9"/>
      <rgbColor rgb="FFFEE2E2"/>
      <rgbColor rgb="FF3B82F6"/>
      <rgbColor rgb="FF14B8A6"/>
      <rgbColor rgb="FF99CC00"/>
      <rgbColor rgb="FFFFCC00"/>
      <rgbColor rgb="FFF59E0B"/>
      <rgbColor rgb="FFD97706"/>
      <rgbColor rgb="FF64748B"/>
      <rgbColor rgb="FF969696"/>
      <rgbColor rgb="FF2A5DB1"/>
      <rgbColor rgb="FF339966"/>
      <rgbColor rgb="FF0F172A"/>
      <rgbColor rgb="FF333300"/>
      <rgbColor rgb="FF92400E"/>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xcel-lab-07-loans-investments.xlsx" TargetMode="External"/><Relationship Id="rId2" Type="http://schemas.openxmlformats.org/officeDocument/2006/relationships/hyperlink" Target="excel-lab-07-loans-investments.xlsx" TargetMode="External"/><Relationship Id="rId3" Type="http://schemas.openxmlformats.org/officeDocument/2006/relationships/hyperlink" Target="excel-lab-07-loans-investments.xlsx" TargetMode="External"/><Relationship Id="rId4" Type="http://schemas.openxmlformats.org/officeDocument/2006/relationships/hyperlink" Target="excel-lab-07-loans-investments.xlsx" TargetMode="External"/><Relationship Id="rId5" Type="http://schemas.openxmlformats.org/officeDocument/2006/relationships/hyperlink" Target="excel-lab-07-loans-investments.xlsx" TargetMode="External"/><Relationship Id="rId6" Type="http://schemas.openxmlformats.org/officeDocument/2006/relationships/hyperlink" Target="excel-lab-07-loans-investment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B6D4"/>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4"/>
    <col collapsed="false" customWidth="true" hidden="false" outlineLevel="0" max="5" min="4" style="0" width="10"/>
    <col collapsed="false" customWidth="true" hidden="false" outlineLevel="0" max="6" min="6" style="0" width="16"/>
    <col collapsed="false" customWidth="true" hidden="false" outlineLevel="0" max="8" min="7" style="0" width="4"/>
  </cols>
  <sheetData>
    <row r="1" customFormat="false" ht="43.5" hidden="false" customHeight="true" outlineLevel="0" collapsed="false">
      <c r="A1" s="1" t="s">
        <v>0</v>
      </c>
      <c r="B1" s="1"/>
      <c r="C1" s="1"/>
      <c r="D1" s="1"/>
      <c r="E1" s="1"/>
      <c r="F1" s="1"/>
    </row>
    <row r="2" customFormat="false" ht="43.5" hidden="false" customHeight="true" outlineLevel="0" collapsed="false">
      <c r="A2" s="2" t="s">
        <v>1</v>
      </c>
      <c r="B2" s="2"/>
      <c r="C2" s="2"/>
      <c r="D2" s="2"/>
      <c r="E2" s="2"/>
      <c r="F2" s="2"/>
    </row>
    <row r="4" customFormat="false" ht="15" hidden="false" customHeight="false" outlineLevel="0" collapsed="false">
      <c r="A4" s="3" t="s">
        <v>2</v>
      </c>
    </row>
    <row r="5" customFormat="false" ht="27.75" hidden="false" customHeight="true" outlineLevel="0" collapsed="false">
      <c r="A5" s="4" t="n">
        <v>1</v>
      </c>
      <c r="B5" s="5" t="s">
        <v>3</v>
      </c>
      <c r="C5" s="5"/>
      <c r="D5" s="5"/>
      <c r="E5" s="5"/>
      <c r="F5" s="5"/>
    </row>
    <row r="6" customFormat="false" ht="27.75" hidden="false" customHeight="true" outlineLevel="0" collapsed="false">
      <c r="A6" s="4" t="n">
        <v>2</v>
      </c>
      <c r="B6" s="5" t="s">
        <v>4</v>
      </c>
      <c r="C6" s="5"/>
      <c r="D6" s="5"/>
      <c r="E6" s="5"/>
      <c r="F6" s="5"/>
    </row>
    <row r="7" customFormat="false" ht="27.75" hidden="false" customHeight="true" outlineLevel="0" collapsed="false">
      <c r="A7" s="4" t="n">
        <v>3</v>
      </c>
      <c r="B7" s="5" t="s">
        <v>5</v>
      </c>
      <c r="C7" s="5"/>
      <c r="D7" s="5"/>
      <c r="E7" s="5"/>
      <c r="F7" s="5"/>
    </row>
    <row r="8" customFormat="false" ht="27.75" hidden="false" customHeight="true" outlineLevel="0" collapsed="false">
      <c r="A8" s="4" t="n">
        <v>4</v>
      </c>
      <c r="B8" s="5" t="s">
        <v>6</v>
      </c>
      <c r="C8" s="5"/>
      <c r="D8" s="5"/>
      <c r="E8" s="5"/>
      <c r="F8" s="5"/>
    </row>
    <row r="9" customFormat="false" ht="27.75" hidden="false" customHeight="true" outlineLevel="0" collapsed="false">
      <c r="A9" s="4" t="n">
        <v>5</v>
      </c>
      <c r="B9" s="5" t="s">
        <v>7</v>
      </c>
      <c r="C9" s="5"/>
      <c r="D9" s="5"/>
      <c r="E9" s="5"/>
      <c r="F9" s="5"/>
    </row>
    <row r="11" customFormat="false" ht="15" hidden="false" customHeight="false" outlineLevel="0" collapsed="false">
      <c r="A11" s="3" t="s">
        <v>8</v>
      </c>
    </row>
    <row r="12" customFormat="false" ht="19.5" hidden="false" customHeight="true" outlineLevel="0" collapsed="false">
      <c r="A12" s="6"/>
      <c r="B12" s="7" t="s">
        <v>9</v>
      </c>
      <c r="C12" s="7"/>
      <c r="D12" s="7"/>
      <c r="E12" s="7"/>
      <c r="F12" s="7"/>
    </row>
    <row r="13" customFormat="false" ht="19.5" hidden="false" customHeight="true" outlineLevel="0" collapsed="false">
      <c r="A13" s="8"/>
      <c r="B13" s="7" t="s">
        <v>10</v>
      </c>
      <c r="C13" s="7"/>
      <c r="D13" s="7"/>
      <c r="E13" s="7"/>
      <c r="F13" s="7"/>
    </row>
    <row r="14" customFormat="false" ht="19.5" hidden="false" customHeight="true" outlineLevel="0" collapsed="false">
      <c r="A14" s="9"/>
      <c r="B14" s="7" t="s">
        <v>11</v>
      </c>
      <c r="C14" s="7"/>
      <c r="D14" s="7"/>
      <c r="E14" s="7"/>
      <c r="F14" s="7"/>
    </row>
    <row r="15" customFormat="false" ht="19.5" hidden="false" customHeight="true" outlineLevel="0" collapsed="false">
      <c r="A15" s="10"/>
      <c r="B15" s="7" t="s">
        <v>12</v>
      </c>
      <c r="C15" s="7"/>
      <c r="D15" s="7"/>
      <c r="E15" s="7"/>
      <c r="F15" s="7"/>
    </row>
    <row r="16" customFormat="false" ht="19.5" hidden="false" customHeight="true" outlineLevel="0" collapsed="false">
      <c r="A16" s="11"/>
      <c r="B16" s="7" t="s">
        <v>13</v>
      </c>
      <c r="C16" s="7"/>
      <c r="D16" s="7"/>
      <c r="E16" s="7"/>
      <c r="F16" s="7"/>
    </row>
    <row r="18" customFormat="false" ht="21.75" hidden="false" customHeight="true" outlineLevel="0" collapsed="false">
      <c r="A18" s="12" t="s">
        <v>14</v>
      </c>
      <c r="B18" s="12" t="s">
        <v>15</v>
      </c>
      <c r="C18" s="12" t="s">
        <v>16</v>
      </c>
      <c r="D18" s="12" t="s">
        <v>17</v>
      </c>
      <c r="E18" s="12" t="s">
        <v>18</v>
      </c>
      <c r="F18" s="12" t="s">
        <v>19</v>
      </c>
    </row>
    <row r="19" customFormat="false" ht="19.5" hidden="false" customHeight="true" outlineLevel="0" collapsed="false">
      <c r="A19" s="13" t="n">
        <v>1</v>
      </c>
      <c r="B19" s="14" t="s">
        <v>20</v>
      </c>
      <c r="C19" s="15" t="s">
        <v>21</v>
      </c>
      <c r="D19" s="16" t="n">
        <v>7</v>
      </c>
      <c r="E19" s="13" t="n">
        <f aca="false">COUNTIF('L1 EMI and the cost of a longer'!J9:J15,"✓*")</f>
        <v>0</v>
      </c>
      <c r="F19" s="17" t="n">
        <f aca="false">IFERROR(E19/D19,0)</f>
        <v>0</v>
      </c>
    </row>
    <row r="20" customFormat="false" ht="19.5" hidden="false" customHeight="true" outlineLevel="0" collapsed="false">
      <c r="A20" s="13" t="n">
        <v>2</v>
      </c>
      <c r="B20" s="14" t="s">
        <v>22</v>
      </c>
      <c r="C20" s="15" t="s">
        <v>23</v>
      </c>
      <c r="D20" s="16" t="n">
        <v>8</v>
      </c>
      <c r="E20" s="13" t="n">
        <f aca="false">COUNTIF('L2 The amortisation schedule'!J9:J16,"✓*")</f>
        <v>0</v>
      </c>
      <c r="F20" s="17" t="n">
        <f aca="false">IFERROR(E20/D20,0)</f>
        <v>0</v>
      </c>
    </row>
    <row r="21" customFormat="false" ht="19.5" hidden="false" customHeight="true" outlineLevel="0" collapsed="false">
      <c r="A21" s="13" t="n">
        <v>3</v>
      </c>
      <c r="B21" s="14" t="s">
        <v>24</v>
      </c>
      <c r="C21" s="15" t="s">
        <v>23</v>
      </c>
      <c r="D21" s="16" t="n">
        <v>8</v>
      </c>
      <c r="E21" s="13" t="n">
        <f aca="false">COUNTIF('L3 Goals, SIPs and compounding'!I9:I16,"✓*")</f>
        <v>0</v>
      </c>
      <c r="F21" s="17" t="n">
        <f aca="false">IFERROR(E21/D21,0)</f>
        <v>0</v>
      </c>
    </row>
    <row r="22" customFormat="false" ht="19.5" hidden="false" customHeight="true" outlineLevel="0" collapsed="false">
      <c r="A22" s="13" t="n">
        <v>4</v>
      </c>
      <c r="B22" s="14" t="s">
        <v>25</v>
      </c>
      <c r="C22" s="15" t="s">
        <v>26</v>
      </c>
      <c r="D22" s="16" t="n">
        <v>8</v>
      </c>
      <c r="E22" s="13" t="n">
        <f aca="false">COUNTIF('L4 NPV, IRR and payback'!H9:H16,"✓*")</f>
        <v>0</v>
      </c>
      <c r="F22" s="17" t="n">
        <f aca="false">IFERROR(E22/D22,0)</f>
        <v>0</v>
      </c>
    </row>
    <row r="23" customFormat="false" ht="19.5" hidden="false" customHeight="true" outlineLevel="0" collapsed="false">
      <c r="A23" s="13" t="n">
        <v>5</v>
      </c>
      <c r="B23" s="14" t="s">
        <v>27</v>
      </c>
      <c r="C23" s="15" t="s">
        <v>26</v>
      </c>
      <c r="D23" s="16" t="n">
        <v>8</v>
      </c>
      <c r="E23" s="13" t="n">
        <f aca="false">COUNTIF('L5 Irregular dates — XNPV and X'!G9:G16,"✓*")</f>
        <v>0</v>
      </c>
      <c r="F23" s="17" t="n">
        <f aca="false">IFERROR(E23/D23,0)</f>
        <v>0</v>
      </c>
    </row>
    <row r="24" customFormat="false" ht="19.5" hidden="false" customHeight="true" outlineLevel="0" collapsed="false">
      <c r="A24" s="13" t="n">
        <v>6</v>
      </c>
      <c r="B24" s="14" t="s">
        <v>28</v>
      </c>
      <c r="C24" s="15" t="s">
        <v>29</v>
      </c>
      <c r="D24" s="16" t="n">
        <v>9</v>
      </c>
      <c r="E24" s="13" t="n">
        <f aca="false">COUNTIF('L6 Boss round — prepay or inves'!I9:I17,"✓*")</f>
        <v>0</v>
      </c>
      <c r="F24" s="17" t="n">
        <f aca="false">IFERROR(E24/D24,0)</f>
        <v>0</v>
      </c>
    </row>
    <row r="25" customFormat="false" ht="15" hidden="false" customHeight="false" outlineLevel="0" collapsed="false">
      <c r="B25" s="18" t="s">
        <v>30</v>
      </c>
      <c r="D25" s="13" t="n">
        <f aca="false">SUM(D19:D24)</f>
        <v>48</v>
      </c>
      <c r="E25" s="13" t="n">
        <f aca="false">SUM(E19:E24)</f>
        <v>0</v>
      </c>
      <c r="F25" s="19" t="n">
        <f aca="false">IFERROR(E25/D25,0)</f>
        <v>0</v>
      </c>
    </row>
    <row r="27" customFormat="false" ht="15" hidden="false" customHeight="false" outlineLevel="0" collapsed="false">
      <c r="A27" s="20" t="s">
        <v>31</v>
      </c>
      <c r="B27" s="20"/>
      <c r="C27" s="20"/>
      <c r="D27" s="20"/>
      <c r="E27" s="20"/>
      <c r="F27" s="20"/>
    </row>
  </sheetData>
  <mergeCells count="13">
    <mergeCell ref="A1:F1"/>
    <mergeCell ref="A2:F2"/>
    <mergeCell ref="B5:F5"/>
    <mergeCell ref="B6:F6"/>
    <mergeCell ref="B7:F7"/>
    <mergeCell ref="B8:F8"/>
    <mergeCell ref="B9:F9"/>
    <mergeCell ref="B12:F12"/>
    <mergeCell ref="B13:F13"/>
    <mergeCell ref="B14:F14"/>
    <mergeCell ref="B15:F15"/>
    <mergeCell ref="B16:F16"/>
    <mergeCell ref="A27:F27"/>
  </mergeCells>
  <conditionalFormatting sqref="F19:F25">
    <cfRule type="dataBar" priority="2">
      <dataBar showValue="1" minLength="10" maxLength="90">
        <cfvo type="num" val="0"/>
        <cfvo type="num" val="1"/>
        <color rgb="FF06B6D4"/>
      </dataBar>
      <extLst>
        <ext xmlns:x14="http://schemas.microsoft.com/office/spreadsheetml/2009/9/main" uri="{B025F937-C7B1-47D3-B67F-A62EFF666E3E}">
          <x14:id>{E7FFA16D-1743-4BE5-B189-B86EBABBAF97}</x14:id>
        </ext>
      </extLst>
    </cfRule>
  </conditionalFormatting>
  <hyperlinks>
    <hyperlink ref="B19" r:id="rId1" location="'L1%20EMI%20and%20the%20cost%20of%20a%20longer'!A1" display="L1 EMI and the cost of a longer"/>
    <hyperlink ref="B20" r:id="rId2" location="'L2%20The%20amortisation%20schedule'!A1" display="L2 The amortisation schedule"/>
    <hyperlink ref="B21" r:id="rId3" location="'L3%20Goals,%20SIPs%20and%20compounding'!A1" display="L3 Goals, SIPs and compounding"/>
    <hyperlink ref="B22" r:id="rId4" location="'L4%20NPV,%20IRR%20and%20payback'!A1" display="L4 NPV, IRR and payback"/>
    <hyperlink ref="B23" r:id="rId5" location="'L5%20Irregular%20dates%20—%20XNPV%20and%20X'!A1" display="L5 Irregular dates — XNPV and X"/>
    <hyperlink ref="B24" r:id="rId6" location="'L6%20Boss%20round%20—%20prepay%20or%20inves'!A1" display="L6 Boss round — prepay or inv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7FFA16D-1743-4BE5-B189-B86EBABBAF97}">
            <x14:dataBar minLength="10" maxLength="90" axisPosition="none" gradient="true">
              <x14:cfvo type="num">
                <xm:f>0</xm:f>
              </x14:cfvo>
              <x14:cfvo type="num">
                <xm:f>1</xm:f>
              </x14:cfvo>
              <x14:negativeFillColor rgb="FF06B6D4"/>
              <x14:axisColor rgb="FF000000"/>
            </x14:dataBar>
          </x14:cfRule>
          <xm:sqref>F19:F25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B8A6"/>
    <pageSetUpPr fitToPage="true"/>
  </sheetPr>
  <dimension ref="A1:N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9"/>
    <col collapsed="false" customWidth="true" hidden="false" outlineLevel="0" max="4" min="4" style="0" width="14"/>
    <col collapsed="false" customWidth="true" hidden="false" outlineLevel="0" max="5" min="5" style="0" width="16"/>
    <col collapsed="false" customWidth="true" hidden="false" outlineLevel="0" max="6" min="6" style="0" width="3"/>
    <col collapsed="false" customWidth="true" hidden="false" outlineLevel="0" max="7" min="7" style="0" width="5"/>
    <col collapsed="false" customWidth="true" hidden="false" outlineLevel="0" max="8" min="8" style="0" width="46"/>
    <col collapsed="false" customWidth="true" hidden="false" outlineLevel="0" max="9" min="9" style="0" width="18"/>
    <col collapsed="false" customWidth="true" hidden="false" outlineLevel="0" max="10" min="10" style="0" width="17"/>
    <col collapsed="false" customWidth="true" hidden="false" outlineLevel="0" max="11" min="11" style="0" width="38"/>
    <col collapsed="false" customWidth="true" hidden="true" outlineLevel="0" max="15" min="12" style="0" width="13"/>
  </cols>
  <sheetData>
    <row r="1" customFormat="false" ht="31.5" hidden="false" customHeight="true" outlineLevel="0" collapsed="false">
      <c r="A1" s="21" t="s">
        <v>32</v>
      </c>
      <c r="B1" s="21"/>
      <c r="C1" s="21"/>
      <c r="D1" s="21"/>
      <c r="E1" s="21"/>
      <c r="F1" s="21"/>
      <c r="G1" s="21"/>
      <c r="H1" s="21"/>
      <c r="I1" s="21"/>
      <c r="J1" s="21"/>
      <c r="K1" s="21"/>
    </row>
    <row r="2" customFormat="false" ht="19.5" hidden="false" customHeight="true" outlineLevel="0" collapsed="false">
      <c r="A2" s="22" t="s">
        <v>33</v>
      </c>
      <c r="B2" s="22"/>
      <c r="C2" s="22"/>
      <c r="D2" s="22"/>
      <c r="E2" s="22"/>
      <c r="F2" s="22"/>
      <c r="G2" s="22"/>
      <c r="H2" s="22"/>
      <c r="I2" s="22"/>
      <c r="J2" s="22"/>
      <c r="K2" s="22"/>
    </row>
    <row r="3" customFormat="false" ht="18.75" hidden="false" customHeight="true" outlineLevel="0" collapsed="false">
      <c r="A3" s="23" t="s">
        <v>34</v>
      </c>
      <c r="B3" s="23"/>
      <c r="C3" s="23"/>
      <c r="D3" s="23"/>
      <c r="E3" s="23"/>
      <c r="F3" s="23"/>
      <c r="G3" s="23"/>
      <c r="H3" s="23"/>
      <c r="I3" s="23"/>
      <c r="J3" s="23"/>
      <c r="K3" s="23"/>
    </row>
    <row r="4" customFormat="false" ht="18.75" hidden="false" customHeight="true" outlineLevel="0" collapsed="false">
      <c r="A4" s="23"/>
      <c r="B4" s="23"/>
      <c r="C4" s="23"/>
      <c r="D4" s="23"/>
      <c r="E4" s="23"/>
      <c r="F4" s="23"/>
      <c r="G4" s="23"/>
      <c r="H4" s="23"/>
      <c r="I4" s="23"/>
      <c r="J4" s="23"/>
      <c r="K4" s="23"/>
    </row>
    <row r="5" customFormat="false" ht="18.75" hidden="false" customHeight="true" outlineLevel="0" collapsed="false">
      <c r="A5" s="23"/>
      <c r="B5" s="23"/>
      <c r="C5" s="23"/>
      <c r="D5" s="23"/>
      <c r="E5" s="23"/>
      <c r="F5" s="23"/>
      <c r="G5" s="23"/>
      <c r="H5" s="23"/>
      <c r="I5" s="23"/>
      <c r="J5" s="23"/>
      <c r="K5" s="23"/>
    </row>
    <row r="6" customFormat="false" ht="19.5" hidden="false" customHeight="true" outlineLevel="0" collapsed="false">
      <c r="A6" s="24" t="s">
        <v>35</v>
      </c>
      <c r="B6" s="25" t="n">
        <v>2800000</v>
      </c>
    </row>
    <row r="8" customFormat="false" ht="24" hidden="false" customHeight="true" outlineLevel="0" collapsed="false">
      <c r="A8" s="26" t="s">
        <v>36</v>
      </c>
      <c r="B8" s="26" t="s">
        <v>37</v>
      </c>
      <c r="C8" s="26" t="s">
        <v>38</v>
      </c>
      <c r="D8" s="27" t="s">
        <v>39</v>
      </c>
      <c r="E8" s="27" t="s">
        <v>40</v>
      </c>
      <c r="G8" s="28" t="s">
        <v>14</v>
      </c>
      <c r="H8" s="28" t="s">
        <v>41</v>
      </c>
      <c r="I8" s="28" t="s">
        <v>42</v>
      </c>
      <c r="J8" s="28" t="s">
        <v>43</v>
      </c>
      <c r="K8" s="28" t="s">
        <v>44</v>
      </c>
    </row>
    <row r="9" customFormat="false" ht="33.75" hidden="false" customHeight="true" outlineLevel="0" collapsed="false">
      <c r="A9" s="29" t="s">
        <v>45</v>
      </c>
      <c r="B9" s="30" t="n">
        <v>0.0865</v>
      </c>
      <c r="C9" s="31" t="n">
        <v>20</v>
      </c>
      <c r="D9" s="32"/>
      <c r="E9" s="32"/>
      <c r="G9" s="33" t="n">
        <v>1</v>
      </c>
      <c r="H9" s="34" t="s">
        <v>46</v>
      </c>
      <c r="I9" s="35" t="s">
        <v>47</v>
      </c>
      <c r="J9" s="36" t="str">
        <f aca="false">IF(COUNTA($D$9:$D$16)=0,"◯ Not attempted",IF(NOT(_xlfn.ISFORMULA(D9)),"✎ Use a formula",IFERROR(IF(SUMPRODUCT(--(ABS($D$9:$D$16-$M$9:$M$16)&lt;0.01))=ROWS($D$9:$D$16),"✓ Correct","✗ "&amp;(ROWS($D$9:$D$16)-SUMPRODUCT(--(ABS($D$9:$D$16-$M$9:$M$16)&lt;0.01)))&amp;" rows differ"),"✗ Check the column")))</f>
        <v>◯ Not attempted</v>
      </c>
      <c r="K9" s="37" t="s">
        <v>48</v>
      </c>
      <c r="M9" s="0" t="n">
        <f aca="false">ROUND(-PMT(B9/12,C9*12,$B$6),0)</f>
        <v>24566</v>
      </c>
      <c r="N9" s="0" t="n">
        <f aca="false">ROUND(-PMT(B9/12,C9*12,$B$6),0)*C9*12</f>
        <v>5895840</v>
      </c>
    </row>
    <row r="10" customFormat="false" ht="33.75" hidden="false" customHeight="true" outlineLevel="0" collapsed="false">
      <c r="A10" s="38" t="s">
        <v>49</v>
      </c>
      <c r="B10" s="39" t="n">
        <v>0.089</v>
      </c>
      <c r="C10" s="40" t="n">
        <v>20</v>
      </c>
      <c r="D10" s="32"/>
      <c r="E10" s="32"/>
      <c r="G10" s="33" t="n">
        <v>2</v>
      </c>
      <c r="H10" s="34" t="s">
        <v>50</v>
      </c>
      <c r="I10" s="35" t="s">
        <v>51</v>
      </c>
      <c r="J10" s="36" t="str">
        <f aca="false">IF(COUNTA($E$9:$E$16)=0,"◯ Not attempted",IF(NOT(_xlfn.ISFORMULA(E9)),"✎ Use a formula",IFERROR(IF(SUMPRODUCT(--(ABS($E$9:$E$16-$N$9:$N$16)&lt;0.01))=ROWS($E$9:$E$16),"✓ Correct","✗ "&amp;(ROWS($E$9:$E$16)-SUMPRODUCT(--(ABS($E$9:$E$16-$N$9:$N$16)&lt;0.01)))&amp;" rows differ"),"✗ Check the column")))</f>
        <v>◯ Not attempted</v>
      </c>
      <c r="K10" s="37" t="s">
        <v>52</v>
      </c>
      <c r="M10" s="0" t="n">
        <f aca="false">ROUND(-PMT(B10/12,C10*12,$B$6),0)</f>
        <v>25013</v>
      </c>
      <c r="N10" s="0" t="n">
        <f aca="false">ROUND(-PMT(B10/12,C10*12,$B$6),0)*C10*12</f>
        <v>6003120</v>
      </c>
    </row>
    <row r="11" customFormat="false" ht="33.75" hidden="false" customHeight="true" outlineLevel="0" collapsed="false">
      <c r="A11" s="29" t="s">
        <v>53</v>
      </c>
      <c r="B11" s="30" t="n">
        <v>0.0905</v>
      </c>
      <c r="C11" s="31" t="n">
        <v>18</v>
      </c>
      <c r="D11" s="32"/>
      <c r="E11" s="32"/>
      <c r="G11" s="33" t="n">
        <v>3</v>
      </c>
      <c r="H11" s="34" t="s">
        <v>54</v>
      </c>
      <c r="I11" s="41"/>
      <c r="J11" s="36" t="str">
        <f aca="false">IF(ISBLANK(I11),"◯ Not attempted",IF(NOT(_xlfn.ISFORMULA(I11)),"✎ Use a formula",IF(ISNUMBER(I11),IF(ABS(I11-$L$11)&lt;0.005,"✓ Correct","✗ Check again"),"✗ Not a number")))</f>
        <v>◯ Not attempted</v>
      </c>
      <c r="K11" s="37" t="s">
        <v>55</v>
      </c>
      <c r="L11" s="0" t="n">
        <f aca="false">SUMPRODUCT(MIN(ROUND(-PMT($B$9:$B$16/12,$C$9:$C$16*12,$B$6),0)))</f>
        <v>22128</v>
      </c>
      <c r="M11" s="0" t="n">
        <f aca="false">ROUND(-PMT(B11/12,C11*12,$B$6),0)</f>
        <v>26308</v>
      </c>
      <c r="N11" s="0" t="n">
        <f aca="false">ROUND(-PMT(B11/12,C11*12,$B$6),0)*C11*12</f>
        <v>5682528</v>
      </c>
    </row>
    <row r="12" customFormat="false" ht="33.75" hidden="false" customHeight="true" outlineLevel="0" collapsed="false">
      <c r="A12" s="38" t="s">
        <v>56</v>
      </c>
      <c r="B12" s="39" t="n">
        <v>0.0875</v>
      </c>
      <c r="C12" s="40" t="n">
        <v>25</v>
      </c>
      <c r="D12" s="32"/>
      <c r="E12" s="32"/>
      <c r="G12" s="33" t="n">
        <v>4</v>
      </c>
      <c r="H12" s="34" t="s">
        <v>57</v>
      </c>
      <c r="I12" s="42"/>
      <c r="J12" s="36" t="str">
        <f aca="false">IF(ISBLANK(I12),"◯ Not attempted",IF(NOT(_xlfn.ISFORMULA(I12)),"✎ Use a formula",IF(UPPER(TRIM(I12&amp;""))=UPPER(TRIM($L$12&amp;"")),"✓ Correct","✗ Check again")))</f>
        <v>◯ Not attempted</v>
      </c>
      <c r="K12" s="37" t="s">
        <v>58</v>
      </c>
      <c r="L12" s="0" t="str">
        <f aca="false">"LIC Housing"</f>
        <v>LIC Housing</v>
      </c>
      <c r="M12" s="0" t="n">
        <f aca="false">ROUND(-PMT(B12/12,C12*12,$B$6),0)</f>
        <v>23020</v>
      </c>
      <c r="N12" s="0" t="n">
        <f aca="false">ROUND(-PMT(B12/12,C12*12,$B$6),0)*C12*12</f>
        <v>6906000</v>
      </c>
    </row>
    <row r="13" customFormat="false" ht="33.75" hidden="false" customHeight="true" outlineLevel="0" collapsed="false">
      <c r="A13" s="29" t="s">
        <v>59</v>
      </c>
      <c r="B13" s="30" t="n">
        <v>0.092</v>
      </c>
      <c r="C13" s="31" t="n">
        <v>15</v>
      </c>
      <c r="D13" s="32"/>
      <c r="E13" s="32"/>
      <c r="G13" s="33" t="n">
        <v>5</v>
      </c>
      <c r="H13" s="34" t="s">
        <v>60</v>
      </c>
      <c r="I13" s="42"/>
      <c r="J13" s="36" t="str">
        <f aca="false">IF(ISBLANK(I13),"◯ Not attempted",IF(NOT(_xlfn.ISFORMULA(I13)),"✎ Use a formula",IF(UPPER(TRIM(I13&amp;""))=UPPER(TRIM($L$13&amp;"")),"✓ Correct","✗ Check again")))</f>
        <v>◯ Not attempted</v>
      </c>
      <c r="K13" s="37" t="s">
        <v>61</v>
      </c>
      <c r="L13" s="0" t="str">
        <f aca="false">"Kotak"</f>
        <v>Kotak</v>
      </c>
      <c r="M13" s="0" t="n">
        <f aca="false">ROUND(-PMT(B13/12,C13*12,$B$6),0)</f>
        <v>28734</v>
      </c>
      <c r="N13" s="0" t="n">
        <f aca="false">ROUND(-PMT(B13/12,C13*12,$B$6),0)*C13*12</f>
        <v>5172120</v>
      </c>
    </row>
    <row r="14" customFormat="false" ht="33.75" hidden="false" customHeight="true" outlineLevel="0" collapsed="false">
      <c r="A14" s="38" t="s">
        <v>62</v>
      </c>
      <c r="B14" s="39" t="n">
        <v>0.085</v>
      </c>
      <c r="C14" s="40" t="n">
        <v>22</v>
      </c>
      <c r="D14" s="32"/>
      <c r="E14" s="32"/>
      <c r="G14" s="33" t="n">
        <v>6</v>
      </c>
      <c r="H14" s="34" t="s">
        <v>63</v>
      </c>
      <c r="I14" s="41"/>
      <c r="J14" s="36" t="str">
        <f aca="false">IF(ISBLANK(I14),"◯ Not attempted",IF(NOT(_xlfn.ISFORMULA(I14)),"✎ Use a formula",IF(ISNUMBER(I14),IF(ABS(I14-$L$14)&lt;0.005,"✓ Correct","✗ Check again"),"✗ Not a number")))</f>
        <v>◯ Not attempted</v>
      </c>
      <c r="K14" s="37" t="s">
        <v>64</v>
      </c>
      <c r="L14" s="0" t="n">
        <f aca="false">SUMPRODUCT(MAX(ROUND(-PMT($B$9:$B$16/12,$C$9:$C$16*12,$B$6),0)*$C$9:$C$16*12))-SUMPRODUCT(MIN(ROUND(-PMT($B$9:$B$16/12,$C$9:$C$16*12,$B$6),0)*$C$9:$C$16*12))</f>
        <v>2793960</v>
      </c>
      <c r="M14" s="0" t="n">
        <f aca="false">ROUND(-PMT(B14/12,C14*12,$B$6),0)</f>
        <v>23475</v>
      </c>
      <c r="N14" s="0" t="n">
        <f aca="false">ROUND(-PMT(B14/12,C14*12,$B$6),0)*C14*12</f>
        <v>6197400</v>
      </c>
    </row>
    <row r="15" customFormat="false" ht="33.75" hidden="false" customHeight="true" outlineLevel="0" collapsed="false">
      <c r="A15" s="29" t="s">
        <v>65</v>
      </c>
      <c r="B15" s="30" t="n">
        <v>0.0955</v>
      </c>
      <c r="C15" s="31" t="n">
        <v>20</v>
      </c>
      <c r="D15" s="32"/>
      <c r="E15" s="32"/>
      <c r="G15" s="33" t="n">
        <v>7</v>
      </c>
      <c r="H15" s="34" t="s">
        <v>66</v>
      </c>
      <c r="I15" s="43"/>
      <c r="J15" s="36" t="str">
        <f aca="false">IF(ISBLANK(I15),"◯ Not attempted",IF(NOT(_xlfn.ISFORMULA(I15)),"✎ Use a formula",IF(ISNUMBER(I15),IF(ABS(I15-$L$15)&lt;0.005,"✓ Correct","✗ Check again"),"✗ Not a number")))</f>
        <v>◯ Not attempted</v>
      </c>
      <c r="K15" s="37" t="s">
        <v>67</v>
      </c>
      <c r="L15" s="44" t="n">
        <f aca="false">SUMPRODUCT(--(ROUND(-PMT($B$9:$B$16/12,$C$9:$C$16*12,$B$6),0)&lt;25000))</f>
        <v>4</v>
      </c>
      <c r="M15" s="45" t="n">
        <f aca="false">ROUND(-PMT(B15/12,C15*12,$B$6),0)</f>
        <v>26191</v>
      </c>
      <c r="N15" s="45" t="n">
        <f aca="false">ROUND(-PMT(B15/12,C15*12,$B$6),0)*C15*12</f>
        <v>6285840</v>
      </c>
    </row>
    <row r="16" customFormat="false" ht="15" hidden="false" customHeight="false" outlineLevel="0" collapsed="false">
      <c r="A16" s="38" t="s">
        <v>68</v>
      </c>
      <c r="B16" s="39" t="n">
        <v>0.088</v>
      </c>
      <c r="C16" s="40" t="n">
        <v>30</v>
      </c>
      <c r="D16" s="32"/>
      <c r="E16" s="32"/>
      <c r="M16" s="45" t="n">
        <f aca="false">ROUND(-PMT(B16/12,C16*12,$B$6),0)</f>
        <v>22128</v>
      </c>
      <c r="N16" s="45" t="n">
        <f aca="false">ROUND(-PMT(B16/12,C16*12,$B$6),0)*C16*12</f>
        <v>7966080</v>
      </c>
    </row>
  </sheetData>
  <mergeCells count="3">
    <mergeCell ref="A1:K1"/>
    <mergeCell ref="A2:K2"/>
    <mergeCell ref="A3:K5"/>
  </mergeCells>
  <conditionalFormatting sqref="J9:J15">
    <cfRule type="expression" priority="2" aboveAverage="0" equalAverage="0" bottom="0" percent="0" rank="0" text="" dxfId="0">
      <formula>LEFT(J9,1)="✓"</formula>
    </cfRule>
    <cfRule type="expression" priority="3" aboveAverage="0" equalAverage="0" bottom="0" percent="0" rank="0" text="" dxfId="1">
      <formula>LEFT(J9,1)="✗"</formula>
    </cfRule>
    <cfRule type="expression" priority="4" aboveAverage="0" equalAverage="0" bottom="0" percent="0" rank="0" text="" dxfId="2">
      <formula>LEFT(J9,1)="✎"</formula>
    </cfRule>
    <cfRule type="expression" priority="5" aboveAverage="0" equalAverage="0" bottom="0" percent="0" rank="0" text="" dxfId="3">
      <formula>LEFT(J9,1)="◯"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P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4" min="3" style="0" width="14"/>
    <col collapsed="false" customWidth="true" hidden="false" outlineLevel="0" max="5" min="5" style="0" width="15"/>
    <col collapsed="false" customWidth="true" hidden="false" outlineLevel="0" max="6" min="6" style="0" width="3"/>
    <col collapsed="false" customWidth="true" hidden="false" outlineLevel="0" max="7" min="7" style="0" width="5"/>
    <col collapsed="false" customWidth="true" hidden="false" outlineLevel="0" max="8" min="8" style="0" width="46"/>
    <col collapsed="false" customWidth="true" hidden="false" outlineLevel="0" max="9" min="9" style="0" width="18"/>
    <col collapsed="false" customWidth="true" hidden="false" outlineLevel="0" max="10" min="10" style="0" width="17"/>
    <col collapsed="false" customWidth="true" hidden="false" outlineLevel="0" max="11" min="11" style="0" width="38"/>
    <col collapsed="false" customWidth="true" hidden="true" outlineLevel="0" max="17" min="12" style="0" width="13"/>
  </cols>
  <sheetData>
    <row r="1" customFormat="false" ht="31.5" hidden="false" customHeight="true" outlineLevel="0" collapsed="false">
      <c r="A1" s="46" t="s">
        <v>69</v>
      </c>
      <c r="B1" s="46"/>
      <c r="C1" s="46"/>
      <c r="D1" s="46"/>
      <c r="E1" s="46"/>
      <c r="F1" s="46"/>
      <c r="G1" s="46"/>
      <c r="H1" s="46"/>
      <c r="I1" s="46"/>
      <c r="J1" s="46"/>
      <c r="K1" s="46"/>
    </row>
    <row r="2" customFormat="false" ht="19.5" hidden="false" customHeight="true" outlineLevel="0" collapsed="false">
      <c r="A2" s="47" t="s">
        <v>70</v>
      </c>
      <c r="B2" s="47"/>
      <c r="C2" s="47"/>
      <c r="D2" s="47"/>
      <c r="E2" s="47"/>
      <c r="F2" s="47"/>
      <c r="G2" s="47"/>
      <c r="H2" s="47"/>
      <c r="I2" s="47"/>
      <c r="J2" s="47"/>
      <c r="K2" s="47"/>
    </row>
    <row r="3" customFormat="false" ht="18.75" hidden="false" customHeight="true" outlineLevel="0" collapsed="false">
      <c r="A3" s="48" t="s">
        <v>71</v>
      </c>
      <c r="B3" s="48"/>
      <c r="C3" s="48"/>
      <c r="D3" s="48"/>
      <c r="E3" s="48"/>
      <c r="F3" s="48"/>
      <c r="G3" s="48"/>
      <c r="H3" s="48"/>
      <c r="I3" s="48"/>
      <c r="J3" s="48"/>
      <c r="K3" s="48"/>
    </row>
    <row r="4" customFormat="false" ht="18.75" hidden="false" customHeight="true" outlineLevel="0" collapsed="false">
      <c r="A4" s="48"/>
      <c r="B4" s="48"/>
      <c r="C4" s="48"/>
      <c r="D4" s="48"/>
      <c r="E4" s="48"/>
      <c r="F4" s="48"/>
      <c r="G4" s="48"/>
      <c r="H4" s="48"/>
      <c r="I4" s="48"/>
      <c r="J4" s="48"/>
      <c r="K4" s="48"/>
    </row>
    <row r="5" customFormat="false" ht="18.75" hidden="false" customHeight="true" outlineLevel="0" collapsed="false">
      <c r="A5" s="48"/>
      <c r="B5" s="48"/>
      <c r="C5" s="48"/>
      <c r="D5" s="48"/>
      <c r="E5" s="48"/>
      <c r="F5" s="48"/>
      <c r="G5" s="48"/>
      <c r="H5" s="48"/>
      <c r="I5" s="48"/>
      <c r="J5" s="48"/>
      <c r="K5" s="48"/>
    </row>
    <row r="6" customFormat="false" ht="19.5" hidden="false" customHeight="true" outlineLevel="0" collapsed="false">
      <c r="A6" s="24" t="s">
        <v>35</v>
      </c>
      <c r="B6" s="25" t="n">
        <v>600000</v>
      </c>
      <c r="D6" s="24" t="s">
        <v>72</v>
      </c>
      <c r="E6" s="49" t="n">
        <v>0.095</v>
      </c>
      <c r="G6" s="24" t="s">
        <v>38</v>
      </c>
      <c r="H6" s="50" t="n">
        <v>2</v>
      </c>
    </row>
    <row r="8" customFormat="false" ht="24" hidden="false" customHeight="true" outlineLevel="0" collapsed="false">
      <c r="A8" s="26" t="s">
        <v>73</v>
      </c>
      <c r="B8" s="27" t="s">
        <v>74</v>
      </c>
      <c r="C8" s="27" t="s">
        <v>75</v>
      </c>
      <c r="D8" s="27" t="s">
        <v>76</v>
      </c>
      <c r="E8" s="27" t="s">
        <v>77</v>
      </c>
      <c r="G8" s="51" t="s">
        <v>14</v>
      </c>
      <c r="H8" s="51" t="s">
        <v>41</v>
      </c>
      <c r="I8" s="51" t="s">
        <v>42</v>
      </c>
      <c r="J8" s="51" t="s">
        <v>43</v>
      </c>
      <c r="K8" s="51" t="s">
        <v>44</v>
      </c>
    </row>
    <row r="9" customFormat="false" ht="33.75" hidden="false" customHeight="true" outlineLevel="0" collapsed="false">
      <c r="A9" s="31" t="n">
        <v>1</v>
      </c>
      <c r="B9" s="52"/>
      <c r="C9" s="52"/>
      <c r="D9" s="52"/>
      <c r="E9" s="52"/>
      <c r="G9" s="53" t="n">
        <v>1</v>
      </c>
      <c r="H9" s="34" t="s">
        <v>78</v>
      </c>
      <c r="I9" s="54"/>
      <c r="J9" s="36" t="str">
        <f aca="false">IF(ISBLANK(I9),"◯ Not attempted",IF(NOT(_xlfn.ISFORMULA(I9)),"✎ Use a formula",IF(ISNUMBER(I9),IF(ABS(I9-$L$9)&lt;0.02,"✓ Correct","✗ Check again"),"✗ Not a number")))</f>
        <v>◯ Not attempted</v>
      </c>
      <c r="K9" s="37" t="s">
        <v>79</v>
      </c>
      <c r="L9" s="55" t="n">
        <f aca="false">-PMT($E$6/12,$H$6*12,$B$6)</f>
        <v>27548.6957933552</v>
      </c>
      <c r="M9" s="56" t="n">
        <f aca="false">-FV($E$6/12,0,PMT($E$6/12,$H$6*12,$B$6),$B$6)</f>
        <v>600000</v>
      </c>
      <c r="N9" s="56" t="n">
        <f aca="false">-IPMT($E$6/12,1,$H$6*12,$B$6)</f>
        <v>4750</v>
      </c>
      <c r="O9" s="56" t="n">
        <f aca="false">-PPMT($E$6/12,1,$H$6*12,$B$6)</f>
        <v>22798.6957933552</v>
      </c>
      <c r="P9" s="56" t="n">
        <f aca="false">-FV($E$6/12,1,PMT($E$6/12,$H$6*12,$B$6),$B$6)</f>
        <v>577201.304206645</v>
      </c>
    </row>
    <row r="10" customFormat="false" ht="33.75" hidden="false" customHeight="true" outlineLevel="0" collapsed="false">
      <c r="A10" s="40" t="n">
        <v>2</v>
      </c>
      <c r="B10" s="52"/>
      <c r="C10" s="52"/>
      <c r="D10" s="52"/>
      <c r="E10" s="52"/>
      <c r="G10" s="53" t="n">
        <v>2</v>
      </c>
      <c r="H10" s="34" t="s">
        <v>80</v>
      </c>
      <c r="I10" s="35" t="s">
        <v>81</v>
      </c>
      <c r="J10" s="36" t="str">
        <f aca="false">IF(COUNTA($B$9:$B$32)=0,"◯ Not attempted",IF(NOT(_xlfn.ISFORMULA(B9)),"✎ Use a formula",IFERROR(IF(SUMPRODUCT(--(ABS($B$9:$B$32-$M$9:$M$32)&lt;0.5))=ROWS($B$9:$B$32),"✓ Correct","✗ "&amp;(ROWS($B$9:$B$32)-SUMPRODUCT(--(ABS($B$9:$B$32-$M$9:$M$32)&lt;0.5)))&amp;" rows differ"),"✗ Check the column")))</f>
        <v>◯ Not attempted</v>
      </c>
      <c r="K10" s="37" t="s">
        <v>82</v>
      </c>
      <c r="M10" s="56" t="n">
        <f aca="false">-FV($E$6/12,1,PMT($E$6/12,$H$6*12,$B$6),$B$6)</f>
        <v>577201.304206645</v>
      </c>
      <c r="N10" s="56" t="n">
        <f aca="false">-IPMT($E$6/12,2,$H$6*12,$B$6)</f>
        <v>4569.51032496927</v>
      </c>
      <c r="O10" s="56" t="n">
        <f aca="false">-PPMT($E$6/12,2,$H$6*12,$B$6)</f>
        <v>22979.1854683859</v>
      </c>
      <c r="P10" s="56" t="n">
        <f aca="false">-FV($E$6/12,2,PMT($E$6/12,$H$6*12,$B$6),$B$6)</f>
        <v>554222.118738259</v>
      </c>
    </row>
    <row r="11" customFormat="false" ht="33.75" hidden="false" customHeight="true" outlineLevel="0" collapsed="false">
      <c r="A11" s="31" t="n">
        <v>3</v>
      </c>
      <c r="B11" s="52"/>
      <c r="C11" s="52"/>
      <c r="D11" s="52"/>
      <c r="E11" s="52"/>
      <c r="G11" s="53" t="n">
        <v>3</v>
      </c>
      <c r="H11" s="34" t="s">
        <v>83</v>
      </c>
      <c r="I11" s="35" t="s">
        <v>84</v>
      </c>
      <c r="J11" s="36" t="str">
        <f aca="false">IF(COUNTA($C$9:$C$32)=0,"◯ Not attempted",IF(NOT(_xlfn.ISFORMULA(C9)),"✎ Use a formula",IFERROR(IF(SUMPRODUCT(--(ABS($C$9:$C$32-$N$9:$N$32)&lt;0.5))=ROWS($C$9:$C$32),"✓ Correct","✗ "&amp;(ROWS($C$9:$C$32)-SUMPRODUCT(--(ABS($C$9:$C$32-$N$9:$N$32)&lt;0.5)))&amp;" rows differ"),"✗ Check the column")))</f>
        <v>◯ Not attempted</v>
      </c>
      <c r="K11" s="37" t="s">
        <v>85</v>
      </c>
      <c r="M11" s="56" t="n">
        <f aca="false">-FV($E$6/12,2,PMT($E$6/12,$H$6*12,$B$6),$B$6)</f>
        <v>554222.118738259</v>
      </c>
      <c r="N11" s="56" t="n">
        <f aca="false">-IPMT($E$6/12,3,$H$6*12,$B$6)</f>
        <v>4387.59177334455</v>
      </c>
      <c r="O11" s="56" t="n">
        <f aca="false">-PPMT($E$6/12,3,$H$6*12,$B$6)</f>
        <v>23161.1040200106</v>
      </c>
      <c r="P11" s="56" t="n">
        <f aca="false">-FV($E$6/12,3,PMT($E$6/12,$H$6*12,$B$6),$B$6)</f>
        <v>531061.014718249</v>
      </c>
    </row>
    <row r="12" customFormat="false" ht="33.75" hidden="false" customHeight="true" outlineLevel="0" collapsed="false">
      <c r="A12" s="40" t="n">
        <v>4</v>
      </c>
      <c r="B12" s="52"/>
      <c r="C12" s="52"/>
      <c r="D12" s="52"/>
      <c r="E12" s="52"/>
      <c r="G12" s="53" t="n">
        <v>4</v>
      </c>
      <c r="H12" s="34" t="s">
        <v>86</v>
      </c>
      <c r="I12" s="35" t="s">
        <v>47</v>
      </c>
      <c r="J12" s="36" t="str">
        <f aca="false">IF(COUNTA($D$9:$D$32)=0,"◯ Not attempted",IF(NOT(_xlfn.ISFORMULA(D9)),"✎ Use a formula",IFERROR(IF(SUMPRODUCT(--(ABS($D$9:$D$32-$O$9:$O$32)&lt;0.5))=ROWS($D$9:$D$32),"✓ Correct","✗ "&amp;(ROWS($D$9:$D$32)-SUMPRODUCT(--(ABS($D$9:$D$32-$O$9:$O$32)&lt;0.5)))&amp;" rows differ"),"✗ Check the column")))</f>
        <v>◯ Not attempted</v>
      </c>
      <c r="K12" s="37" t="s">
        <v>87</v>
      </c>
      <c r="M12" s="56" t="n">
        <f aca="false">-FV($E$6/12,3,PMT($E$6/12,$H$6*12,$B$6),$B$6)</f>
        <v>531061.014718249</v>
      </c>
      <c r="N12" s="56" t="n">
        <f aca="false">-IPMT($E$6/12,4,$H$6*12,$B$6)</f>
        <v>4204.23303318614</v>
      </c>
      <c r="O12" s="56" t="n">
        <f aca="false">-PPMT($E$6/12,4,$H$6*12,$B$6)</f>
        <v>23344.4627601691</v>
      </c>
      <c r="P12" s="56" t="n">
        <f aca="false">-FV($E$6/12,4,PMT($E$6/12,$H$6*12,$B$6),$B$6)</f>
        <v>507716.551958081</v>
      </c>
    </row>
    <row r="13" customFormat="false" ht="33.75" hidden="false" customHeight="true" outlineLevel="0" collapsed="false">
      <c r="A13" s="31" t="n">
        <v>5</v>
      </c>
      <c r="B13" s="52"/>
      <c r="C13" s="52"/>
      <c r="D13" s="52"/>
      <c r="E13" s="52"/>
      <c r="G13" s="53" t="n">
        <v>5</v>
      </c>
      <c r="H13" s="34" t="s">
        <v>88</v>
      </c>
      <c r="I13" s="35" t="s">
        <v>51</v>
      </c>
      <c r="J13" s="36" t="str">
        <f aca="false">IF(COUNTA($E$9:$E$32)=0,"◯ Not attempted",IF(NOT(_xlfn.ISFORMULA(E9)),"✎ Use a formula",IFERROR(IF(SUMPRODUCT(--(ABS($E$9:$E$32-$P$9:$P$32)&lt;0.5))=ROWS($E$9:$E$32),"✓ Correct","✗ "&amp;(ROWS($E$9:$E$32)-SUMPRODUCT(--(ABS($E$9:$E$32-$P$9:$P$32)&lt;0.5)))&amp;" rows differ"),"✗ Check the column")))</f>
        <v>◯ Not attempted</v>
      </c>
      <c r="K13" s="37" t="s">
        <v>89</v>
      </c>
      <c r="M13" s="56" t="n">
        <f aca="false">-FV($E$6/12,4,PMT($E$6/12,$H$6*12,$B$6),$B$6)</f>
        <v>507716.551958081</v>
      </c>
      <c r="N13" s="56" t="n">
        <f aca="false">-IPMT($E$6/12,5,$H$6*12,$B$6)</f>
        <v>4019.42270300147</v>
      </c>
      <c r="O13" s="56" t="n">
        <f aca="false">-PPMT($E$6/12,5,$H$6*12,$B$6)</f>
        <v>23529.2730903537</v>
      </c>
      <c r="P13" s="56" t="n">
        <f aca="false">-FV($E$6/12,5,PMT($E$6/12,$H$6*12,$B$6),$B$6)</f>
        <v>484187.278867727</v>
      </c>
    </row>
    <row r="14" customFormat="false" ht="33.75" hidden="false" customHeight="true" outlineLevel="0" collapsed="false">
      <c r="A14" s="40" t="n">
        <v>6</v>
      </c>
      <c r="B14" s="52"/>
      <c r="C14" s="52"/>
      <c r="D14" s="52"/>
      <c r="E14" s="52"/>
      <c r="G14" s="53" t="n">
        <v>6</v>
      </c>
      <c r="H14" s="34" t="s">
        <v>90</v>
      </c>
      <c r="I14" s="54"/>
      <c r="J14" s="36" t="str">
        <f aca="false">IF(ISBLANK(I14),"◯ Not attempted",IF(NOT(_xlfn.ISFORMULA(I14)),"✎ Use a formula",IF(ISNUMBER(I14),IF(ABS(I14-$L$14)&lt;0.5,"✓ Correct","✗ Check again"),"✗ Not a number")))</f>
        <v>◯ Not attempted</v>
      </c>
      <c r="K14" s="37" t="s">
        <v>91</v>
      </c>
      <c r="L14" s="55" t="n">
        <f aca="false">-CUMIPMT($E$6/12,$H$6*12,$B$6,1,$H$6*12,0)</f>
        <v>61168.6990405253</v>
      </c>
      <c r="M14" s="56" t="n">
        <f aca="false">-FV($E$6/12,5,PMT($E$6/12,$H$6*12,$B$6),$B$6)</f>
        <v>484187.278867727</v>
      </c>
      <c r="N14" s="56" t="n">
        <f aca="false">-IPMT($E$6/12,6,$H$6*12,$B$6)</f>
        <v>3833.14929103617</v>
      </c>
      <c r="O14" s="56" t="n">
        <f aca="false">-PPMT($E$6/12,6,$H$6*12,$B$6)</f>
        <v>23715.546502319</v>
      </c>
      <c r="P14" s="56" t="n">
        <f aca="false">-FV($E$6/12,6,PMT($E$6/12,$H$6*12,$B$6),$B$6)</f>
        <v>460471.732365408</v>
      </c>
    </row>
    <row r="15" customFormat="false" ht="33.75" hidden="false" customHeight="true" outlineLevel="0" collapsed="false">
      <c r="A15" s="31" t="n">
        <v>7</v>
      </c>
      <c r="B15" s="52"/>
      <c r="C15" s="52"/>
      <c r="D15" s="52"/>
      <c r="E15" s="52"/>
      <c r="G15" s="53" t="n">
        <v>7</v>
      </c>
      <c r="H15" s="34" t="s">
        <v>92</v>
      </c>
      <c r="I15" s="54"/>
      <c r="J15" s="36" t="str">
        <f aca="false">IF(ISBLANK(I15),"◯ Not attempted",IF(NOT(_xlfn.ISFORMULA(I15)),"✎ Use a formula",IF(ISNUMBER(I15),IF(ABS(I15-$L$15)&lt;0.5,"✓ Correct","✗ Check again"),"✗ Not a number")))</f>
        <v>◯ Not attempted</v>
      </c>
      <c r="K15" s="37" t="s">
        <v>93</v>
      </c>
      <c r="L15" s="55" t="n">
        <f aca="false">0</f>
        <v>0</v>
      </c>
      <c r="M15" s="56" t="n">
        <f aca="false">-FV($E$6/12,6,PMT($E$6/12,$H$6*12,$B$6),$B$6)</f>
        <v>460471.732365408</v>
      </c>
      <c r="N15" s="56" t="n">
        <f aca="false">-IPMT($E$6/12,7,$H$6*12,$B$6)</f>
        <v>3645.40121455948</v>
      </c>
      <c r="O15" s="56" t="n">
        <f aca="false">-PPMT($E$6/12,7,$H$6*12,$B$6)</f>
        <v>23903.2945787957</v>
      </c>
      <c r="P15" s="56" t="n">
        <f aca="false">-FV($E$6/12,7,PMT($E$6/12,$H$6*12,$B$6),$B$6)</f>
        <v>436568.437786613</v>
      </c>
    </row>
    <row r="16" customFormat="false" ht="33.75" hidden="false" customHeight="true" outlineLevel="0" collapsed="false">
      <c r="A16" s="40" t="n">
        <v>8</v>
      </c>
      <c r="B16" s="52"/>
      <c r="C16" s="52"/>
      <c r="D16" s="52"/>
      <c r="E16" s="52"/>
      <c r="G16" s="53" t="n">
        <v>8</v>
      </c>
      <c r="H16" s="34" t="s">
        <v>94</v>
      </c>
      <c r="I16" s="43"/>
      <c r="J16" s="36" t="str">
        <f aca="false">IF(ISBLANK(I16),"◯ Not attempted",IF(NOT(_xlfn.ISFORMULA(I16)),"✎ Use a formula",IF(ISNUMBER(I16),IF(ABS(I16-$L$16)&lt;0.005,"✓ Correct","✗ Check again"),"✗ Not a number")))</f>
        <v>◯ Not attempted</v>
      </c>
      <c r="K16" s="37" t="s">
        <v>95</v>
      </c>
      <c r="L16" s="44" t="n">
        <f aca="false">SUMPRODUCT(--(-IPMT($E$6/12,$A$9:$A$32,$H$6*12,$B$6)&gt;=-PPMT($E$6/12,$A$9:$A$32,$H$6*12,$B$6)))+1</f>
        <v>1</v>
      </c>
      <c r="M16" s="56" t="n">
        <f aca="false">-FV($E$6/12,7,PMT($E$6/12,$H$6*12,$B$6),$B$6)</f>
        <v>436568.437786613</v>
      </c>
      <c r="N16" s="56" t="n">
        <f aca="false">-IPMT($E$6/12,8,$H$6*12,$B$6)</f>
        <v>3456.16679914402</v>
      </c>
      <c r="O16" s="56" t="n">
        <f aca="false">-PPMT($E$6/12,8,$H$6*12,$B$6)</f>
        <v>24092.5289942112</v>
      </c>
      <c r="P16" s="56" t="n">
        <f aca="false">-FV($E$6/12,8,PMT($E$6/12,$H$6*12,$B$6),$B$6)</f>
        <v>412475.908792402</v>
      </c>
    </row>
    <row r="17" customFormat="false" ht="15" hidden="false" customHeight="false" outlineLevel="0" collapsed="false">
      <c r="A17" s="31" t="n">
        <v>9</v>
      </c>
      <c r="B17" s="52"/>
      <c r="C17" s="52"/>
      <c r="D17" s="52"/>
      <c r="E17" s="52"/>
      <c r="M17" s="56" t="n">
        <f aca="false">-FV($E$6/12,8,PMT($E$6/12,$H$6*12,$B$6),$B$6)</f>
        <v>412475.908792402</v>
      </c>
      <c r="N17" s="56" t="n">
        <f aca="false">-IPMT($E$6/12,9,$H$6*12,$B$6)</f>
        <v>3265.43427793985</v>
      </c>
      <c r="O17" s="56" t="n">
        <f aca="false">-PPMT($E$6/12,9,$H$6*12,$B$6)</f>
        <v>24283.2615154153</v>
      </c>
      <c r="P17" s="56" t="n">
        <f aca="false">-FV($E$6/12,9,PMT($E$6/12,$H$6*12,$B$6),$B$6)</f>
        <v>388192.647276987</v>
      </c>
    </row>
    <row r="18" customFormat="false" ht="15" hidden="false" customHeight="false" outlineLevel="0" collapsed="false">
      <c r="A18" s="40" t="n">
        <v>10</v>
      </c>
      <c r="B18" s="52"/>
      <c r="C18" s="52"/>
      <c r="D18" s="52"/>
      <c r="E18" s="52"/>
      <c r="M18" s="56" t="n">
        <f aca="false">-FV($E$6/12,9,PMT($E$6/12,$H$6*12,$B$6),$B$6)</f>
        <v>388192.647276987</v>
      </c>
      <c r="N18" s="56" t="n">
        <f aca="false">-IPMT($E$6/12,10,$H$6*12,$B$6)</f>
        <v>3073.19179094281</v>
      </c>
      <c r="O18" s="56" t="n">
        <f aca="false">-PPMT($E$6/12,10,$H$6*12,$B$6)</f>
        <v>24475.5040024124</v>
      </c>
      <c r="P18" s="56" t="n">
        <f aca="false">-FV($E$6/12,10,PMT($E$6/12,$H$6*12,$B$6),$B$6)</f>
        <v>363717.143274575</v>
      </c>
    </row>
    <row r="19" customFormat="false" ht="15" hidden="false" customHeight="false" outlineLevel="0" collapsed="false">
      <c r="A19" s="31" t="n">
        <v>11</v>
      </c>
      <c r="B19" s="52"/>
      <c r="C19" s="52"/>
      <c r="D19" s="52"/>
      <c r="E19" s="52"/>
      <c r="M19" s="56" t="n">
        <f aca="false">-FV($E$6/12,10,PMT($E$6/12,$H$6*12,$B$6),$B$6)</f>
        <v>363717.143274575</v>
      </c>
      <c r="N19" s="56" t="n">
        <f aca="false">-IPMT($E$6/12,11,$H$6*12,$B$6)</f>
        <v>2879.42738425705</v>
      </c>
      <c r="O19" s="56" t="n">
        <f aca="false">-PPMT($E$6/12,11,$H$6*12,$B$6)</f>
        <v>24669.2684090981</v>
      </c>
      <c r="P19" s="56" t="n">
        <f aca="false">-FV($E$6/12,11,PMT($E$6/12,$H$6*12,$B$6),$B$6)</f>
        <v>339047.874865477</v>
      </c>
    </row>
    <row r="20" customFormat="false" ht="15" hidden="false" customHeight="false" outlineLevel="0" collapsed="false">
      <c r="A20" s="40" t="n">
        <v>12</v>
      </c>
      <c r="B20" s="52"/>
      <c r="C20" s="52"/>
      <c r="D20" s="52"/>
      <c r="E20" s="52"/>
      <c r="M20" s="56" t="n">
        <f aca="false">-FV($E$6/12,11,PMT($E$6/12,$H$6*12,$B$6),$B$6)</f>
        <v>339047.874865477</v>
      </c>
      <c r="N20" s="56" t="n">
        <f aca="false">-IPMT($E$6/12,12,$H$6*12,$B$6)</f>
        <v>2684.12900935169</v>
      </c>
      <c r="O20" s="56" t="n">
        <f aca="false">-PPMT($E$6/12,12,$H$6*12,$B$6)</f>
        <v>24864.5667840035</v>
      </c>
      <c r="P20" s="56" t="n">
        <f aca="false">-FV($E$6/12,12,PMT($E$6/12,$H$6*12,$B$6),$B$6)</f>
        <v>314183.308081474</v>
      </c>
    </row>
    <row r="21" customFormat="false" ht="15" hidden="false" customHeight="false" outlineLevel="0" collapsed="false">
      <c r="A21" s="31" t="n">
        <v>13</v>
      </c>
      <c r="B21" s="52"/>
      <c r="C21" s="52"/>
      <c r="D21" s="52"/>
      <c r="E21" s="52"/>
      <c r="M21" s="56" t="n">
        <f aca="false">-FV($E$6/12,12,PMT($E$6/12,$H$6*12,$B$6),$B$6)</f>
        <v>314183.308081474</v>
      </c>
      <c r="N21" s="56" t="n">
        <f aca="false">-IPMT($E$6/12,13,$H$6*12,$B$6)</f>
        <v>2487.28452231167</v>
      </c>
      <c r="O21" s="56" t="n">
        <f aca="false">-PPMT($E$6/12,13,$H$6*12,$B$6)</f>
        <v>25061.4112710435</v>
      </c>
      <c r="P21" s="56" t="n">
        <f aca="false">-FV($E$6/12,13,PMT($E$6/12,$H$6*12,$B$6),$B$6)</f>
        <v>289121.896810431</v>
      </c>
    </row>
    <row r="22" customFormat="false" ht="15" hidden="false" customHeight="false" outlineLevel="0" collapsed="false">
      <c r="A22" s="40" t="n">
        <v>14</v>
      </c>
      <c r="B22" s="52"/>
      <c r="C22" s="52"/>
      <c r="D22" s="52"/>
      <c r="E22" s="52"/>
      <c r="M22" s="56" t="n">
        <f aca="false">-FV($E$6/12,13,PMT($E$6/12,$H$6*12,$B$6),$B$6)</f>
        <v>289121.896810431</v>
      </c>
      <c r="N22" s="56" t="n">
        <f aca="false">-IPMT($E$6/12,14,$H$6*12,$B$6)</f>
        <v>2288.88168308258</v>
      </c>
      <c r="O22" s="56" t="n">
        <f aca="false">-PPMT($E$6/12,14,$H$6*12,$B$6)</f>
        <v>25259.8141102726</v>
      </c>
      <c r="P22" s="56" t="n">
        <f aca="false">-FV($E$6/12,14,PMT($E$6/12,$H$6*12,$B$6),$B$6)</f>
        <v>263862.082700158</v>
      </c>
    </row>
    <row r="23" customFormat="false" ht="15" hidden="false" customHeight="false" outlineLevel="0" collapsed="false">
      <c r="A23" s="31" t="n">
        <v>15</v>
      </c>
      <c r="B23" s="52"/>
      <c r="C23" s="52"/>
      <c r="D23" s="52"/>
      <c r="E23" s="52"/>
      <c r="M23" s="56" t="n">
        <f aca="false">-FV($E$6/12,14,PMT($E$6/12,$H$6*12,$B$6),$B$6)</f>
        <v>263862.082700158</v>
      </c>
      <c r="N23" s="56" t="n">
        <f aca="false">-IPMT($E$6/12,15,$H$6*12,$B$6)</f>
        <v>2088.90815470958</v>
      </c>
      <c r="O23" s="56" t="n">
        <f aca="false">-PPMT($E$6/12,15,$H$6*12,$B$6)</f>
        <v>25459.7876386456</v>
      </c>
      <c r="P23" s="56" t="n">
        <f aca="false">-FV($E$6/12,15,PMT($E$6/12,$H$6*12,$B$6),$B$6)</f>
        <v>238402.295061513</v>
      </c>
    </row>
    <row r="24" customFormat="false" ht="15" hidden="false" customHeight="false" outlineLevel="0" collapsed="false">
      <c r="A24" s="40" t="n">
        <v>16</v>
      </c>
      <c r="B24" s="52"/>
      <c r="C24" s="52"/>
      <c r="D24" s="52"/>
      <c r="E24" s="52"/>
      <c r="M24" s="56" t="n">
        <f aca="false">-FV($E$6/12,15,PMT($E$6/12,$H$6*12,$B$6),$B$6)</f>
        <v>238402.295061513</v>
      </c>
      <c r="N24" s="56" t="n">
        <f aca="false">-IPMT($E$6/12,16,$H$6*12,$B$6)</f>
        <v>1887.35150257031</v>
      </c>
      <c r="O24" s="56" t="n">
        <f aca="false">-PPMT($E$6/12,16,$H$6*12,$B$6)</f>
        <v>25661.3442907849</v>
      </c>
      <c r="P24" s="56" t="n">
        <f aca="false">-FV($E$6/12,16,PMT($E$6/12,$H$6*12,$B$6),$B$6)</f>
        <v>212740.950770728</v>
      </c>
    </row>
    <row r="25" customFormat="false" ht="15" hidden="false" customHeight="false" outlineLevel="0" collapsed="false">
      <c r="A25" s="31" t="n">
        <v>17</v>
      </c>
      <c r="B25" s="52"/>
      <c r="C25" s="52"/>
      <c r="D25" s="52"/>
      <c r="E25" s="52"/>
      <c r="M25" s="56" t="n">
        <f aca="false">-FV($E$6/12,16,PMT($E$6/12,$H$6*12,$B$6),$B$6)</f>
        <v>212740.950770728</v>
      </c>
      <c r="N25" s="56" t="n">
        <f aca="false">-IPMT($E$6/12,17,$H$6*12,$B$6)</f>
        <v>1684.1991936016</v>
      </c>
      <c r="O25" s="56" t="n">
        <f aca="false">-PPMT($E$6/12,17,$H$6*12,$B$6)</f>
        <v>25864.4965997536</v>
      </c>
      <c r="P25" s="56" t="n">
        <f aca="false">-FV($E$6/12,17,PMT($E$6/12,$H$6*12,$B$6),$B$6)</f>
        <v>186876.454170975</v>
      </c>
    </row>
    <row r="26" customFormat="false" ht="15" hidden="false" customHeight="false" outlineLevel="0" collapsed="false">
      <c r="A26" s="40" t="n">
        <v>18</v>
      </c>
      <c r="B26" s="52"/>
      <c r="C26" s="52"/>
      <c r="D26" s="52"/>
      <c r="E26" s="52"/>
      <c r="M26" s="56" t="n">
        <f aca="false">-FV($E$6/12,17,PMT($E$6/12,$H$6*12,$B$6),$B$6)</f>
        <v>186876.454170975</v>
      </c>
      <c r="N26" s="56" t="n">
        <f aca="false">-IPMT($E$6/12,18,$H$6*12,$B$6)</f>
        <v>1479.43859552022</v>
      </c>
      <c r="O26" s="56" t="n">
        <f aca="false">-PPMT($E$6/12,18,$H$6*12,$B$6)</f>
        <v>26069.257197835</v>
      </c>
      <c r="P26" s="56" t="n">
        <f aca="false">-FV($E$6/12,18,PMT($E$6/12,$H$6*12,$B$6),$B$6)</f>
        <v>160807.196973141</v>
      </c>
    </row>
    <row r="27" customFormat="false" ht="15" hidden="false" customHeight="false" outlineLevel="0" collapsed="false">
      <c r="A27" s="31" t="n">
        <v>19</v>
      </c>
      <c r="B27" s="52"/>
      <c r="C27" s="52"/>
      <c r="D27" s="52"/>
      <c r="E27" s="52"/>
      <c r="M27" s="56" t="n">
        <f aca="false">-FV($E$6/12,18,PMT($E$6/12,$H$6*12,$B$6),$B$6)</f>
        <v>160807.196973141</v>
      </c>
      <c r="N27" s="56" t="n">
        <f aca="false">-IPMT($E$6/12,19,$H$6*12,$B$6)</f>
        <v>1273.05697603736</v>
      </c>
      <c r="O27" s="56" t="n">
        <f aca="false">-PPMT($E$6/12,19,$H$6*12,$B$6)</f>
        <v>26275.6388173178</v>
      </c>
      <c r="P27" s="56" t="n">
        <f aca="false">-FV($E$6/12,19,PMT($E$6/12,$H$6*12,$B$6),$B$6)</f>
        <v>134531.558155823</v>
      </c>
    </row>
    <row r="28" customFormat="false" ht="15" hidden="false" customHeight="false" outlineLevel="0" collapsed="false">
      <c r="A28" s="40" t="n">
        <v>20</v>
      </c>
      <c r="B28" s="52"/>
      <c r="C28" s="52"/>
      <c r="D28" s="52"/>
      <c r="E28" s="52"/>
      <c r="M28" s="56" t="n">
        <f aca="false">-FV($E$6/12,19,PMT($E$6/12,$H$6*12,$B$6),$B$6)</f>
        <v>134531.558155823</v>
      </c>
      <c r="N28" s="56" t="n">
        <f aca="false">-IPMT($E$6/12,20,$H$6*12,$B$6)</f>
        <v>1065.04150206693</v>
      </c>
      <c r="O28" s="56" t="n">
        <f aca="false">-PPMT($E$6/12,20,$H$6*12,$B$6)</f>
        <v>26483.6542912883</v>
      </c>
      <c r="P28" s="56" t="n">
        <f aca="false">-FV($E$6/12,20,PMT($E$6/12,$H$6*12,$B$6),$B$6)</f>
        <v>108047.903864535</v>
      </c>
    </row>
    <row r="29" customFormat="false" ht="15" hidden="false" customHeight="false" outlineLevel="0" collapsed="false">
      <c r="A29" s="31" t="n">
        <v>21</v>
      </c>
      <c r="B29" s="52"/>
      <c r="C29" s="52"/>
      <c r="D29" s="52"/>
      <c r="E29" s="52"/>
      <c r="M29" s="56" t="n">
        <f aca="false">-FV($E$6/12,20,PMT($E$6/12,$H$6*12,$B$6),$B$6)</f>
        <v>108047.903864535</v>
      </c>
      <c r="N29" s="56" t="n">
        <f aca="false">-IPMT($E$6/12,21,$H$6*12,$B$6)</f>
        <v>855.379238927568</v>
      </c>
      <c r="O29" s="56" t="n">
        <f aca="false">-PPMT($E$6/12,21,$H$6*12,$B$6)</f>
        <v>26693.3165544276</v>
      </c>
      <c r="P29" s="56" t="n">
        <f aca="false">-FV($E$6/12,21,PMT($E$6/12,$H$6*12,$B$6),$B$6)</f>
        <v>81354.5873101077</v>
      </c>
    </row>
    <row r="30" customFormat="false" ht="15" hidden="false" customHeight="false" outlineLevel="0" collapsed="false">
      <c r="A30" s="40" t="n">
        <v>22</v>
      </c>
      <c r="B30" s="52"/>
      <c r="C30" s="52"/>
      <c r="D30" s="52"/>
      <c r="E30" s="52"/>
      <c r="M30" s="56" t="n">
        <f aca="false">-FV($E$6/12,21,PMT($E$6/12,$H$6*12,$B$6),$B$6)</f>
        <v>81354.5873101077</v>
      </c>
      <c r="N30" s="56" t="n">
        <f aca="false">-IPMT($E$6/12,22,$H$6*12,$B$6)</f>
        <v>644.057149538352</v>
      </c>
      <c r="O30" s="56" t="n">
        <f aca="false">-PPMT($E$6/12,22,$H$6*12,$B$6)</f>
        <v>26904.6386438168</v>
      </c>
      <c r="P30" s="56" t="n">
        <f aca="false">-FV($E$6/12,22,PMT($E$6/12,$H$6*12,$B$6),$B$6)</f>
        <v>54449.9486662913</v>
      </c>
    </row>
    <row r="31" customFormat="false" ht="15" hidden="false" customHeight="false" outlineLevel="0" collapsed="false">
      <c r="A31" s="31" t="n">
        <v>23</v>
      </c>
      <c r="B31" s="52"/>
      <c r="C31" s="52"/>
      <c r="D31" s="52"/>
      <c r="E31" s="52"/>
      <c r="M31" s="56" t="n">
        <f aca="false">-FV($E$6/12,22,PMT($E$6/12,$H$6*12,$B$6),$B$6)</f>
        <v>54449.9486662913</v>
      </c>
      <c r="N31" s="56" t="n">
        <f aca="false">-IPMT($E$6/12,23,$H$6*12,$B$6)</f>
        <v>431.06209360814</v>
      </c>
      <c r="O31" s="56" t="n">
        <f aca="false">-PPMT($E$6/12,23,$H$6*12,$B$6)</f>
        <v>27117.6336997471</v>
      </c>
      <c r="P31" s="56" t="n">
        <f aca="false">-FV($E$6/12,23,PMT($E$6/12,$H$6*12,$B$6),$B$6)</f>
        <v>27332.3149665445</v>
      </c>
    </row>
    <row r="32" customFormat="false" ht="15" hidden="false" customHeight="false" outlineLevel="0" collapsed="false">
      <c r="A32" s="40" t="n">
        <v>24</v>
      </c>
      <c r="B32" s="52"/>
      <c r="C32" s="52"/>
      <c r="D32" s="52"/>
      <c r="E32" s="52"/>
      <c r="M32" s="56" t="n">
        <f aca="false">-FV($E$6/12,23,PMT($E$6/12,$H$6*12,$B$6),$B$6)</f>
        <v>27332.3149665445</v>
      </c>
      <c r="N32" s="56" t="n">
        <f aca="false">-IPMT($E$6/12,24,$H$6*12,$B$6)</f>
        <v>216.380826818477</v>
      </c>
      <c r="O32" s="56" t="n">
        <f aca="false">-PPMT($E$6/12,24,$H$6*12,$B$6)</f>
        <v>27332.3149665367</v>
      </c>
      <c r="P32" s="56" t="n">
        <f aca="false">-FV($E$6/12,24,PMT($E$6/12,$H$6*12,$B$6),$B$6)</f>
        <v>8.14907252788544E-009</v>
      </c>
    </row>
  </sheetData>
  <mergeCells count="3">
    <mergeCell ref="A1:K1"/>
    <mergeCell ref="A2:K2"/>
    <mergeCell ref="A3:K5"/>
  </mergeCells>
  <conditionalFormatting sqref="J9:J16">
    <cfRule type="expression" priority="2" aboveAverage="0" equalAverage="0" bottom="0" percent="0" rank="0" text="" dxfId="0">
      <formula>LEFT(J9,1)="✓"</formula>
    </cfRule>
    <cfRule type="expression" priority="3" aboveAverage="0" equalAverage="0" bottom="0" percent="0" rank="0" text="" dxfId="1">
      <formula>LEFT(J9,1)="✗"</formula>
    </cfRule>
    <cfRule type="expression" priority="4" aboveAverage="0" equalAverage="0" bottom="0" percent="0" rank="0" text="" dxfId="2">
      <formula>LEFT(J9,1)="✎"</formula>
    </cfRule>
    <cfRule type="expression" priority="5" aboveAverage="0" equalAverage="0" bottom="0" percent="0" rank="0" text="" dxfId="3">
      <formula>LEFT(J9,1)="◯"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9"/>
    <col collapsed="false" customWidth="true" hidden="false" outlineLevel="0" max="4" min="4" style="0" width="15"/>
    <col collapsed="false" customWidth="true" hidden="false" outlineLevel="0" max="5" min="5" style="0" width="3"/>
    <col collapsed="false" customWidth="true" hidden="false" outlineLevel="0" max="6" min="6" style="0" width="5"/>
    <col collapsed="false" customWidth="true" hidden="false" outlineLevel="0" max="7" min="7" style="0" width="46"/>
    <col collapsed="false" customWidth="true" hidden="false" outlineLevel="0" max="8" min="8" style="0" width="18"/>
    <col collapsed="false" customWidth="true" hidden="false" outlineLevel="0" max="9" min="9" style="0" width="17"/>
    <col collapsed="false" customWidth="true" hidden="false" outlineLevel="0" max="10" min="10" style="0" width="38"/>
    <col collapsed="false" customWidth="true" hidden="true" outlineLevel="0" max="13" min="11" style="0" width="13"/>
  </cols>
  <sheetData>
    <row r="1" customFormat="false" ht="31.5" hidden="false" customHeight="true" outlineLevel="0" collapsed="false">
      <c r="A1" s="46" t="s">
        <v>96</v>
      </c>
      <c r="B1" s="46"/>
      <c r="C1" s="46"/>
      <c r="D1" s="46"/>
      <c r="E1" s="46"/>
      <c r="F1" s="46"/>
      <c r="G1" s="46"/>
      <c r="H1" s="46"/>
      <c r="I1" s="46"/>
      <c r="J1" s="46"/>
    </row>
    <row r="2" customFormat="false" ht="19.5" hidden="false" customHeight="true" outlineLevel="0" collapsed="false">
      <c r="A2" s="47" t="s">
        <v>97</v>
      </c>
      <c r="B2" s="47"/>
      <c r="C2" s="47"/>
      <c r="D2" s="47"/>
      <c r="E2" s="47"/>
      <c r="F2" s="47"/>
      <c r="G2" s="47"/>
      <c r="H2" s="47"/>
      <c r="I2" s="47"/>
      <c r="J2" s="47"/>
    </row>
    <row r="3" customFormat="false" ht="18.75" hidden="false" customHeight="true" outlineLevel="0" collapsed="false">
      <c r="A3" s="48" t="s">
        <v>98</v>
      </c>
      <c r="B3" s="48"/>
      <c r="C3" s="48"/>
      <c r="D3" s="48"/>
      <c r="E3" s="48"/>
      <c r="F3" s="48"/>
      <c r="G3" s="48"/>
      <c r="H3" s="48"/>
      <c r="I3" s="48"/>
      <c r="J3" s="48"/>
    </row>
    <row r="4" customFormat="false" ht="18.75" hidden="false" customHeight="true" outlineLevel="0" collapsed="false">
      <c r="A4" s="48"/>
      <c r="B4" s="48"/>
      <c r="C4" s="48"/>
      <c r="D4" s="48"/>
      <c r="E4" s="48"/>
      <c r="F4" s="48"/>
      <c r="G4" s="48"/>
      <c r="H4" s="48"/>
      <c r="I4" s="48"/>
      <c r="J4" s="48"/>
    </row>
    <row r="5" customFormat="false" ht="18.75" hidden="false" customHeight="true" outlineLevel="0" collapsed="false">
      <c r="A5" s="48"/>
      <c r="B5" s="48"/>
      <c r="C5" s="48"/>
      <c r="D5" s="48"/>
      <c r="E5" s="48"/>
      <c r="F5" s="48"/>
      <c r="G5" s="48"/>
      <c r="H5" s="48"/>
      <c r="I5" s="48"/>
      <c r="J5" s="48"/>
    </row>
    <row r="6" customFormat="false" ht="19.5" hidden="false" customHeight="true" outlineLevel="0" collapsed="false">
      <c r="A6" s="24" t="s">
        <v>99</v>
      </c>
      <c r="B6" s="49" t="n">
        <v>0.12</v>
      </c>
    </row>
    <row r="8" customFormat="false" ht="24" hidden="false" customHeight="true" outlineLevel="0" collapsed="false">
      <c r="A8" s="26" t="s">
        <v>100</v>
      </c>
      <c r="B8" s="26" t="s">
        <v>101</v>
      </c>
      <c r="C8" s="26" t="s">
        <v>38</v>
      </c>
      <c r="D8" s="27" t="s">
        <v>102</v>
      </c>
      <c r="F8" s="51" t="s">
        <v>14</v>
      </c>
      <c r="G8" s="51" t="s">
        <v>41</v>
      </c>
      <c r="H8" s="51" t="s">
        <v>42</v>
      </c>
      <c r="I8" s="51" t="s">
        <v>43</v>
      </c>
      <c r="J8" s="51" t="s">
        <v>44</v>
      </c>
    </row>
    <row r="9" customFormat="false" ht="33.75" hidden="false" customHeight="true" outlineLevel="0" collapsed="false">
      <c r="A9" s="29" t="s">
        <v>103</v>
      </c>
      <c r="B9" s="57" t="n">
        <v>600000</v>
      </c>
      <c r="C9" s="31" t="n">
        <v>2</v>
      </c>
      <c r="D9" s="52"/>
      <c r="F9" s="53" t="n">
        <v>1</v>
      </c>
      <c r="G9" s="34" t="s">
        <v>104</v>
      </c>
      <c r="H9" s="35" t="s">
        <v>47</v>
      </c>
      <c r="I9" s="36" t="str">
        <f aca="false">IF(COUNTA($D$9:$D$15)=0,"◯ Not attempted",IF(NOT(_xlfn.ISFORMULA(D9)),"✎ Use a formula",IFERROR(IF(SUMPRODUCT(--(ABS($D$9:$D$15-$L$9:$L$15)&lt;0.05))=ROWS($D$9:$D$15),"✓ Correct","✗ "&amp;(ROWS($D$9:$D$15)-SUMPRODUCT(--(ABS($D$9:$D$15-$L$9:$L$15)&lt;0.05)))&amp;" rows differ"),"✗ Check the column")))</f>
        <v>◯ Not attempted</v>
      </c>
      <c r="J9" s="37" t="s">
        <v>105</v>
      </c>
      <c r="L9" s="56" t="n">
        <f aca="false">-PMT($B$6/12,C9*12,0,B9)</f>
        <v>22244.0833339588</v>
      </c>
    </row>
    <row r="10" customFormat="false" ht="33.75" hidden="false" customHeight="true" outlineLevel="0" collapsed="false">
      <c r="A10" s="38" t="s">
        <v>106</v>
      </c>
      <c r="B10" s="58" t="n">
        <v>120000</v>
      </c>
      <c r="C10" s="40" t="n">
        <v>1</v>
      </c>
      <c r="D10" s="52"/>
      <c r="F10" s="53" t="n">
        <v>2</v>
      </c>
      <c r="G10" s="34" t="s">
        <v>107</v>
      </c>
      <c r="H10" s="54"/>
      <c r="I10" s="36" t="str">
        <f aca="false">IF(ISBLANK(H10),"◯ Not attempted",IF(NOT(_xlfn.ISFORMULA(H10)),"✎ Use a formula",IF(ISNUMBER(H10),IF(ABS(H10-$K$10)&lt;0.5,"✓ Correct","✗ Check again"),"✗ Not a number")))</f>
        <v>◯ Not attempted</v>
      </c>
      <c r="J10" s="37" t="s">
        <v>108</v>
      </c>
      <c r="K10" s="55" t="n">
        <f aca="false">FV($B$6/12,15*12,-10000)</f>
        <v>4995801.97535618</v>
      </c>
      <c r="L10" s="56" t="n">
        <f aca="false">-PMT($B$6/12,C10*12,0,B10)</f>
        <v>9461.85464140101</v>
      </c>
    </row>
    <row r="11" customFormat="false" ht="33.75" hidden="false" customHeight="true" outlineLevel="0" collapsed="false">
      <c r="A11" s="29" t="s">
        <v>109</v>
      </c>
      <c r="B11" s="57" t="n">
        <v>2500000</v>
      </c>
      <c r="C11" s="31" t="n">
        <v>5</v>
      </c>
      <c r="D11" s="52"/>
      <c r="F11" s="53" t="n">
        <v>3</v>
      </c>
      <c r="G11" s="34" t="s">
        <v>110</v>
      </c>
      <c r="H11" s="54"/>
      <c r="I11" s="36" t="str">
        <f aca="false">IF(ISBLANK(H11),"◯ Not attempted",IF(NOT(_xlfn.ISFORMULA(H11)),"✎ Use a formula",IF(ISNUMBER(H11),IF(ABS(H11-$K$11)&lt;0.5,"✓ Correct","✗ Check again"),"✗ Not a number")))</f>
        <v>◯ Not attempted</v>
      </c>
      <c r="J11" s="37" t="s">
        <v>111</v>
      </c>
      <c r="K11" s="55" t="n">
        <f aca="false">FV($B$6/12,15*12,-10000)-10000*15*12</f>
        <v>3195801.97535618</v>
      </c>
      <c r="L11" s="56" t="n">
        <f aca="false">-PMT($B$6/12,C11*12,0,B11)</f>
        <v>30611.1192122544</v>
      </c>
    </row>
    <row r="12" customFormat="false" ht="33.75" hidden="false" customHeight="true" outlineLevel="0" collapsed="false">
      <c r="A12" s="38" t="s">
        <v>112</v>
      </c>
      <c r="B12" s="58" t="n">
        <v>800000</v>
      </c>
      <c r="C12" s="40" t="n">
        <v>3</v>
      </c>
      <c r="D12" s="52"/>
      <c r="F12" s="53" t="n">
        <v>4</v>
      </c>
      <c r="G12" s="34" t="s">
        <v>113</v>
      </c>
      <c r="H12" s="43"/>
      <c r="I12" s="36" t="str">
        <f aca="false">IF(ISBLANK(H12),"◯ Not attempted",IF(NOT(_xlfn.ISFORMULA(H12)),"✎ Use a formula",IF(ISNUMBER(H12),IF(ABS(H12-$K$12)&lt;0.005,"✓ Correct","✗ Check again"),"✗ Not a number")))</f>
        <v>◯ Not attempted</v>
      </c>
      <c r="J12" s="37" t="s">
        <v>114</v>
      </c>
      <c r="K12" s="44" t="n">
        <f aca="false">ROUNDUP(NPER($B$6/12,-15000,0,2500000),0)</f>
        <v>99</v>
      </c>
      <c r="L12" s="56" t="n">
        <f aca="false">-PMT($B$6/12,C12*12,0,B12)</f>
        <v>18571.447850281</v>
      </c>
    </row>
    <row r="13" customFormat="false" ht="33.75" hidden="false" customHeight="true" outlineLevel="0" collapsed="false">
      <c r="A13" s="29" t="s">
        <v>115</v>
      </c>
      <c r="B13" s="57" t="n">
        <v>4000000</v>
      </c>
      <c r="C13" s="31" t="n">
        <v>8</v>
      </c>
      <c r="D13" s="52"/>
      <c r="F13" s="53" t="n">
        <v>5</v>
      </c>
      <c r="G13" s="34" t="s">
        <v>116</v>
      </c>
      <c r="H13" s="59"/>
      <c r="I13" s="36" t="str">
        <f aca="false">IF(ISBLANK(H13),"◯ Not attempted",IF(NOT(_xlfn.ISFORMULA(H13)),"✎ Use a formula",IF(ISNUMBER(H13),IF(ABS(H13-$K$13)&lt;0.0001,"✓ Correct","✗ Check again"),"✗ Not a number")))</f>
        <v>◯ Not attempted</v>
      </c>
      <c r="J13" s="37" t="s">
        <v>117</v>
      </c>
      <c r="K13" s="60" t="n">
        <f aca="false">RATE(120,-5000,0,1200000)*12</f>
        <v>0.127188326169789</v>
      </c>
      <c r="L13" s="56" t="n">
        <f aca="false">-PMT($B$6/12,C13*12,0,B13)</f>
        <v>25011.3657029547</v>
      </c>
    </row>
    <row r="14" customFormat="false" ht="33.75" hidden="false" customHeight="true" outlineLevel="0" collapsed="false">
      <c r="A14" s="38" t="s">
        <v>118</v>
      </c>
      <c r="B14" s="58" t="n">
        <v>1800000</v>
      </c>
      <c r="C14" s="40" t="n">
        <v>4</v>
      </c>
      <c r="D14" s="52"/>
      <c r="F14" s="53" t="n">
        <v>6</v>
      </c>
      <c r="G14" s="34" t="s">
        <v>119</v>
      </c>
      <c r="H14" s="54"/>
      <c r="I14" s="36" t="str">
        <f aca="false">IF(ISBLANK(H14),"◯ Not attempted",IF(NOT(_xlfn.ISFORMULA(H14)),"✎ Use a formula",IF(ISNUMBER(H14),IF(ABS(H14-$K$14)&lt;0.5,"✓ Correct","✗ Check again"),"✗ Not a number")))</f>
        <v>◯ Not attempted</v>
      </c>
      <c r="J14" s="37" t="s">
        <v>120</v>
      </c>
      <c r="K14" s="55" t="n">
        <f aca="false">-PV($B$6,12,0,5000000)</f>
        <v>1283375.46472694</v>
      </c>
      <c r="L14" s="56" t="n">
        <f aca="false">-PMT($B$6/12,C14*12,0,B14)</f>
        <v>29400.90377747</v>
      </c>
    </row>
    <row r="15" customFormat="false" ht="33.75" hidden="false" customHeight="true" outlineLevel="0" collapsed="false">
      <c r="A15" s="29" t="s">
        <v>121</v>
      </c>
      <c r="B15" s="57" t="n">
        <v>20000000</v>
      </c>
      <c r="C15" s="31" t="n">
        <v>25</v>
      </c>
      <c r="D15" s="52"/>
      <c r="F15" s="53" t="n">
        <v>7</v>
      </c>
      <c r="G15" s="34" t="s">
        <v>122</v>
      </c>
      <c r="H15" s="54"/>
      <c r="I15" s="36" t="str">
        <f aca="false">IF(ISBLANK(H15),"◯ Not attempted",IF(NOT(_xlfn.ISFORMULA(H15)),"✎ Use a formula",IF(ISNUMBER(H15),IF(ABS(H15-$K$15)&lt;0.05,"✓ Correct","✗ Check again"),"✗ Not a number")))</f>
        <v>◯ Not attempted</v>
      </c>
      <c r="J15" s="37" t="s">
        <v>123</v>
      </c>
      <c r="K15" s="55" t="n">
        <f aca="false">SUMPRODUCT(-PMT($B$6/12,$C$9:$C$15*12,0,$B$9:$B$15))</f>
        <v>145945.602957846</v>
      </c>
      <c r="L15" s="56" t="n">
        <f aca="false">-PMT($B$6/12,C15*12,0,B15)</f>
        <v>10644.8284395256</v>
      </c>
    </row>
    <row r="16" customFormat="false" ht="33.75" hidden="false" customHeight="true" outlineLevel="0" collapsed="false">
      <c r="F16" s="53" t="n">
        <v>8</v>
      </c>
      <c r="G16" s="34" t="s">
        <v>124</v>
      </c>
      <c r="H16" s="42"/>
      <c r="I16" s="36" t="str">
        <f aca="false">IF(ISBLANK(H16),"◯ Not attempted",IF(NOT(_xlfn.ISFORMULA(H16)),"✎ Use a formula",IF(UPPER(TRIM(H16&amp;""))=UPPER(TRIM($K$16&amp;"")),"✓ Correct","✗ Check again")))</f>
        <v>◯ Not attempted</v>
      </c>
      <c r="J16" s="37" t="s">
        <v>125</v>
      </c>
      <c r="K16" s="0" t="str">
        <f aca="false">"Higher studies"</f>
        <v>Higher studies</v>
      </c>
    </row>
  </sheetData>
  <mergeCells count="3">
    <mergeCell ref="A1:J1"/>
    <mergeCell ref="A2:J2"/>
    <mergeCell ref="A3:J5"/>
  </mergeCells>
  <conditionalFormatting sqref="I9:I16">
    <cfRule type="expression" priority="2" aboveAverage="0" equalAverage="0" bottom="0" percent="0" rank="0" text="" dxfId="0">
      <formula>LEFT(I9,1)="✓"</formula>
    </cfRule>
    <cfRule type="expression" priority="3" aboveAverage="0" equalAverage="0" bottom="0" percent="0" rank="0" text="" dxfId="1">
      <formula>LEFT(I9,1)="✗"</formula>
    </cfRule>
    <cfRule type="expression" priority="4" aboveAverage="0" equalAverage="0" bottom="0" percent="0" rank="0" text="" dxfId="2">
      <formula>LEFT(I9,1)="✎"</formula>
    </cfRule>
    <cfRule type="expression" priority="5" aboveAverage="0" equalAverage="0" bottom="0" percent="0" rank="0" text="" dxfId="3">
      <formula>LEFT(I9,1)="◯"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6"/>
    <col collapsed="false" customWidth="true" hidden="false" outlineLevel="0" max="4" min="4" style="0" width="3"/>
    <col collapsed="false" customWidth="true" hidden="false" outlineLevel="0" max="5" min="5" style="0" width="5"/>
    <col collapsed="false" customWidth="true" hidden="false" outlineLevel="0" max="6" min="6" style="0" width="46"/>
    <col collapsed="false" customWidth="true" hidden="false" outlineLevel="0" max="7" min="7" style="0" width="18"/>
    <col collapsed="false" customWidth="true" hidden="false" outlineLevel="0" max="8" min="8" style="0" width="17"/>
    <col collapsed="false" customWidth="true" hidden="false" outlineLevel="0" max="9" min="9" style="0" width="38"/>
    <col collapsed="false" customWidth="true" hidden="true" outlineLevel="0" max="12" min="10" style="0" width="13"/>
  </cols>
  <sheetData>
    <row r="1" customFormat="false" ht="31.5" hidden="false" customHeight="true" outlineLevel="0" collapsed="false">
      <c r="A1" s="61" t="s">
        <v>126</v>
      </c>
      <c r="B1" s="61"/>
      <c r="C1" s="61"/>
      <c r="D1" s="61"/>
      <c r="E1" s="61"/>
      <c r="F1" s="61"/>
      <c r="G1" s="61"/>
      <c r="H1" s="61"/>
      <c r="I1" s="61"/>
    </row>
    <row r="2" customFormat="false" ht="19.5" hidden="false" customHeight="true" outlineLevel="0" collapsed="false">
      <c r="A2" s="62" t="s">
        <v>127</v>
      </c>
      <c r="B2" s="62"/>
      <c r="C2" s="62"/>
      <c r="D2" s="62"/>
      <c r="E2" s="62"/>
      <c r="F2" s="62"/>
      <c r="G2" s="62"/>
      <c r="H2" s="62"/>
      <c r="I2" s="62"/>
    </row>
    <row r="3" customFormat="false" ht="18.75" hidden="false" customHeight="true" outlineLevel="0" collapsed="false">
      <c r="A3" s="63" t="s">
        <v>128</v>
      </c>
      <c r="B3" s="63"/>
      <c r="C3" s="63"/>
      <c r="D3" s="63"/>
      <c r="E3" s="63"/>
      <c r="F3" s="63"/>
      <c r="G3" s="63"/>
      <c r="H3" s="63"/>
      <c r="I3" s="63"/>
    </row>
    <row r="4" customFormat="false" ht="18.75" hidden="false" customHeight="true" outlineLevel="0" collapsed="false">
      <c r="A4" s="63"/>
      <c r="B4" s="63"/>
      <c r="C4" s="63"/>
      <c r="D4" s="63"/>
      <c r="E4" s="63"/>
      <c r="F4" s="63"/>
      <c r="G4" s="63"/>
      <c r="H4" s="63"/>
      <c r="I4" s="63"/>
    </row>
    <row r="5" customFormat="false" ht="18.75" hidden="false" customHeight="true" outlineLevel="0" collapsed="false">
      <c r="A5" s="63"/>
      <c r="B5" s="63"/>
      <c r="C5" s="63"/>
      <c r="D5" s="63"/>
      <c r="E5" s="63"/>
      <c r="F5" s="63"/>
      <c r="G5" s="63"/>
      <c r="H5" s="63"/>
      <c r="I5" s="63"/>
    </row>
    <row r="6" customFormat="false" ht="19.5" hidden="false" customHeight="true" outlineLevel="0" collapsed="false">
      <c r="A6" s="24" t="s">
        <v>129</v>
      </c>
      <c r="B6" s="49" t="n">
        <v>0.14</v>
      </c>
    </row>
    <row r="8" customFormat="false" ht="24" hidden="false" customHeight="true" outlineLevel="0" collapsed="false">
      <c r="A8" s="26" t="s">
        <v>130</v>
      </c>
      <c r="B8" s="26" t="s">
        <v>131</v>
      </c>
      <c r="C8" s="27" t="s">
        <v>132</v>
      </c>
      <c r="E8" s="64" t="s">
        <v>14</v>
      </c>
      <c r="F8" s="64" t="s">
        <v>41</v>
      </c>
      <c r="G8" s="64" t="s">
        <v>42</v>
      </c>
      <c r="H8" s="64" t="s">
        <v>43</v>
      </c>
      <c r="I8" s="64" t="s">
        <v>44</v>
      </c>
    </row>
    <row r="9" customFormat="false" ht="33.75" hidden="false" customHeight="true" outlineLevel="0" collapsed="false">
      <c r="A9" s="31" t="n">
        <v>0</v>
      </c>
      <c r="B9" s="57" t="n">
        <v>-4200000</v>
      </c>
      <c r="C9" s="32"/>
      <c r="E9" s="65" t="n">
        <v>1</v>
      </c>
      <c r="F9" s="34" t="s">
        <v>133</v>
      </c>
      <c r="G9" s="35" t="s">
        <v>84</v>
      </c>
      <c r="H9" s="36" t="str">
        <f aca="false">IF(COUNTA($C$9:$C$16)=0,"◯ Not attempted",IF(NOT(_xlfn.ISFORMULA(C9)),"✎ Use a formula",IFERROR(IF(SUMPRODUCT(--(ABS($C$9:$C$16-$K$9:$K$16)&lt;0.01))=ROWS($C$9:$C$16),"✓ Correct","✗ "&amp;(ROWS($C$9:$C$16)-SUMPRODUCT(--(ABS($C$9:$C$16-$K$9:$K$16)&lt;0.01)))&amp;" rows differ"),"✗ Check the column")))</f>
        <v>◯ Not attempted</v>
      </c>
      <c r="I9" s="37" t="s">
        <v>134</v>
      </c>
      <c r="K9" s="0" t="n">
        <f aca="false">SUM($B$9:B9)</f>
        <v>-4200000</v>
      </c>
    </row>
    <row r="10" customFormat="false" ht="33.75" hidden="false" customHeight="true" outlineLevel="0" collapsed="false">
      <c r="A10" s="40" t="n">
        <v>1</v>
      </c>
      <c r="B10" s="58" t="n">
        <v>620000</v>
      </c>
      <c r="C10" s="32"/>
      <c r="E10" s="65" t="n">
        <v>2</v>
      </c>
      <c r="F10" s="34" t="s">
        <v>135</v>
      </c>
      <c r="G10" s="54"/>
      <c r="H10" s="36" t="str">
        <f aca="false">IF(ISBLANK(G10),"◯ Not attempted",IF(NOT(_xlfn.ISFORMULA(G10)),"✎ Use a formula",IF(ISNUMBER(G10),IF(ABS(G10-$J$10)&lt;0.5,"✓ Correct","✗ Check again"),"✗ Not a number")))</f>
        <v>◯ Not attempted</v>
      </c>
      <c r="I10" s="37" t="s">
        <v>136</v>
      </c>
      <c r="J10" s="55" t="n">
        <f aca="false">NPV($B$6,B10:B16)+B9</f>
        <v>140997.514405828</v>
      </c>
      <c r="K10" s="45" t="n">
        <f aca="false">SUM($B$9:B10)</f>
        <v>-3580000</v>
      </c>
    </row>
    <row r="11" customFormat="false" ht="33.75" hidden="false" customHeight="true" outlineLevel="0" collapsed="false">
      <c r="A11" s="31" t="n">
        <v>2</v>
      </c>
      <c r="B11" s="57" t="n">
        <v>880000</v>
      </c>
      <c r="C11" s="32"/>
      <c r="E11" s="65" t="n">
        <v>3</v>
      </c>
      <c r="F11" s="34" t="s">
        <v>137</v>
      </c>
      <c r="G11" s="59"/>
      <c r="H11" s="36" t="str">
        <f aca="false">IF(ISBLANK(G11),"◯ Not attempted",IF(NOT(_xlfn.ISFORMULA(G11)),"✎ Use a formula",IF(ISNUMBER(G11),IF(ABS(G11-$J$11)&lt;0.0001,"✓ Correct","✗ Check again"),"✗ Not a number")))</f>
        <v>◯ Not attempted</v>
      </c>
      <c r="I11" s="37" t="s">
        <v>138</v>
      </c>
      <c r="J11" s="60" t="n">
        <f aca="false">IRR($B$9:$B$16)</f>
        <v>0.149965289710894</v>
      </c>
      <c r="K11" s="45" t="n">
        <f aca="false">SUM($B$9:B11)</f>
        <v>-2700000</v>
      </c>
    </row>
    <row r="12" customFormat="false" ht="33.75" hidden="false" customHeight="true" outlineLevel="0" collapsed="false">
      <c r="A12" s="40" t="n">
        <v>3</v>
      </c>
      <c r="B12" s="58" t="n">
        <v>1150000</v>
      </c>
      <c r="C12" s="32"/>
      <c r="E12" s="65" t="n">
        <v>4</v>
      </c>
      <c r="F12" s="34" t="s">
        <v>139</v>
      </c>
      <c r="G12" s="43"/>
      <c r="H12" s="36" t="str">
        <f aca="false">IF(ISBLANK(G12),"◯ Not attempted",IF(NOT(_xlfn.ISFORMULA(G12)),"✎ Use a formula",IF(ISNUMBER(G12),IF(ABS(G12-$J$12)&lt;0.005,"✓ Correct","✗ Check again"),"✗ Not a number")))</f>
        <v>◯ Not attempted</v>
      </c>
      <c r="I12" s="37" t="s">
        <v>140</v>
      </c>
      <c r="J12" s="44" t="n">
        <f aca="false">5</f>
        <v>5</v>
      </c>
      <c r="K12" s="45" t="n">
        <f aca="false">SUM($B$9:B12)</f>
        <v>-1550000</v>
      </c>
    </row>
    <row r="13" customFormat="false" ht="33.75" hidden="false" customHeight="true" outlineLevel="0" collapsed="false">
      <c r="A13" s="31" t="n">
        <v>4</v>
      </c>
      <c r="B13" s="57" t="n">
        <v>1240000</v>
      </c>
      <c r="C13" s="32"/>
      <c r="E13" s="65" t="n">
        <v>5</v>
      </c>
      <c r="F13" s="34" t="s">
        <v>141</v>
      </c>
      <c r="G13" s="54"/>
      <c r="H13" s="36" t="str">
        <f aca="false">IF(ISBLANK(G13),"◯ Not attempted",IF(NOT(_xlfn.ISFORMULA(G13)),"✎ Use a formula",IF(ISNUMBER(G13),IF(ABS(G13-$J$13)&lt;0.5,"✓ Correct","✗ Check again"),"✗ Not a number")))</f>
        <v>◯ Not attempted</v>
      </c>
      <c r="I13" s="37" t="s">
        <v>142</v>
      </c>
      <c r="J13" s="55" t="n">
        <f aca="false">NPV($B$6,B10:B16)</f>
        <v>4340997.51440583</v>
      </c>
      <c r="K13" s="45" t="n">
        <f aca="false">SUM($B$9:B13)</f>
        <v>-310000</v>
      </c>
    </row>
    <row r="14" customFormat="false" ht="33.75" hidden="false" customHeight="true" outlineLevel="0" collapsed="false">
      <c r="A14" s="40" t="n">
        <v>5</v>
      </c>
      <c r="B14" s="58" t="n">
        <v>1310000</v>
      </c>
      <c r="C14" s="32"/>
      <c r="E14" s="65" t="n">
        <v>6</v>
      </c>
      <c r="F14" s="34" t="s">
        <v>143</v>
      </c>
      <c r="G14" s="66"/>
      <c r="H14" s="36" t="str">
        <f aca="false">IF(ISBLANK(G14),"◯ Not attempted",IF(NOT(_xlfn.ISFORMULA(G14)),"✎ Use a formula",IF(ISNUMBER(G14),IF(ABS(G14-$J$14)&lt;0.0005,"✓ Correct","✗ Check again"),"✗ Not a number")))</f>
        <v>◯ Not attempted</v>
      </c>
      <c r="I14" s="37" t="s">
        <v>144</v>
      </c>
      <c r="J14" s="67" t="n">
        <f aca="false">NPV($B$6,B10:B16)/-B9</f>
        <v>1.03357083676329</v>
      </c>
      <c r="K14" s="45" t="n">
        <f aca="false">SUM($B$9:B14)</f>
        <v>1000000</v>
      </c>
    </row>
    <row r="15" customFormat="false" ht="33.75" hidden="false" customHeight="true" outlineLevel="0" collapsed="false">
      <c r="A15" s="31" t="n">
        <v>6</v>
      </c>
      <c r="B15" s="57" t="n">
        <v>1180000</v>
      </c>
      <c r="C15" s="32"/>
      <c r="E15" s="65" t="n">
        <v>7</v>
      </c>
      <c r="F15" s="34" t="s">
        <v>145</v>
      </c>
      <c r="G15" s="54"/>
      <c r="H15" s="36" t="str">
        <f aca="false">IF(ISBLANK(G15),"◯ Not attempted",IF(NOT(_xlfn.ISFORMULA(G15)),"✎ Use a formula",IF(ISNUMBER(G15),IF(ABS(G15-$J$15)&lt;1,"✓ Correct","✗ Check again"),"✗ Not a number")))</f>
        <v>◯ Not attempted</v>
      </c>
      <c r="I15" s="37" t="s">
        <v>146</v>
      </c>
      <c r="J15" s="55" t="n">
        <f aca="false">0</f>
        <v>0</v>
      </c>
      <c r="K15" s="45" t="n">
        <f aca="false">SUM($B$9:B15)</f>
        <v>2180000</v>
      </c>
    </row>
    <row r="16" customFormat="false" ht="33.75" hidden="false" customHeight="true" outlineLevel="0" collapsed="false">
      <c r="A16" s="40" t="n">
        <v>7</v>
      </c>
      <c r="B16" s="58" t="n">
        <v>980000</v>
      </c>
      <c r="C16" s="32"/>
      <c r="E16" s="65" t="n">
        <v>8</v>
      </c>
      <c r="F16" s="34" t="s">
        <v>147</v>
      </c>
      <c r="G16" s="54"/>
      <c r="H16" s="36" t="str">
        <f aca="false">IF(ISBLANK(G16),"◯ Not attempted",IF(NOT(_xlfn.ISFORMULA(G16)),"✎ Use a formula",IF(ISNUMBER(G16),IF(ABS(G16-$J$16)&lt;0.5,"✓ Correct","✗ Check again"),"✗ Not a number")))</f>
        <v>◯ Not attempted</v>
      </c>
      <c r="I16" s="37" t="s">
        <v>148</v>
      </c>
      <c r="J16" s="55" t="n">
        <f aca="false">NPV($B$6,B10:B16)*0.9+B9</f>
        <v>-293102.237034755</v>
      </c>
      <c r="K16" s="45" t="n">
        <f aca="false">SUM($B$9:B16)</f>
        <v>3160000</v>
      </c>
    </row>
  </sheetData>
  <mergeCells count="3">
    <mergeCell ref="A1:I1"/>
    <mergeCell ref="A2:I2"/>
    <mergeCell ref="A3:I5"/>
  </mergeCells>
  <conditionalFormatting sqref="H9:H16">
    <cfRule type="expression" priority="2" aboveAverage="0" equalAverage="0" bottom="0" percent="0" rank="0" text="" dxfId="0">
      <formula>LEFT(H9,1)="✓"</formula>
    </cfRule>
    <cfRule type="expression" priority="3" aboveAverage="0" equalAverage="0" bottom="0" percent="0" rank="0" text="" dxfId="1">
      <formula>LEFT(H9,1)="✗"</formula>
    </cfRule>
    <cfRule type="expression" priority="4" aboveAverage="0" equalAverage="0" bottom="0" percent="0" rank="0" text="" dxfId="2">
      <formula>LEFT(H9,1)="✎"</formula>
    </cfRule>
    <cfRule type="expression" priority="5" aboveAverage="0" equalAverage="0" bottom="0" percent="0" rank="0" text="" dxfId="3">
      <formula>LEFT(H9,1)="◯"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
    <col collapsed="false" customWidth="true" hidden="false" outlineLevel="0" max="4" min="4" style="0" width="5"/>
    <col collapsed="false" customWidth="true" hidden="false" outlineLevel="0" max="5" min="5" style="0" width="46"/>
    <col collapsed="false" customWidth="true" hidden="false" outlineLevel="0" max="6" min="6" style="0" width="18"/>
    <col collapsed="false" customWidth="true" hidden="false" outlineLevel="0" max="7" min="7" style="0" width="17"/>
    <col collapsed="false" customWidth="true" hidden="false" outlineLevel="0" max="8" min="8" style="0" width="38"/>
    <col collapsed="false" customWidth="true" hidden="true" outlineLevel="0" max="10" min="9" style="0" width="13"/>
  </cols>
  <sheetData>
    <row r="1" customFormat="false" ht="31.5" hidden="false" customHeight="true" outlineLevel="0" collapsed="false">
      <c r="A1" s="61" t="s">
        <v>149</v>
      </c>
      <c r="B1" s="61"/>
      <c r="C1" s="61"/>
      <c r="D1" s="61"/>
      <c r="E1" s="61"/>
      <c r="F1" s="61"/>
      <c r="G1" s="61"/>
      <c r="H1" s="61"/>
    </row>
    <row r="2" customFormat="false" ht="19.5" hidden="false" customHeight="true" outlineLevel="0" collapsed="false">
      <c r="A2" s="62" t="s">
        <v>150</v>
      </c>
      <c r="B2" s="62"/>
      <c r="C2" s="62"/>
      <c r="D2" s="62"/>
      <c r="E2" s="62"/>
      <c r="F2" s="62"/>
      <c r="G2" s="62"/>
      <c r="H2" s="62"/>
    </row>
    <row r="3" customFormat="false" ht="18.75" hidden="false" customHeight="true" outlineLevel="0" collapsed="false">
      <c r="A3" s="63" t="s">
        <v>151</v>
      </c>
      <c r="B3" s="63"/>
      <c r="C3" s="63"/>
      <c r="D3" s="63"/>
      <c r="E3" s="63"/>
      <c r="F3" s="63"/>
      <c r="G3" s="63"/>
      <c r="H3" s="63"/>
    </row>
    <row r="4" customFormat="false" ht="18.75" hidden="false" customHeight="true" outlineLevel="0" collapsed="false">
      <c r="A4" s="63"/>
      <c r="B4" s="63"/>
      <c r="C4" s="63"/>
      <c r="D4" s="63"/>
      <c r="E4" s="63"/>
      <c r="F4" s="63"/>
      <c r="G4" s="63"/>
      <c r="H4" s="63"/>
    </row>
    <row r="5" customFormat="false" ht="18.75" hidden="false" customHeight="true" outlineLevel="0" collapsed="false">
      <c r="A5" s="63"/>
      <c r="B5" s="63"/>
      <c r="C5" s="63"/>
      <c r="D5" s="63"/>
      <c r="E5" s="63"/>
      <c r="F5" s="63"/>
      <c r="G5" s="63"/>
      <c r="H5" s="63"/>
    </row>
    <row r="6" customFormat="false" ht="19.5" hidden="false" customHeight="true" outlineLevel="0" collapsed="false">
      <c r="A6" s="24" t="s">
        <v>129</v>
      </c>
      <c r="B6" s="49" t="n">
        <v>0.12</v>
      </c>
    </row>
    <row r="8" customFormat="false" ht="24" hidden="false" customHeight="true" outlineLevel="0" collapsed="false">
      <c r="A8" s="26" t="s">
        <v>152</v>
      </c>
      <c r="B8" s="26" t="s">
        <v>131</v>
      </c>
      <c r="D8" s="64" t="s">
        <v>14</v>
      </c>
      <c r="E8" s="64" t="s">
        <v>41</v>
      </c>
      <c r="F8" s="64" t="s">
        <v>42</v>
      </c>
      <c r="G8" s="64" t="s">
        <v>43</v>
      </c>
      <c r="H8" s="64" t="s">
        <v>44</v>
      </c>
    </row>
    <row r="9" customFormat="false" ht="33.75" hidden="false" customHeight="true" outlineLevel="0" collapsed="false">
      <c r="A9" s="68" t="n">
        <v>45397</v>
      </c>
      <c r="B9" s="57" t="n">
        <v>-500000</v>
      </c>
      <c r="D9" s="65" t="n">
        <v>1</v>
      </c>
      <c r="E9" s="34" t="s">
        <v>153</v>
      </c>
      <c r="F9" s="54"/>
      <c r="G9" s="36" t="str">
        <f aca="false">IF(ISBLANK(F9),"◯ Not attempted",IF(NOT(_xlfn.ISFORMULA(F9)),"✎ Use a formula",IF(ISNUMBER(F9),IF(ABS(F9-$I$9)&lt;0.5,"✓ Correct","✗ Check again"),"✗ Not a number")))</f>
        <v>◯ Not attempted</v>
      </c>
      <c r="H9" s="37" t="s">
        <v>154</v>
      </c>
      <c r="I9" s="55" t="n">
        <f aca="false">XNPV($B$6,$B$9:$B$18,$A$9:$A$18)</f>
        <v>119981.372619908</v>
      </c>
    </row>
    <row r="10" customFormat="false" ht="33.75" hidden="false" customHeight="true" outlineLevel="0" collapsed="false">
      <c r="A10" s="69" t="n">
        <v>45481</v>
      </c>
      <c r="B10" s="58" t="n">
        <v>-250000</v>
      </c>
      <c r="D10" s="65" t="n">
        <v>2</v>
      </c>
      <c r="E10" s="34" t="s">
        <v>155</v>
      </c>
      <c r="F10" s="59"/>
      <c r="G10" s="36" t="str">
        <f aca="false">IF(ISBLANK(F10),"◯ Not attempted",IF(NOT(_xlfn.ISFORMULA(F10)),"✎ Use a formula",IF(ISNUMBER(F10),IF(ABS(F10-$I$10)&lt;0.0001,"✓ Correct","✗ Check again"),"✗ Not a number")))</f>
        <v>◯ Not attempted</v>
      </c>
      <c r="H10" s="37" t="s">
        <v>156</v>
      </c>
      <c r="I10" s="60" t="n">
        <f aca="false">XIRR($B$9:$B$18,$A$9:$A$18)</f>
        <v>0.176141227346538</v>
      </c>
    </row>
    <row r="11" customFormat="false" ht="33.75" hidden="false" customHeight="true" outlineLevel="0" collapsed="false">
      <c r="A11" s="68" t="n">
        <v>45618</v>
      </c>
      <c r="B11" s="57" t="n">
        <v>-300000</v>
      </c>
      <c r="D11" s="65" t="n">
        <v>3</v>
      </c>
      <c r="E11" s="34" t="s">
        <v>157</v>
      </c>
      <c r="F11" s="59"/>
      <c r="G11" s="36" t="str">
        <f aca="false">IF(ISBLANK(F11),"◯ Not attempted",IF(NOT(_xlfn.ISFORMULA(F11)),"✎ Use a formula",IF(ISNUMBER(F11),IF(ABS(F11-$I$11)&lt;0.0001,"✓ Correct","✗ Check again"),"✗ Not a number")))</f>
        <v>◯ Not attempted</v>
      </c>
      <c r="H11" s="37" t="s">
        <v>158</v>
      </c>
      <c r="I11" s="60" t="n">
        <f aca="false">IRR($B$9:$B$18)</f>
        <v>0.050759171708855</v>
      </c>
    </row>
    <row r="12" customFormat="false" ht="33.75" hidden="false" customHeight="true" outlineLevel="0" collapsed="false">
      <c r="A12" s="69" t="n">
        <v>45702</v>
      </c>
      <c r="B12" s="58" t="n">
        <v>-200000</v>
      </c>
      <c r="D12" s="65" t="n">
        <v>4</v>
      </c>
      <c r="E12" s="34" t="s">
        <v>159</v>
      </c>
      <c r="F12" s="41"/>
      <c r="G12" s="36" t="str">
        <f aca="false">IF(ISBLANK(F12),"◯ Not attempted",IF(NOT(_xlfn.ISFORMULA(F12)),"✎ Use a formula",IF(ISNUMBER(F12),IF(ABS(F12-$I$12)&lt;0.005,"✓ Correct","✗ Check again"),"✗ Not a number")))</f>
        <v>◯ Not attempted</v>
      </c>
      <c r="H12" s="37" t="s">
        <v>160</v>
      </c>
      <c r="I12" s="0" t="n">
        <f aca="false">-1400000</f>
        <v>-1400000</v>
      </c>
    </row>
    <row r="13" customFormat="false" ht="33.75" hidden="false" customHeight="true" outlineLevel="0" collapsed="false">
      <c r="A13" s="68" t="n">
        <v>45811</v>
      </c>
      <c r="B13" s="57" t="n">
        <v>180000</v>
      </c>
      <c r="D13" s="65" t="n">
        <v>5</v>
      </c>
      <c r="E13" s="34" t="s">
        <v>161</v>
      </c>
      <c r="F13" s="41"/>
      <c r="G13" s="36" t="str">
        <f aca="false">IF(ISBLANK(F13),"◯ Not attempted",IF(NOT(_xlfn.ISFORMULA(F13)),"✎ Use a formula",IF(ISNUMBER(F13),IF(ABS(F13-$I$13)&lt;0.005,"✓ Correct","✗ Check again"),"✗ Not a number")))</f>
        <v>◯ Not attempted</v>
      </c>
      <c r="H13" s="37" t="s">
        <v>162</v>
      </c>
      <c r="I13" s="0" t="n">
        <f aca="false">1865000</f>
        <v>1865000</v>
      </c>
    </row>
    <row r="14" customFormat="false" ht="33.75" hidden="false" customHeight="true" outlineLevel="0" collapsed="false">
      <c r="A14" s="69" t="n">
        <v>45927</v>
      </c>
      <c r="B14" s="58" t="n">
        <v>-150000</v>
      </c>
      <c r="D14" s="65" t="n">
        <v>6</v>
      </c>
      <c r="E14" s="34" t="s">
        <v>163</v>
      </c>
      <c r="F14" s="59"/>
      <c r="G14" s="36" t="str">
        <f aca="false">IF(ISBLANK(F14),"◯ Not attempted",IF(NOT(_xlfn.ISFORMULA(F14)),"✎ Use a formula",IF(ISNUMBER(F14),IF(ABS(F14-$I$14)&lt;0.0001,"✓ Correct","✗ Check again"),"✗ Not a number")))</f>
        <v>◯ Not attempted</v>
      </c>
      <c r="H14" s="37" t="s">
        <v>164</v>
      </c>
      <c r="I14" s="60" t="n">
        <f aca="false">0.332143</f>
        <v>0.332143</v>
      </c>
    </row>
    <row r="15" customFormat="false" ht="33.75" hidden="false" customHeight="true" outlineLevel="0" collapsed="false">
      <c r="A15" s="68" t="n">
        <v>46031</v>
      </c>
      <c r="B15" s="57" t="n">
        <v>420000</v>
      </c>
      <c r="D15" s="65" t="n">
        <v>7</v>
      </c>
      <c r="E15" s="34" t="s">
        <v>165</v>
      </c>
      <c r="F15" s="43"/>
      <c r="G15" s="36" t="str">
        <f aca="false">IF(ISBLANK(F15),"◯ Not attempted",IF(NOT(_xlfn.ISFORMULA(F15)),"✎ Use a formula",IF(ISNUMBER(F15),IF(ABS(F15-$I$15)&lt;0.005,"✓ Correct","✗ Check again"),"✗ Not a number")))</f>
        <v>◯ Not attempted</v>
      </c>
      <c r="H15" s="37" t="s">
        <v>166</v>
      </c>
      <c r="I15" s="44" t="n">
        <f aca="false">1020</f>
        <v>1020</v>
      </c>
    </row>
    <row r="16" customFormat="false" ht="33.75" hidden="false" customHeight="true" outlineLevel="0" collapsed="false">
      <c r="A16" s="69" t="n">
        <v>46160</v>
      </c>
      <c r="B16" s="58" t="n">
        <v>310000</v>
      </c>
      <c r="D16" s="65" t="n">
        <v>8</v>
      </c>
      <c r="E16" s="34" t="s">
        <v>167</v>
      </c>
      <c r="F16" s="54"/>
      <c r="G16" s="36" t="str">
        <f aca="false">IF(ISBLANK(F16),"◯ Not attempted",IF(NOT(_xlfn.ISFORMULA(F16)),"✎ Use a formula",IF(ISNUMBER(F16),IF(ABS(F16-$I$16)&lt;1,"✓ Correct","✗ Check again"),"✗ Not a number")))</f>
        <v>◯ Not attempted</v>
      </c>
      <c r="H16" s="37" t="s">
        <v>168</v>
      </c>
      <c r="I16" s="55" t="n">
        <f aca="false">0</f>
        <v>0</v>
      </c>
    </row>
    <row r="17" customFormat="false" ht="15" hidden="false" customHeight="false" outlineLevel="0" collapsed="false">
      <c r="A17" s="68" t="n">
        <v>46267</v>
      </c>
      <c r="B17" s="57" t="n">
        <v>265000</v>
      </c>
    </row>
    <row r="18" customFormat="false" ht="15" hidden="false" customHeight="false" outlineLevel="0" collapsed="false">
      <c r="A18" s="69" t="n">
        <v>46417</v>
      </c>
      <c r="B18" s="58" t="n">
        <v>690000</v>
      </c>
    </row>
  </sheetData>
  <mergeCells count="3">
    <mergeCell ref="A1:H1"/>
    <mergeCell ref="A2:H2"/>
    <mergeCell ref="A3:H5"/>
  </mergeCells>
  <conditionalFormatting sqref="G9:G16">
    <cfRule type="expression" priority="2" aboveAverage="0" equalAverage="0" bottom="0" percent="0" rank="0" text="" dxfId="0">
      <formula>LEFT(G9,1)="✓"</formula>
    </cfRule>
    <cfRule type="expression" priority="3" aboveAverage="0" equalAverage="0" bottom="0" percent="0" rank="0" text="" dxfId="1">
      <formula>LEFT(G9,1)="✗"</formula>
    </cfRule>
    <cfRule type="expression" priority="4" aboveAverage="0" equalAverage="0" bottom="0" percent="0" rank="0" text="" dxfId="2">
      <formula>LEFT(G9,1)="✎"</formula>
    </cfRule>
    <cfRule type="expression" priority="5" aboveAverage="0" equalAverage="0" bottom="0" percent="0" rank="0" text="" dxfId="3">
      <formula>LEFT(G9,1)="◯"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1D48"/>
    <pageSetUpPr fitToPage="tru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4"/>
    <col collapsed="false" customWidth="true" hidden="false" outlineLevel="0" max="4" min="4" style="0" width="16"/>
    <col collapsed="false" customWidth="true" hidden="false" outlineLevel="0" max="5" min="5" style="0" width="3"/>
    <col collapsed="false" customWidth="true" hidden="false" outlineLevel="0" max="6" min="6" style="0" width="5"/>
    <col collapsed="false" customWidth="true" hidden="false" outlineLevel="0" max="7" min="7" style="0" width="46"/>
    <col collapsed="false" customWidth="true" hidden="false" outlineLevel="0" max="8" min="8" style="0" width="18"/>
    <col collapsed="false" customWidth="true" hidden="false" outlineLevel="0" max="9" min="9" style="0" width="17"/>
    <col collapsed="false" customWidth="true" hidden="false" outlineLevel="0" max="10" min="10" style="0" width="38"/>
    <col collapsed="false" customWidth="true" hidden="true" outlineLevel="0" max="15" min="11" style="0" width="13"/>
  </cols>
  <sheetData>
    <row r="1" customFormat="false" ht="31.5" hidden="false" customHeight="true" outlineLevel="0" collapsed="false">
      <c r="A1" s="70" t="s">
        <v>169</v>
      </c>
      <c r="B1" s="70"/>
      <c r="C1" s="70"/>
      <c r="D1" s="70"/>
      <c r="E1" s="70"/>
      <c r="F1" s="70"/>
      <c r="G1" s="70"/>
      <c r="H1" s="70"/>
      <c r="I1" s="70"/>
      <c r="J1" s="70"/>
    </row>
    <row r="2" customFormat="false" ht="19.5" hidden="false" customHeight="true" outlineLevel="0" collapsed="false">
      <c r="A2" s="71" t="s">
        <v>170</v>
      </c>
      <c r="B2" s="71"/>
      <c r="C2" s="71"/>
      <c r="D2" s="71"/>
      <c r="E2" s="71"/>
      <c r="F2" s="71"/>
      <c r="G2" s="71"/>
      <c r="H2" s="71"/>
      <c r="I2" s="71"/>
      <c r="J2" s="71"/>
    </row>
    <row r="3" customFormat="false" ht="18.75" hidden="false" customHeight="true" outlineLevel="0" collapsed="false">
      <c r="A3" s="72" t="s">
        <v>171</v>
      </c>
      <c r="B3" s="72"/>
      <c r="C3" s="72"/>
      <c r="D3" s="72"/>
      <c r="E3" s="72"/>
      <c r="F3" s="72"/>
      <c r="G3" s="72"/>
      <c r="H3" s="72"/>
      <c r="I3" s="72"/>
      <c r="J3" s="72"/>
    </row>
    <row r="4" customFormat="false" ht="18.75" hidden="false" customHeight="true" outlineLevel="0" collapsed="false">
      <c r="A4" s="72"/>
      <c r="B4" s="72"/>
      <c r="C4" s="72"/>
      <c r="D4" s="72"/>
      <c r="E4" s="72"/>
      <c r="F4" s="72"/>
      <c r="G4" s="72"/>
      <c r="H4" s="72"/>
      <c r="I4" s="72"/>
      <c r="J4" s="72"/>
    </row>
    <row r="5" customFormat="false" ht="18.75" hidden="false" customHeight="true" outlineLevel="0" collapsed="false">
      <c r="A5" s="72"/>
      <c r="B5" s="72"/>
      <c r="C5" s="72"/>
      <c r="D5" s="72"/>
      <c r="E5" s="72"/>
      <c r="F5" s="72"/>
      <c r="G5" s="72"/>
      <c r="H5" s="72"/>
      <c r="I5" s="72"/>
      <c r="J5" s="72"/>
    </row>
    <row r="6" customFormat="false" ht="19.5" hidden="false" customHeight="true" outlineLevel="0" collapsed="false">
      <c r="A6" s="24" t="s">
        <v>172</v>
      </c>
      <c r="B6" s="25" t="n">
        <v>1850000</v>
      </c>
      <c r="D6" s="24" t="s">
        <v>37</v>
      </c>
      <c r="E6" s="49" t="n">
        <v>0.089</v>
      </c>
      <c r="G6" s="24" t="s">
        <v>173</v>
      </c>
      <c r="H6" s="50" t="n">
        <v>144</v>
      </c>
      <c r="J6" s="24" t="s">
        <v>174</v>
      </c>
      <c r="K6" s="49" t="n">
        <v>0.115</v>
      </c>
      <c r="M6" s="24" t="s">
        <v>175</v>
      </c>
      <c r="N6" s="25" t="n">
        <v>300000</v>
      </c>
    </row>
    <row r="8" customFormat="false" ht="24" hidden="false" customHeight="true" outlineLevel="0" collapsed="false">
      <c r="A8" s="26" t="s">
        <v>176</v>
      </c>
      <c r="B8" s="27" t="s">
        <v>177</v>
      </c>
      <c r="C8" s="27" t="s">
        <v>178</v>
      </c>
      <c r="D8" s="27" t="s">
        <v>179</v>
      </c>
      <c r="F8" s="73" t="s">
        <v>14</v>
      </c>
      <c r="G8" s="73" t="s">
        <v>41</v>
      </c>
      <c r="H8" s="73" t="s">
        <v>42</v>
      </c>
      <c r="I8" s="73" t="s">
        <v>43</v>
      </c>
      <c r="J8" s="73" t="s">
        <v>44</v>
      </c>
    </row>
    <row r="9" customFormat="false" ht="33.75" hidden="false" customHeight="true" outlineLevel="0" collapsed="false">
      <c r="A9" s="57" t="n">
        <v>100000</v>
      </c>
      <c r="B9" s="74"/>
      <c r="C9" s="74"/>
      <c r="D9" s="52"/>
      <c r="F9" s="75" t="n">
        <v>1</v>
      </c>
      <c r="G9" s="34" t="s">
        <v>180</v>
      </c>
      <c r="H9" s="54"/>
      <c r="I9" s="36" t="str">
        <f aca="false">IF(ISBLANK(H9),"◯ Not attempted",IF(NOT(_xlfn.ISFORMULA(H9)),"✎ Use a formula",IF(ISNUMBER(H9),IF(ABS(H9-$K$9)&lt;0.05,"✓ Correct","✗ Check again"),"✗ Not a number")))</f>
        <v>◯ Not attempted</v>
      </c>
      <c r="J9" s="37" t="s">
        <v>181</v>
      </c>
      <c r="K9" s="55" t="n">
        <f aca="false">-PMT($E$6/12,$H$6,$B$6)</f>
        <v>20949.5132793691</v>
      </c>
      <c r="L9" s="45" t="n">
        <f aca="false">NPER($E$6/12,PMT($E$6/12,$H$6,$B$6),$B$6-A9)</f>
        <v>130.782027683895</v>
      </c>
      <c r="M9" s="45" t="n">
        <f aca="false">$H$6-NPER($E$6/12,PMT($E$6/12,$H$6,$B$6),$B$6-A9)</f>
        <v>13.2179723161055</v>
      </c>
      <c r="N9" s="56" t="n">
        <f aca="false">-PMT($E$6/12,$H$6,$B$6)*($H$6-NPER($E$6/12,PMT($E$6/12,$H$6,$B$6),$B$6-A9))-A9</f>
        <v>176910.086562586</v>
      </c>
    </row>
    <row r="10" customFormat="false" ht="45" hidden="false" customHeight="true" outlineLevel="0" collapsed="false">
      <c r="A10" s="58" t="n">
        <v>200000</v>
      </c>
      <c r="B10" s="74"/>
      <c r="C10" s="74"/>
      <c r="D10" s="52"/>
      <c r="F10" s="75" t="n">
        <v>2</v>
      </c>
      <c r="G10" s="34" t="s">
        <v>182</v>
      </c>
      <c r="H10" s="35" t="s">
        <v>81</v>
      </c>
      <c r="I10" s="36" t="str">
        <f aca="false">IF(COUNTA($B$9:$B$14)=0,"◯ Not attempted",IF(NOT(_xlfn.ISFORMULA(B9)),"✎ Use a formula",IFERROR(IF(SUMPRODUCT(--(ABS($B$9:$B$14-$L$9:$L$14)&lt;0.02))=ROWS($B$9:$B$14),"✓ Correct","✗ "&amp;(ROWS($B$9:$B$14)-SUMPRODUCT(--(ABS($B$9:$B$14-$L$9:$L$14)&lt;0.02)))&amp;" rows differ"),"✗ Check the column")))</f>
        <v>◯ Not attempted</v>
      </c>
      <c r="J10" s="37" t="s">
        <v>183</v>
      </c>
      <c r="L10" s="45" t="n">
        <f aca="false">NPER($E$6/12,PMT($E$6/12,$H$6,$B$6),$B$6-A10)</f>
        <v>118.740975453927</v>
      </c>
      <c r="M10" s="45" t="n">
        <f aca="false">$H$6-NPER($E$6/12,PMT($E$6/12,$H$6,$B$6),$B$6-A10)</f>
        <v>25.2590245460726</v>
      </c>
      <c r="N10" s="56" t="n">
        <f aca="false">-PMT($E$6/12,$H$6,$B$6)*($H$6-NPER($E$6/12,PMT($E$6/12,$H$6,$B$6),$B$6-A10))-A10</f>
        <v>329164.270151858</v>
      </c>
    </row>
    <row r="11" customFormat="false" ht="33.75" hidden="false" customHeight="true" outlineLevel="0" collapsed="false">
      <c r="A11" s="57" t="n">
        <v>300000</v>
      </c>
      <c r="B11" s="74"/>
      <c r="C11" s="74"/>
      <c r="D11" s="52"/>
      <c r="F11" s="75" t="n">
        <v>3</v>
      </c>
      <c r="G11" s="34" t="s">
        <v>184</v>
      </c>
      <c r="H11" s="35" t="s">
        <v>84</v>
      </c>
      <c r="I11" s="36" t="str">
        <f aca="false">IF(COUNTA($C$9:$C$14)=0,"◯ Not attempted",IF(NOT(_xlfn.ISFORMULA(C9)),"✎ Use a formula",IFERROR(IF(SUMPRODUCT(--(ABS($C$9:$C$14-$M$9:$M$14)&lt;0.02))=ROWS($C$9:$C$14),"✓ Correct","✗ "&amp;(ROWS($C$9:$C$14)-SUMPRODUCT(--(ABS($C$9:$C$14-$M$9:$M$14)&lt;0.02)))&amp;" rows differ"),"✗ Check the column")))</f>
        <v>◯ Not attempted</v>
      </c>
      <c r="J11" s="37" t="s">
        <v>185</v>
      </c>
      <c r="L11" s="45" t="n">
        <f aca="false">NPER($E$6/12,PMT($E$6/12,$H$6,$B$6),$B$6-A11)</f>
        <v>107.684287346739</v>
      </c>
      <c r="M11" s="45" t="n">
        <f aca="false">$H$6-NPER($E$6/12,PMT($E$6/12,$H$6,$B$6),$B$6-A11)</f>
        <v>36.3157126532611</v>
      </c>
      <c r="N11" s="56" t="n">
        <f aca="false">-PMT($E$6/12,$H$6,$B$6)*($H$6-NPER($E$6/12,PMT($E$6/12,$H$6,$B$6),$B$6-A11))-A11</f>
        <v>460796.504479247</v>
      </c>
    </row>
    <row r="12" customFormat="false" ht="33.75" hidden="false" customHeight="true" outlineLevel="0" collapsed="false">
      <c r="A12" s="58" t="n">
        <v>400000</v>
      </c>
      <c r="B12" s="74"/>
      <c r="C12" s="74"/>
      <c r="D12" s="52"/>
      <c r="F12" s="75" t="n">
        <v>4</v>
      </c>
      <c r="G12" s="34" t="s">
        <v>186</v>
      </c>
      <c r="H12" s="35" t="s">
        <v>47</v>
      </c>
      <c r="I12" s="36" t="str">
        <f aca="false">IF(COUNTA($D$9:$D$14)=0,"◯ Not attempted",IF(NOT(_xlfn.ISFORMULA(D9)),"✎ Use a formula",IFERROR(IF(SUMPRODUCT(--(ABS($D$9:$D$14-$N$9:$N$14)&lt;0.5))=ROWS($D$9:$D$14),"✓ Correct","✗ "&amp;(ROWS($D$9:$D$14)-SUMPRODUCT(--(ABS($D$9:$D$14-$N$9:$N$14)&lt;0.5)))&amp;" rows differ"),"✗ Check the column")))</f>
        <v>◯ Not attempted</v>
      </c>
      <c r="J12" s="37" t="s">
        <v>187</v>
      </c>
      <c r="L12" s="45" t="n">
        <f aca="false">NPER($E$6/12,PMT($E$6/12,$H$6,$B$6),$B$6-A12)</f>
        <v>97.4631108081191</v>
      </c>
      <c r="M12" s="45" t="n">
        <f aca="false">$H$6-NPER($E$6/12,PMT($E$6/12,$H$6,$B$6),$B$6-A12)</f>
        <v>46.5368891918809</v>
      </c>
      <c r="N12" s="56" t="n">
        <f aca="false">-PMT($E$6/12,$H$6,$B$6)*($H$6-NPER($E$6/12,PMT($E$6/12,$H$6,$B$6),$B$6-A12))-A12</f>
        <v>574925.17810584</v>
      </c>
    </row>
    <row r="13" customFormat="false" ht="33.75" hidden="false" customHeight="true" outlineLevel="0" collapsed="false">
      <c r="A13" s="57" t="n">
        <v>500000</v>
      </c>
      <c r="B13" s="74"/>
      <c r="C13" s="74"/>
      <c r="D13" s="52"/>
      <c r="F13" s="75" t="n">
        <v>5</v>
      </c>
      <c r="G13" s="34" t="s">
        <v>188</v>
      </c>
      <c r="H13" s="54"/>
      <c r="I13" s="36" t="str">
        <f aca="false">IF(ISBLANK(H13),"◯ Not attempted",IF(NOT(_xlfn.ISFORMULA(H13)),"✎ Use a formula",IF(ISNUMBER(H13),IF(ABS(H13-$K$13)&lt;0.5,"✓ Correct","✗ Check again"),"✗ Not a number")))</f>
        <v>◯ Not attempted</v>
      </c>
      <c r="J13" s="37" t="s">
        <v>189</v>
      </c>
      <c r="K13" s="55" t="n">
        <f aca="false">-PMT($E$6/12,$H$6,$B$6)*($H$6-NPER($E$6/12,PMT($E$6/12,$H$6,$B$6),$B$6-$N$6))-$N$6</f>
        <v>460796.504479247</v>
      </c>
      <c r="L13" s="45" t="n">
        <f aca="false">NPER($E$6/12,PMT($E$6/12,$H$6,$B$6),$B$6-A13)</f>
        <v>87.9599963490972</v>
      </c>
      <c r="M13" s="45" t="n">
        <f aca="false">$H$6-NPER($E$6/12,PMT($E$6/12,$H$6,$B$6),$B$6-A13)</f>
        <v>56.0400036509028</v>
      </c>
      <c r="N13" s="56" t="n">
        <f aca="false">-PMT($E$6/12,$H$6,$B$6)*($H$6-NPER($E$6/12,PMT($E$6/12,$H$6,$B$6),$B$6-A13))-A13</f>
        <v>674010.800660484</v>
      </c>
    </row>
    <row r="14" customFormat="false" ht="33.75" hidden="false" customHeight="true" outlineLevel="0" collapsed="false">
      <c r="A14" s="58" t="n">
        <v>750000</v>
      </c>
      <c r="B14" s="74"/>
      <c r="C14" s="74"/>
      <c r="D14" s="52"/>
      <c r="F14" s="75" t="n">
        <v>6</v>
      </c>
      <c r="G14" s="34" t="s">
        <v>190</v>
      </c>
      <c r="H14" s="54"/>
      <c r="I14" s="36" t="str">
        <f aca="false">IF(ISBLANK(H14),"◯ Not attempted",IF(NOT(_xlfn.ISFORMULA(H14)),"✎ Use a formula",IF(ISNUMBER(H14),IF(ABS(H14-$K$14)&lt;0.5,"✓ Correct","✗ Check again"),"✗ Not a number")))</f>
        <v>◯ Not attempted</v>
      </c>
      <c r="J14" s="37" t="s">
        <v>191</v>
      </c>
      <c r="K14" s="55" t="n">
        <f aca="false">FV($K$6/12,$H$6,0,-$N$6)</f>
        <v>1184660.98004348</v>
      </c>
      <c r="L14" s="45" t="n">
        <f aca="false">NPER($E$6/12,PMT($E$6/12,$H$6,$B$6),$B$6-A14)</f>
        <v>66.7667643235335</v>
      </c>
      <c r="M14" s="45" t="n">
        <f aca="false">$H$6-NPER($E$6/12,PMT($E$6/12,$H$6,$B$6),$B$6-A14)</f>
        <v>77.2332356764665</v>
      </c>
      <c r="N14" s="56" t="n">
        <f aca="false">-PMT($E$6/12,$H$6,$B$6)*($H$6-NPER($E$6/12,PMT($E$6/12,$H$6,$B$6),$B$6-A14))-A14</f>
        <v>867998.696412782</v>
      </c>
    </row>
    <row r="15" customFormat="false" ht="33.75" hidden="false" customHeight="true" outlineLevel="0" collapsed="false">
      <c r="F15" s="75" t="n">
        <v>7</v>
      </c>
      <c r="G15" s="34" t="s">
        <v>192</v>
      </c>
      <c r="H15" s="54"/>
      <c r="I15" s="36" t="str">
        <f aca="false">IF(ISBLANK(H15),"◯ Not attempted",IF(NOT(_xlfn.ISFORMULA(H15)),"✎ Use a formula",IF(ISNUMBER(H15),IF(ABS(H15-$K$15)&lt;0.5,"✓ Correct","✗ Check again"),"✗ Not a number")))</f>
        <v>◯ Not attempted</v>
      </c>
      <c r="J15" s="37" t="s">
        <v>193</v>
      </c>
      <c r="K15" s="55" t="n">
        <f aca="false">FV($K$6/12,$H$6,0,-$N$6)-$N$6</f>
        <v>884660.980043483</v>
      </c>
    </row>
    <row r="16" customFormat="false" ht="33.75" hidden="false" customHeight="true" outlineLevel="0" collapsed="false">
      <c r="F16" s="75" t="n">
        <v>8</v>
      </c>
      <c r="G16" s="34" t="s">
        <v>194</v>
      </c>
      <c r="H16" s="42"/>
      <c r="I16" s="36" t="str">
        <f aca="false">IF(ISBLANK(H16),"◯ Not attempted",IF(NOT(_xlfn.ISFORMULA(H16)),"✎ Use a formula",IF(UPPER(TRIM(H16&amp;""))=UPPER(TRIM($K$16&amp;"")),"✓ Correct","✗ Check again")))</f>
        <v>◯ Not attempted</v>
      </c>
      <c r="J16" s="37" t="s">
        <v>195</v>
      </c>
      <c r="K16" s="0" t="str">
        <f aca="false">IF(-PMT($E$6/12,$H$6,$B$6)*($H$6-NPER($E$6/12,PMT($E$6/12,$H$6,$B$6),$B$6-$N$6))-$N$6&gt;FV($K$6/12,$H$6,0,-$N$6)-$N$6,"Prepay","Invest")</f>
        <v>Invest</v>
      </c>
    </row>
    <row r="17" customFormat="false" ht="33.75" hidden="false" customHeight="true" outlineLevel="0" collapsed="false">
      <c r="F17" s="75" t="n">
        <v>9</v>
      </c>
      <c r="G17" s="34" t="s">
        <v>196</v>
      </c>
      <c r="H17" s="59"/>
      <c r="I17" s="36" t="str">
        <f aca="false">IF(ISBLANK(H17),"◯ Not attempted",IF(NOT(_xlfn.ISFORMULA(H17)),"✎ Use a formula",IF(ISNUMBER(H17),IF(ABS(H17-$K$17)&lt;0.0002,"✓ Correct","✗ Check again"),"✗ Not a number")))</f>
        <v>◯ Not attempted</v>
      </c>
      <c r="J17" s="37" t="s">
        <v>197</v>
      </c>
      <c r="K17" s="60" t="n">
        <f aca="false">RATE($H$6,0,-$N$6,$N$6+(-PMT($E$6/12,$H$6,$B$6)*($H$6-NPER($E$6/12,PMT($E$6/12,$H$6,$B$6),$B$6-$N$6))-$N$6))*12</f>
        <v>0.0777997353326652</v>
      </c>
    </row>
  </sheetData>
  <mergeCells count="3">
    <mergeCell ref="A1:J1"/>
    <mergeCell ref="A2:J2"/>
    <mergeCell ref="A3:J5"/>
  </mergeCells>
  <conditionalFormatting sqref="I9:I17">
    <cfRule type="expression" priority="2" aboveAverage="0" equalAverage="0" bottom="0" percent="0" rank="0" text="" dxfId="0">
      <formula>LEFT(I9,1)="✓"</formula>
    </cfRule>
    <cfRule type="expression" priority="3" aboveAverage="0" equalAverage="0" bottom="0" percent="0" rank="0" text="" dxfId="1">
      <formula>LEFT(I9,1)="✗"</formula>
    </cfRule>
    <cfRule type="expression" priority="4" aboveAverage="0" equalAverage="0" bottom="0" percent="0" rank="0" text="" dxfId="2">
      <formula>LEFT(I9,1)="✎"</formula>
    </cfRule>
    <cfRule type="expression" priority="5" aboveAverage="0" equalAverage="0" bottom="0" percent="0" rank="0" text="" dxfId="3">
      <formula>LEFT(I9,1)="◯"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72A"/>
    <pageSetUpPr fitToPage="false"/>
  </sheetPr>
  <dimension ref="A1:F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4"/>
    <col collapsed="false" customWidth="true" hidden="false" outlineLevel="0" max="5" min="4" style="0" width="44"/>
    <col collapsed="false" customWidth="true" hidden="false" outlineLevel="0" max="6" min="6" style="0" width="46"/>
  </cols>
  <sheetData>
    <row r="1" customFormat="false" ht="30" hidden="false" customHeight="true" outlineLevel="0" collapsed="false">
      <c r="A1" s="76" t="s">
        <v>198</v>
      </c>
      <c r="B1" s="76"/>
      <c r="C1" s="76"/>
      <c r="D1" s="76"/>
      <c r="E1" s="76"/>
      <c r="F1" s="76"/>
    </row>
    <row r="2" customFormat="false" ht="15" hidden="false" customHeight="false" outlineLevel="0" collapsed="false">
      <c r="A2" s="77" t="s">
        <v>199</v>
      </c>
    </row>
    <row r="4" customFormat="false" ht="21.75" hidden="false" customHeight="true" outlineLevel="0" collapsed="false">
      <c r="A4" s="78" t="s">
        <v>200</v>
      </c>
      <c r="B4" s="78"/>
      <c r="C4" s="78"/>
      <c r="D4" s="78"/>
      <c r="E4" s="78"/>
      <c r="F4" s="78"/>
    </row>
    <row r="5" customFormat="false" ht="15" hidden="false" customHeight="false" outlineLevel="0" collapsed="false">
      <c r="A5" s="79" t="s">
        <v>14</v>
      </c>
      <c r="B5" s="79" t="s">
        <v>41</v>
      </c>
      <c r="C5" s="79" t="s">
        <v>201</v>
      </c>
      <c r="D5" s="79" t="s">
        <v>202</v>
      </c>
      <c r="E5" s="79" t="s">
        <v>203</v>
      </c>
      <c r="F5" s="79" t="s">
        <v>204</v>
      </c>
    </row>
    <row r="6" customFormat="false" ht="42" hidden="false" customHeight="true" outlineLevel="0" collapsed="false">
      <c r="A6" s="80" t="n">
        <v>1</v>
      </c>
      <c r="B6" s="80" t="s">
        <v>46</v>
      </c>
      <c r="C6" s="80" t="s">
        <v>205</v>
      </c>
      <c r="D6" s="81" t="s">
        <v>206</v>
      </c>
      <c r="E6" s="82" t="s">
        <v>207</v>
      </c>
      <c r="F6" s="80" t="s">
        <v>208</v>
      </c>
    </row>
    <row r="7" customFormat="false" ht="30" hidden="false" customHeight="true" outlineLevel="0" collapsed="false">
      <c r="A7" s="80" t="n">
        <v>2</v>
      </c>
      <c r="B7" s="80" t="s">
        <v>50</v>
      </c>
      <c r="C7" s="80" t="s">
        <v>209</v>
      </c>
      <c r="D7" s="81" t="s">
        <v>210</v>
      </c>
      <c r="E7" s="82"/>
      <c r="F7" s="80" t="s">
        <v>211</v>
      </c>
    </row>
    <row r="8" customFormat="false" ht="30" hidden="false" customHeight="true" outlineLevel="0" collapsed="false">
      <c r="A8" s="80" t="n">
        <v>3</v>
      </c>
      <c r="B8" s="80" t="s">
        <v>54</v>
      </c>
      <c r="C8" s="80" t="s">
        <v>212</v>
      </c>
      <c r="D8" s="81" t="s">
        <v>213</v>
      </c>
      <c r="E8" s="82" t="s">
        <v>214</v>
      </c>
      <c r="F8" s="80"/>
    </row>
    <row r="9" customFormat="false" ht="42" hidden="false" customHeight="true" outlineLevel="0" collapsed="false">
      <c r="A9" s="80" t="n">
        <v>4</v>
      </c>
      <c r="B9" s="80" t="s">
        <v>57</v>
      </c>
      <c r="C9" s="80" t="s">
        <v>215</v>
      </c>
      <c r="D9" s="81" t="s">
        <v>216</v>
      </c>
      <c r="E9" s="82" t="s">
        <v>217</v>
      </c>
      <c r="F9" s="80" t="s">
        <v>218</v>
      </c>
    </row>
    <row r="10" customFormat="false" ht="30" hidden="false" customHeight="true" outlineLevel="0" collapsed="false">
      <c r="A10" s="80" t="n">
        <v>5</v>
      </c>
      <c r="B10" s="80" t="s">
        <v>60</v>
      </c>
      <c r="C10" s="80" t="s">
        <v>219</v>
      </c>
      <c r="D10" s="81" t="s">
        <v>220</v>
      </c>
      <c r="E10" s="82"/>
      <c r="F10" s="80" t="s">
        <v>221</v>
      </c>
    </row>
    <row r="11" customFormat="false" ht="30" hidden="false" customHeight="true" outlineLevel="0" collapsed="false">
      <c r="A11" s="80" t="n">
        <v>6</v>
      </c>
      <c r="B11" s="80" t="s">
        <v>63</v>
      </c>
      <c r="C11" s="80" t="s">
        <v>222</v>
      </c>
      <c r="D11" s="81" t="s">
        <v>223</v>
      </c>
      <c r="E11" s="82"/>
      <c r="F11" s="80" t="s">
        <v>224</v>
      </c>
    </row>
    <row r="12" customFormat="false" ht="30" hidden="false" customHeight="true" outlineLevel="0" collapsed="false">
      <c r="A12" s="80" t="n">
        <v>7</v>
      </c>
      <c r="B12" s="80" t="s">
        <v>66</v>
      </c>
      <c r="C12" s="80" t="s">
        <v>225</v>
      </c>
      <c r="D12" s="81" t="s">
        <v>226</v>
      </c>
      <c r="E12" s="82"/>
      <c r="F12" s="80"/>
    </row>
    <row r="14" customFormat="false" ht="21.75" hidden="false" customHeight="true" outlineLevel="0" collapsed="false">
      <c r="A14" s="83" t="s">
        <v>227</v>
      </c>
      <c r="B14" s="83"/>
      <c r="C14" s="83"/>
      <c r="D14" s="83"/>
      <c r="E14" s="83"/>
      <c r="F14" s="83"/>
    </row>
    <row r="15" customFormat="false" ht="15" hidden="false" customHeight="false" outlineLevel="0" collapsed="false">
      <c r="A15" s="79" t="s">
        <v>14</v>
      </c>
      <c r="B15" s="79" t="s">
        <v>41</v>
      </c>
      <c r="C15" s="79" t="s">
        <v>201</v>
      </c>
      <c r="D15" s="79" t="s">
        <v>202</v>
      </c>
      <c r="E15" s="79" t="s">
        <v>203</v>
      </c>
      <c r="F15" s="79" t="s">
        <v>204</v>
      </c>
    </row>
    <row r="16" customFormat="false" ht="42" hidden="false" customHeight="true" outlineLevel="0" collapsed="false">
      <c r="A16" s="80" t="n">
        <v>1</v>
      </c>
      <c r="B16" s="80" t="s">
        <v>78</v>
      </c>
      <c r="C16" s="80" t="s">
        <v>228</v>
      </c>
      <c r="D16" s="81" t="s">
        <v>79</v>
      </c>
      <c r="E16" s="82"/>
      <c r="F16" s="80" t="s">
        <v>229</v>
      </c>
    </row>
    <row r="17" customFormat="false" ht="42" hidden="false" customHeight="true" outlineLevel="0" collapsed="false">
      <c r="A17" s="80" t="n">
        <v>2</v>
      </c>
      <c r="B17" s="80" t="s">
        <v>80</v>
      </c>
      <c r="C17" s="80" t="s">
        <v>230</v>
      </c>
      <c r="D17" s="81" t="s">
        <v>231</v>
      </c>
      <c r="E17" s="82" t="s">
        <v>232</v>
      </c>
      <c r="F17" s="80" t="s">
        <v>233</v>
      </c>
    </row>
    <row r="18" customFormat="false" ht="30" hidden="false" customHeight="true" outlineLevel="0" collapsed="false">
      <c r="A18" s="80" t="n">
        <v>3</v>
      </c>
      <c r="B18" s="80" t="s">
        <v>83</v>
      </c>
      <c r="C18" s="80" t="s">
        <v>234</v>
      </c>
      <c r="D18" s="81" t="s">
        <v>235</v>
      </c>
      <c r="E18" s="82" t="s">
        <v>236</v>
      </c>
      <c r="F18" s="80" t="s">
        <v>237</v>
      </c>
    </row>
    <row r="19" customFormat="false" ht="42" hidden="false" customHeight="true" outlineLevel="0" collapsed="false">
      <c r="A19" s="80" t="n">
        <v>4</v>
      </c>
      <c r="B19" s="80" t="s">
        <v>86</v>
      </c>
      <c r="C19" s="80" t="s">
        <v>205</v>
      </c>
      <c r="D19" s="81" t="s">
        <v>238</v>
      </c>
      <c r="E19" s="82" t="s">
        <v>239</v>
      </c>
      <c r="F19" s="80" t="s">
        <v>240</v>
      </c>
    </row>
    <row r="20" customFormat="false" ht="30" hidden="false" customHeight="true" outlineLevel="0" collapsed="false">
      <c r="A20" s="80" t="n">
        <v>5</v>
      </c>
      <c r="B20" s="80" t="s">
        <v>88</v>
      </c>
      <c r="C20" s="80" t="s">
        <v>209</v>
      </c>
      <c r="D20" s="81" t="s">
        <v>241</v>
      </c>
      <c r="E20" s="82" t="s">
        <v>242</v>
      </c>
      <c r="F20" s="80"/>
    </row>
    <row r="21" customFormat="false" ht="42" hidden="false" customHeight="true" outlineLevel="0" collapsed="false">
      <c r="A21" s="80" t="n">
        <v>6</v>
      </c>
      <c r="B21" s="80" t="s">
        <v>90</v>
      </c>
      <c r="C21" s="80" t="s">
        <v>222</v>
      </c>
      <c r="D21" s="81" t="s">
        <v>243</v>
      </c>
      <c r="E21" s="82" t="s">
        <v>244</v>
      </c>
      <c r="F21" s="80"/>
    </row>
    <row r="22" customFormat="false" ht="30" hidden="false" customHeight="true" outlineLevel="0" collapsed="false">
      <c r="A22" s="80" t="n">
        <v>7</v>
      </c>
      <c r="B22" s="80" t="s">
        <v>92</v>
      </c>
      <c r="C22" s="80" t="s">
        <v>225</v>
      </c>
      <c r="D22" s="81" t="s">
        <v>245</v>
      </c>
      <c r="E22" s="82"/>
      <c r="F22" s="80" t="s">
        <v>246</v>
      </c>
    </row>
    <row r="23" customFormat="false" ht="42" hidden="false" customHeight="true" outlineLevel="0" collapsed="false">
      <c r="A23" s="80" t="n">
        <v>8</v>
      </c>
      <c r="B23" s="80" t="s">
        <v>94</v>
      </c>
      <c r="C23" s="80" t="s">
        <v>247</v>
      </c>
      <c r="D23" s="81" t="s">
        <v>248</v>
      </c>
      <c r="E23" s="82"/>
      <c r="F23" s="80" t="s">
        <v>249</v>
      </c>
    </row>
    <row r="25" customFormat="false" ht="21.75" hidden="false" customHeight="true" outlineLevel="0" collapsed="false">
      <c r="A25" s="83" t="s">
        <v>250</v>
      </c>
      <c r="B25" s="83"/>
      <c r="C25" s="83"/>
      <c r="D25" s="83"/>
      <c r="E25" s="83"/>
      <c r="F25" s="83"/>
    </row>
    <row r="26" customFormat="false" ht="15" hidden="false" customHeight="false" outlineLevel="0" collapsed="false">
      <c r="A26" s="79" t="s">
        <v>14</v>
      </c>
      <c r="B26" s="79" t="s">
        <v>41</v>
      </c>
      <c r="C26" s="79" t="s">
        <v>201</v>
      </c>
      <c r="D26" s="79" t="s">
        <v>202</v>
      </c>
      <c r="E26" s="79" t="s">
        <v>203</v>
      </c>
      <c r="F26" s="79" t="s">
        <v>204</v>
      </c>
    </row>
    <row r="27" customFormat="false" ht="42" hidden="false" customHeight="true" outlineLevel="0" collapsed="false">
      <c r="A27" s="80" t="n">
        <v>1</v>
      </c>
      <c r="B27" s="80" t="s">
        <v>104</v>
      </c>
      <c r="C27" s="80" t="s">
        <v>205</v>
      </c>
      <c r="D27" s="81" t="s">
        <v>251</v>
      </c>
      <c r="E27" s="82" t="s">
        <v>252</v>
      </c>
      <c r="F27" s="80" t="s">
        <v>253</v>
      </c>
    </row>
    <row r="28" customFormat="false" ht="30" hidden="false" customHeight="true" outlineLevel="0" collapsed="false">
      <c r="A28" s="80" t="n">
        <v>2</v>
      </c>
      <c r="B28" s="80" t="s">
        <v>107</v>
      </c>
      <c r="C28" s="80" t="s">
        <v>254</v>
      </c>
      <c r="D28" s="81" t="s">
        <v>255</v>
      </c>
      <c r="E28" s="82"/>
      <c r="F28" s="80"/>
    </row>
    <row r="29" customFormat="false" ht="42" hidden="false" customHeight="true" outlineLevel="0" collapsed="false">
      <c r="A29" s="80" t="n">
        <v>3</v>
      </c>
      <c r="B29" s="80" t="s">
        <v>110</v>
      </c>
      <c r="C29" s="80" t="s">
        <v>256</v>
      </c>
      <c r="D29" s="81" t="s">
        <v>257</v>
      </c>
      <c r="E29" s="82"/>
      <c r="F29" s="80" t="s">
        <v>258</v>
      </c>
    </row>
    <row r="30" customFormat="false" ht="42" hidden="false" customHeight="true" outlineLevel="0" collapsed="false">
      <c r="A30" s="80" t="n">
        <v>4</v>
      </c>
      <c r="B30" s="80" t="s">
        <v>113</v>
      </c>
      <c r="C30" s="80" t="s">
        <v>259</v>
      </c>
      <c r="D30" s="81" t="s">
        <v>260</v>
      </c>
      <c r="E30" s="82"/>
      <c r="F30" s="80"/>
    </row>
    <row r="31" customFormat="false" ht="42" hidden="false" customHeight="true" outlineLevel="0" collapsed="false">
      <c r="A31" s="80" t="n">
        <v>5</v>
      </c>
      <c r="B31" s="80" t="s">
        <v>116</v>
      </c>
      <c r="C31" s="80" t="s">
        <v>261</v>
      </c>
      <c r="D31" s="81" t="s">
        <v>262</v>
      </c>
      <c r="E31" s="82" t="s">
        <v>263</v>
      </c>
      <c r="F31" s="80" t="s">
        <v>264</v>
      </c>
    </row>
    <row r="32" customFormat="false" ht="30" hidden="false" customHeight="true" outlineLevel="0" collapsed="false">
      <c r="A32" s="80" t="n">
        <v>6</v>
      </c>
      <c r="B32" s="80" t="s">
        <v>119</v>
      </c>
      <c r="C32" s="80" t="s">
        <v>265</v>
      </c>
      <c r="D32" s="81" t="s">
        <v>266</v>
      </c>
      <c r="E32" s="82"/>
      <c r="F32" s="80"/>
    </row>
    <row r="33" customFormat="false" ht="30" hidden="false" customHeight="true" outlineLevel="0" collapsed="false">
      <c r="A33" s="80" t="n">
        <v>7</v>
      </c>
      <c r="B33" s="80" t="s">
        <v>122</v>
      </c>
      <c r="C33" s="80" t="s">
        <v>267</v>
      </c>
      <c r="D33" s="81" t="s">
        <v>268</v>
      </c>
      <c r="E33" s="82"/>
      <c r="F33" s="80" t="s">
        <v>269</v>
      </c>
    </row>
    <row r="34" customFormat="false" ht="30" hidden="false" customHeight="true" outlineLevel="0" collapsed="false">
      <c r="A34" s="80" t="n">
        <v>8</v>
      </c>
      <c r="B34" s="80" t="s">
        <v>124</v>
      </c>
      <c r="C34" s="80" t="s">
        <v>270</v>
      </c>
      <c r="D34" s="81" t="s">
        <v>271</v>
      </c>
      <c r="E34" s="82"/>
      <c r="F34" s="80" t="s">
        <v>272</v>
      </c>
    </row>
    <row r="36" customFormat="false" ht="21.75" hidden="false" customHeight="true" outlineLevel="0" collapsed="false">
      <c r="A36" s="84" t="s">
        <v>273</v>
      </c>
      <c r="B36" s="84"/>
      <c r="C36" s="84"/>
      <c r="D36" s="84"/>
      <c r="E36" s="84"/>
      <c r="F36" s="84"/>
    </row>
    <row r="37" customFormat="false" ht="15" hidden="false" customHeight="false" outlineLevel="0" collapsed="false">
      <c r="A37" s="79" t="s">
        <v>14</v>
      </c>
      <c r="B37" s="79" t="s">
        <v>41</v>
      </c>
      <c r="C37" s="79" t="s">
        <v>201</v>
      </c>
      <c r="D37" s="79" t="s">
        <v>202</v>
      </c>
      <c r="E37" s="79" t="s">
        <v>203</v>
      </c>
      <c r="F37" s="79" t="s">
        <v>204</v>
      </c>
    </row>
    <row r="38" customFormat="false" ht="42" hidden="false" customHeight="true" outlineLevel="0" collapsed="false">
      <c r="A38" s="80" t="n">
        <v>1</v>
      </c>
      <c r="B38" s="80" t="s">
        <v>133</v>
      </c>
      <c r="C38" s="80" t="s">
        <v>234</v>
      </c>
      <c r="D38" s="81" t="s">
        <v>274</v>
      </c>
      <c r="E38" s="82" t="s">
        <v>275</v>
      </c>
      <c r="F38" s="80" t="s">
        <v>276</v>
      </c>
    </row>
    <row r="39" customFormat="false" ht="42" hidden="false" customHeight="true" outlineLevel="0" collapsed="false">
      <c r="A39" s="80" t="n">
        <v>2</v>
      </c>
      <c r="B39" s="80" t="s">
        <v>135</v>
      </c>
      <c r="C39" s="80" t="s">
        <v>277</v>
      </c>
      <c r="D39" s="81" t="s">
        <v>278</v>
      </c>
      <c r="E39" s="82" t="s">
        <v>279</v>
      </c>
      <c r="F39" s="80" t="s">
        <v>280</v>
      </c>
    </row>
    <row r="40" customFormat="false" ht="30" hidden="false" customHeight="true" outlineLevel="0" collapsed="false">
      <c r="A40" s="80" t="n">
        <v>3</v>
      </c>
      <c r="B40" s="80" t="s">
        <v>137</v>
      </c>
      <c r="C40" s="80" t="s">
        <v>281</v>
      </c>
      <c r="D40" s="81" t="s">
        <v>282</v>
      </c>
      <c r="E40" s="82"/>
      <c r="F40" s="80" t="s">
        <v>283</v>
      </c>
    </row>
    <row r="41" customFormat="false" ht="30" hidden="false" customHeight="true" outlineLevel="0" collapsed="false">
      <c r="A41" s="80" t="n">
        <v>4</v>
      </c>
      <c r="B41" s="80" t="s">
        <v>139</v>
      </c>
      <c r="C41" s="80" t="s">
        <v>284</v>
      </c>
      <c r="D41" s="81" t="s">
        <v>285</v>
      </c>
      <c r="E41" s="82" t="s">
        <v>286</v>
      </c>
      <c r="F41" s="80"/>
    </row>
    <row r="42" customFormat="false" ht="30" hidden="false" customHeight="true" outlineLevel="0" collapsed="false">
      <c r="A42" s="80" t="n">
        <v>5</v>
      </c>
      <c r="B42" s="80" t="s">
        <v>141</v>
      </c>
      <c r="C42" s="80" t="s">
        <v>287</v>
      </c>
      <c r="D42" s="81" t="s">
        <v>288</v>
      </c>
      <c r="E42" s="82"/>
      <c r="F42" s="80"/>
    </row>
    <row r="43" customFormat="false" ht="42" hidden="false" customHeight="true" outlineLevel="0" collapsed="false">
      <c r="A43" s="80" t="n">
        <v>6</v>
      </c>
      <c r="B43" s="80" t="s">
        <v>143</v>
      </c>
      <c r="C43" s="80" t="s">
        <v>289</v>
      </c>
      <c r="D43" s="81" t="s">
        <v>290</v>
      </c>
      <c r="E43" s="82"/>
      <c r="F43" s="80" t="s">
        <v>291</v>
      </c>
    </row>
    <row r="44" customFormat="false" ht="42" hidden="false" customHeight="true" outlineLevel="0" collapsed="false">
      <c r="A44" s="80" t="n">
        <v>7</v>
      </c>
      <c r="B44" s="80" t="s">
        <v>145</v>
      </c>
      <c r="C44" s="80" t="s">
        <v>292</v>
      </c>
      <c r="D44" s="81" t="s">
        <v>293</v>
      </c>
      <c r="E44" s="82"/>
      <c r="F44" s="80" t="s">
        <v>294</v>
      </c>
    </row>
    <row r="45" customFormat="false" ht="30" hidden="false" customHeight="true" outlineLevel="0" collapsed="false">
      <c r="A45" s="80" t="n">
        <v>8</v>
      </c>
      <c r="B45" s="80" t="s">
        <v>147</v>
      </c>
      <c r="C45" s="80" t="s">
        <v>295</v>
      </c>
      <c r="D45" s="81" t="s">
        <v>296</v>
      </c>
      <c r="E45" s="82"/>
      <c r="F45" s="80" t="s">
        <v>297</v>
      </c>
    </row>
    <row r="47" customFormat="false" ht="21.75" hidden="false" customHeight="true" outlineLevel="0" collapsed="false">
      <c r="A47" s="84" t="s">
        <v>298</v>
      </c>
      <c r="B47" s="84"/>
      <c r="C47" s="84"/>
      <c r="D47" s="84"/>
      <c r="E47" s="84"/>
      <c r="F47" s="84"/>
    </row>
    <row r="48" customFormat="false" ht="15" hidden="false" customHeight="false" outlineLevel="0" collapsed="false">
      <c r="A48" s="79" t="s">
        <v>14</v>
      </c>
      <c r="B48" s="79" t="s">
        <v>41</v>
      </c>
      <c r="C48" s="79" t="s">
        <v>201</v>
      </c>
      <c r="D48" s="79" t="s">
        <v>202</v>
      </c>
      <c r="E48" s="79" t="s">
        <v>203</v>
      </c>
      <c r="F48" s="79" t="s">
        <v>204</v>
      </c>
    </row>
    <row r="49" customFormat="false" ht="42" hidden="false" customHeight="true" outlineLevel="0" collapsed="false">
      <c r="A49" s="80" t="n">
        <v>1</v>
      </c>
      <c r="B49" s="80" t="s">
        <v>153</v>
      </c>
      <c r="C49" s="80" t="s">
        <v>299</v>
      </c>
      <c r="D49" s="81" t="s">
        <v>300</v>
      </c>
      <c r="E49" s="82"/>
      <c r="F49" s="80" t="s">
        <v>301</v>
      </c>
    </row>
    <row r="50" customFormat="false" ht="30" hidden="false" customHeight="true" outlineLevel="0" collapsed="false">
      <c r="A50" s="80" t="n">
        <v>2</v>
      </c>
      <c r="B50" s="80" t="s">
        <v>155</v>
      </c>
      <c r="C50" s="80" t="s">
        <v>302</v>
      </c>
      <c r="D50" s="81" t="s">
        <v>303</v>
      </c>
      <c r="E50" s="82" t="s">
        <v>304</v>
      </c>
      <c r="F50" s="80"/>
    </row>
    <row r="51" customFormat="false" ht="42" hidden="false" customHeight="true" outlineLevel="0" collapsed="false">
      <c r="A51" s="80" t="n">
        <v>3</v>
      </c>
      <c r="B51" s="80" t="s">
        <v>157</v>
      </c>
      <c r="C51" s="80" t="s">
        <v>305</v>
      </c>
      <c r="D51" s="81" t="s">
        <v>306</v>
      </c>
      <c r="E51" s="82"/>
      <c r="F51" s="80" t="s">
        <v>307</v>
      </c>
    </row>
    <row r="52" customFormat="false" ht="30" hidden="false" customHeight="true" outlineLevel="0" collapsed="false">
      <c r="A52" s="80" t="n">
        <v>4</v>
      </c>
      <c r="B52" s="80" t="s">
        <v>159</v>
      </c>
      <c r="C52" s="80" t="s">
        <v>308</v>
      </c>
      <c r="D52" s="81" t="s">
        <v>309</v>
      </c>
      <c r="E52" s="82"/>
      <c r="F52" s="80"/>
    </row>
    <row r="53" customFormat="false" ht="30" hidden="false" customHeight="true" outlineLevel="0" collapsed="false">
      <c r="A53" s="80" t="n">
        <v>5</v>
      </c>
      <c r="B53" s="80" t="s">
        <v>161</v>
      </c>
      <c r="C53" s="80" t="s">
        <v>310</v>
      </c>
      <c r="D53" s="81" t="s">
        <v>311</v>
      </c>
      <c r="E53" s="82"/>
      <c r="F53" s="80"/>
    </row>
    <row r="54" customFormat="false" ht="30" hidden="false" customHeight="true" outlineLevel="0" collapsed="false">
      <c r="A54" s="80" t="n">
        <v>6</v>
      </c>
      <c r="B54" s="80" t="s">
        <v>163</v>
      </c>
      <c r="C54" s="80" t="s">
        <v>312</v>
      </c>
      <c r="D54" s="81" t="s">
        <v>313</v>
      </c>
      <c r="E54" s="82"/>
      <c r="F54" s="80" t="s">
        <v>314</v>
      </c>
    </row>
    <row r="55" customFormat="false" ht="30" hidden="false" customHeight="true" outlineLevel="0" collapsed="false">
      <c r="A55" s="80" t="n">
        <v>7</v>
      </c>
      <c r="B55" s="80" t="s">
        <v>165</v>
      </c>
      <c r="C55" s="80" t="s">
        <v>315</v>
      </c>
      <c r="D55" s="81" t="s">
        <v>316</v>
      </c>
      <c r="E55" s="82" t="s">
        <v>317</v>
      </c>
      <c r="F55" s="80"/>
    </row>
    <row r="56" customFormat="false" ht="30" hidden="false" customHeight="true" outlineLevel="0" collapsed="false">
      <c r="A56" s="80" t="n">
        <v>8</v>
      </c>
      <c r="B56" s="80" t="s">
        <v>167</v>
      </c>
      <c r="C56" s="80" t="s">
        <v>318</v>
      </c>
      <c r="D56" s="81" t="s">
        <v>319</v>
      </c>
      <c r="E56" s="82"/>
      <c r="F56" s="80" t="s">
        <v>320</v>
      </c>
    </row>
    <row r="58" customFormat="false" ht="21.75" hidden="false" customHeight="true" outlineLevel="0" collapsed="false">
      <c r="A58" s="85" t="s">
        <v>321</v>
      </c>
      <c r="B58" s="85"/>
      <c r="C58" s="85"/>
      <c r="D58" s="85"/>
      <c r="E58" s="85"/>
      <c r="F58" s="85"/>
    </row>
    <row r="59" customFormat="false" ht="15" hidden="false" customHeight="false" outlineLevel="0" collapsed="false">
      <c r="A59" s="79" t="s">
        <v>14</v>
      </c>
      <c r="B59" s="79" t="s">
        <v>41</v>
      </c>
      <c r="C59" s="79" t="s">
        <v>201</v>
      </c>
      <c r="D59" s="79" t="s">
        <v>202</v>
      </c>
      <c r="E59" s="79" t="s">
        <v>203</v>
      </c>
      <c r="F59" s="79" t="s">
        <v>204</v>
      </c>
    </row>
    <row r="60" customFormat="false" ht="30" hidden="false" customHeight="true" outlineLevel="0" collapsed="false">
      <c r="A60" s="80" t="n">
        <v>1</v>
      </c>
      <c r="B60" s="80" t="s">
        <v>180</v>
      </c>
      <c r="C60" s="80" t="s">
        <v>322</v>
      </c>
      <c r="D60" s="81" t="s">
        <v>323</v>
      </c>
      <c r="E60" s="82"/>
      <c r="F60" s="80"/>
    </row>
    <row r="61" customFormat="false" ht="42" hidden="false" customHeight="true" outlineLevel="0" collapsed="false">
      <c r="A61" s="80" t="n">
        <v>2</v>
      </c>
      <c r="B61" s="80" t="s">
        <v>182</v>
      </c>
      <c r="C61" s="80" t="s">
        <v>230</v>
      </c>
      <c r="D61" s="81" t="s">
        <v>324</v>
      </c>
      <c r="E61" s="82" t="s">
        <v>325</v>
      </c>
      <c r="F61" s="80" t="s">
        <v>326</v>
      </c>
    </row>
    <row r="62" customFormat="false" ht="30" hidden="false" customHeight="true" outlineLevel="0" collapsed="false">
      <c r="A62" s="80" t="n">
        <v>3</v>
      </c>
      <c r="B62" s="80" t="s">
        <v>184</v>
      </c>
      <c r="C62" s="80" t="s">
        <v>234</v>
      </c>
      <c r="D62" s="81" t="s">
        <v>327</v>
      </c>
      <c r="E62" s="82"/>
      <c r="F62" s="80"/>
    </row>
    <row r="63" customFormat="false" ht="30" hidden="false" customHeight="true" outlineLevel="0" collapsed="false">
      <c r="A63" s="80" t="n">
        <v>4</v>
      </c>
      <c r="B63" s="80" t="s">
        <v>186</v>
      </c>
      <c r="C63" s="80" t="s">
        <v>205</v>
      </c>
      <c r="D63" s="81" t="s">
        <v>328</v>
      </c>
      <c r="E63" s="82"/>
      <c r="F63" s="80" t="s">
        <v>329</v>
      </c>
    </row>
    <row r="64" customFormat="false" ht="30" hidden="false" customHeight="true" outlineLevel="0" collapsed="false">
      <c r="A64" s="80" t="n">
        <v>5</v>
      </c>
      <c r="B64" s="80" t="s">
        <v>188</v>
      </c>
      <c r="C64" s="80" t="s">
        <v>261</v>
      </c>
      <c r="D64" s="81" t="s">
        <v>330</v>
      </c>
      <c r="E64" s="82"/>
      <c r="F64" s="80"/>
    </row>
    <row r="65" customFormat="false" ht="42" hidden="false" customHeight="true" outlineLevel="0" collapsed="false">
      <c r="A65" s="80" t="n">
        <v>6</v>
      </c>
      <c r="B65" s="80" t="s">
        <v>190</v>
      </c>
      <c r="C65" s="80" t="s">
        <v>265</v>
      </c>
      <c r="D65" s="81" t="s">
        <v>331</v>
      </c>
      <c r="E65" s="82"/>
      <c r="F65" s="80"/>
    </row>
    <row r="66" customFormat="false" ht="42" hidden="false" customHeight="true" outlineLevel="0" collapsed="false">
      <c r="A66" s="80" t="n">
        <v>7</v>
      </c>
      <c r="B66" s="80" t="s">
        <v>192</v>
      </c>
      <c r="C66" s="80" t="s">
        <v>267</v>
      </c>
      <c r="D66" s="81" t="s">
        <v>332</v>
      </c>
      <c r="E66" s="82"/>
      <c r="F66" s="80" t="s">
        <v>333</v>
      </c>
    </row>
    <row r="67" customFormat="false" ht="42" hidden="false" customHeight="true" outlineLevel="0" collapsed="false">
      <c r="A67" s="80" t="n">
        <v>8</v>
      </c>
      <c r="B67" s="80" t="s">
        <v>194</v>
      </c>
      <c r="C67" s="80" t="s">
        <v>270</v>
      </c>
      <c r="D67" s="81" t="s">
        <v>334</v>
      </c>
      <c r="E67" s="82"/>
      <c r="F67" s="80" t="s">
        <v>335</v>
      </c>
    </row>
    <row r="68" customFormat="false" ht="42" hidden="false" customHeight="true" outlineLevel="0" collapsed="false">
      <c r="A68" s="80" t="n">
        <v>9</v>
      </c>
      <c r="B68" s="80" t="s">
        <v>196</v>
      </c>
      <c r="C68" s="80" t="s">
        <v>336</v>
      </c>
      <c r="D68" s="81" t="s">
        <v>337</v>
      </c>
      <c r="E68" s="82"/>
      <c r="F68" s="80" t="s">
        <v>338</v>
      </c>
    </row>
  </sheetData>
  <mergeCells count="7">
    <mergeCell ref="A1:F1"/>
    <mergeCell ref="A4:F4"/>
    <mergeCell ref="A14:F14"/>
    <mergeCell ref="A25:F25"/>
    <mergeCell ref="A36:F36"/>
    <mergeCell ref="A47:F47"/>
    <mergeCell ref="A58: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2026-09-25T07:00:58Z</dcterms:created>
  <dc:creator>openpyxl</dc:creator>
  <dc:description/>
  <dc:language>en-US</dc:language>
  <cp:lastModifiedBy/>
  <dcterms:modified xsi:type="dcterms:W3CDTF">2026-09-25T07:00:58Z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