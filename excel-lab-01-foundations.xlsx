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L1 Totals and counts" sheetId="2" state="visible" r:id="rId4"/>
    <sheet name="L2 References and the $ sign" sheetId="3" state="visible" r:id="rId5"/>
    <sheet name="L3 IF logic" sheetId="4" state="visible" r:id="rId6"/>
    <sheet name="L4 Rounding and percentages" sheetId="5" state="visible" r:id="rId7"/>
    <sheet name="L5 Text cleanup" sheetId="6" state="visible" r:id="rId8"/>
    <sheet name="L6 Boss round — foundations" sheetId="7" state="visible" r:id="rId9"/>
    <sheet name="Solu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<sst xmlns="http://schemas.openxmlformats.org/spreadsheetml/2006/main" count="773" uniqueCount="354">
  <si>
    <t xml:space="preserve">EXCEL LAB  ·  01 FOUNDATIONS BOOTCAMP</t>
  </si>
  <si>
    <t xml:space="preserve">Six lessons from your first SUM to a mixed boss round: totals, the $ sign, IF logic, rounding, text cleanup. Every answer cell marks itself.</t>
  </si>
  <si>
    <t xml:space="preserve">HOW TO USE THIS WORKBOOK</t>
  </si>
  <si>
    <t xml:space="preserve">Work through the lessons in order — each one is harder than the last (★ to ★★★★★).</t>
  </si>
  <si>
    <t xml:space="preserve">Read the Concept box at the top of each lesson, then look at the data.</t>
  </si>
  <si>
    <t xml:space="preserve">Type a FORMULA in each yellow cell. The Check column marks it ✓ or ✗ instantly.</t>
  </si>
  <si>
    <t xml:space="preserve">Blue cells are inputs. Change them and watch every answer update — that is how you know your formula is really right.</t>
  </si>
  <si>
    <t xml:space="preserve">Stuck? Read the Hint. Still stuck? The Solutions sheet shows the model answer and other ways to do it.</t>
  </si>
  <si>
    <t xml:space="preserve">COLOUR CODE</t>
  </si>
  <si>
    <t xml:space="preserve">Yellow — your answer goes here (always a formula)</t>
  </si>
  <si>
    <t xml:space="preserve">Blue — an input you can change</t>
  </si>
  <si>
    <t xml:space="preserve">✓ Correct — marked automatically</t>
  </si>
  <si>
    <t xml:space="preserve">✗ Check again — the result does not match</t>
  </si>
  <si>
    <t xml:space="preserve">✎ You typed a value — replace it with a formula</t>
  </si>
  <si>
    <t xml:space="preserve">#</t>
  </si>
  <si>
    <t xml:space="preserve">Lesson</t>
  </si>
  <si>
    <t xml:space="preserve">Difficulty</t>
  </si>
  <si>
    <t xml:space="preserve">Tasks</t>
  </si>
  <si>
    <t xml:space="preserve">Solved</t>
  </si>
  <si>
    <t xml:space="preserve">Progress</t>
  </si>
  <si>
    <t xml:space="preserve">L1 Totals and counts</t>
  </si>
  <si>
    <t xml:space="preserve">★☆☆☆☆</t>
  </si>
  <si>
    <t xml:space="preserve">L2 References and the $ sign</t>
  </si>
  <si>
    <t xml:space="preserve">★★☆☆☆</t>
  </si>
  <si>
    <t xml:space="preserve">L3 IF logic</t>
  </si>
  <si>
    <t xml:space="preserve">L4 Rounding and percentages</t>
  </si>
  <si>
    <t xml:space="preserve">★★★☆☆</t>
  </si>
  <si>
    <t xml:space="preserve">L5 Text cleanup</t>
  </si>
  <si>
    <t xml:space="preserve">L6 Boss round — foundations</t>
  </si>
  <si>
    <t xml:space="preserve">★★★★☆</t>
  </si>
  <si>
    <t xml:space="preserve">OVERALL</t>
  </si>
  <si>
    <t xml:space="preserve">Excel Lab — created by Pranay  ·  excel-lab-by-pranay.vercel.app  ·  free for every student</t>
  </si>
  <si>
    <t xml:space="preserve">LESSON 1  ·  TOTALS AND COUNTS</t>
  </si>
  <si>
    <t xml:space="preserve">★☆☆☆☆   Add, count and average a sales register — the five functions you'll use every day.</t>
  </si>
  <si>
    <t xml:space="preserve">CONCEPT  ·  SUM adds numbers, COUNT counts numbers, COUNTA counts anything that isn't empty, AVERAGE is SUM ÷ COUNT, MAX and MIN find the extremes. Every one takes a range like E9:E38. Select the range with the mouse or type it; press Enter to finish.</t>
  </si>
  <si>
    <t xml:space="preserve">Invoice</t>
  </si>
  <si>
    <t xml:space="preserve">Date</t>
  </si>
  <si>
    <t xml:space="preserve">Party</t>
  </si>
  <si>
    <t xml:space="preserve">State</t>
  </si>
  <si>
    <t xml:space="preserve">Taxable</t>
  </si>
  <si>
    <t xml:space="preserve">Task</t>
  </si>
  <si>
    <t xml:space="preserve">Your answer</t>
  </si>
  <si>
    <t xml:space="preserve">Check</t>
  </si>
  <si>
    <t xml:space="preserve">Hint</t>
  </si>
  <si>
    <t xml:space="preserve">INV-0001</t>
  </si>
  <si>
    <t xml:space="preserve">Patel &amp; Co</t>
  </si>
  <si>
    <t xml:space="preserve">Delhi</t>
  </si>
  <si>
    <t xml:space="preserve">Total taxable value of all invoices.</t>
  </si>
  <si>
    <t xml:space="preserve">SUM over the Taxable column.</t>
  </si>
  <si>
    <t xml:space="preserve">INV-0002</t>
  </si>
  <si>
    <t xml:space="preserve">ABC Traders</t>
  </si>
  <si>
    <t xml:space="preserve">How many invoices are in the register? Count the invoice numbers.</t>
  </si>
  <si>
    <t xml:space="preserve">Invoice numbers are text, so COUNT returns 0. COUNTA counts non-empty cells.</t>
  </si>
  <si>
    <t xml:space="preserve">INV-0003</t>
  </si>
  <si>
    <t xml:space="preserve">Karnataka</t>
  </si>
  <si>
    <t xml:space="preserve">Average taxable value per invoice.</t>
  </si>
  <si>
    <t xml:space="preserve">AVERAGE over the Taxable column.</t>
  </si>
  <si>
    <t xml:space="preserve">INV-0004</t>
  </si>
  <si>
    <t xml:space="preserve">The largest single invoice.</t>
  </si>
  <si>
    <t xml:space="preserve">MAX finds the biggest number.</t>
  </si>
  <si>
    <t xml:space="preserve">INV-0005</t>
  </si>
  <si>
    <t xml:space="preserve">Kiran Agencies</t>
  </si>
  <si>
    <t xml:space="preserve">Gujarat</t>
  </si>
  <si>
    <t xml:space="preserve">The smallest single invoice.</t>
  </si>
  <si>
    <t xml:space="preserve">MIN finds the smallest number.</t>
  </si>
  <si>
    <t xml:space="preserve">INV-0006</t>
  </si>
  <si>
    <t xml:space="preserve">Orbit Systems</t>
  </si>
  <si>
    <t xml:space="preserve">How many invoices are above ₹1,00,000?</t>
  </si>
  <si>
    <t xml:space="preserve">COUNTIF(range,"&gt;100000") — the condition goes in quotes.</t>
  </si>
  <si>
    <t xml:space="preserve">INV-0007</t>
  </si>
  <si>
    <t xml:space="preserve">INV-0008</t>
  </si>
  <si>
    <t xml:space="preserve">Vaibhav Textiles</t>
  </si>
  <si>
    <t xml:space="preserve">Tamil Nadu</t>
  </si>
  <si>
    <t xml:space="preserve">INV-0009</t>
  </si>
  <si>
    <t xml:space="preserve">INV-0010</t>
  </si>
  <si>
    <t xml:space="preserve">Shree Enterprises</t>
  </si>
  <si>
    <t xml:space="preserve">INV-0011</t>
  </si>
  <si>
    <t xml:space="preserve">Bharat Electricals</t>
  </si>
  <si>
    <t xml:space="preserve">INV-0012</t>
  </si>
  <si>
    <t xml:space="preserve">INV-0013</t>
  </si>
  <si>
    <t xml:space="preserve">INV-0014</t>
  </si>
  <si>
    <t xml:space="preserve">INV-0015</t>
  </si>
  <si>
    <t xml:space="preserve">INV-0016</t>
  </si>
  <si>
    <t xml:space="preserve">INV-0017</t>
  </si>
  <si>
    <t xml:space="preserve">Nova Industries</t>
  </si>
  <si>
    <t xml:space="preserve">Maharashtra</t>
  </si>
  <si>
    <t xml:space="preserve">INV-0018</t>
  </si>
  <si>
    <t xml:space="preserve">INV-0019</t>
  </si>
  <si>
    <t xml:space="preserve">INV-0020</t>
  </si>
  <si>
    <t xml:space="preserve">INV-0021</t>
  </si>
  <si>
    <t xml:space="preserve">INV-0022</t>
  </si>
  <si>
    <t xml:space="preserve">INV-0023</t>
  </si>
  <si>
    <t xml:space="preserve">INV-0024</t>
  </si>
  <si>
    <t xml:space="preserve">Meera Pharma</t>
  </si>
  <si>
    <t xml:space="preserve">INV-0025</t>
  </si>
  <si>
    <t xml:space="preserve">INV-0026</t>
  </si>
  <si>
    <t xml:space="preserve">INV-0027</t>
  </si>
  <si>
    <t xml:space="preserve">INV-0028</t>
  </si>
  <si>
    <t xml:space="preserve">INV-0029</t>
  </si>
  <si>
    <t xml:space="preserve">INV-0030</t>
  </si>
  <si>
    <t xml:space="preserve">Sagar Metals</t>
  </si>
  <si>
    <t xml:space="preserve">LESSON 2  ·  REFERENCES AND THE $ SIGN</t>
  </si>
  <si>
    <t xml:space="preserve">★★☆☆☆   Write one formula, fill it down, and keep the tax rate locked in place.</t>
  </si>
  <si>
    <t xml:space="preserve">CONCEPT  ·  A1 is a relative reference — it moves when you copy it. $B$6 is absolute — it stays put. Press F4 while typing a reference to add the dollar signs. Put the formula in the first yellow row, then double-click the fill handle (bottom-right corner) to copy it down.</t>
  </si>
  <si>
    <t xml:space="preserve">GST rate</t>
  </si>
  <si>
    <t xml:space="preserve">GST Amount</t>
  </si>
  <si>
    <t xml:space="preserve">Invoice Total</t>
  </si>
  <si>
    <t xml:space="preserve">Fill GST Amount for every invoice: Taxable × the GST rate in B6, rounded to 2 decimals.</t>
  </si>
  <si>
    <t xml:space="preserve">→ fill column D</t>
  </si>
  <si>
    <t xml:space="preserve">=ROUND(C9*$B$6,2) — the $ keeps B6 fixed as you fill down.</t>
  </si>
  <si>
    <t xml:space="preserve">Fill Invoice Total: Taxable + GST Amount.</t>
  </si>
  <si>
    <t xml:space="preserve">→ fill column E</t>
  </si>
  <si>
    <t xml:space="preserve">=C9+D9, filled down.</t>
  </si>
  <si>
    <t xml:space="preserve">Deccan Supplies</t>
  </si>
  <si>
    <t xml:space="preserve">Total GST payable for the register.</t>
  </si>
  <si>
    <t xml:space="preserve">SUM your GST column.</t>
  </si>
  <si>
    <t xml:space="preserve">Change B6 to 12% and back to 18%. Now: the total of all Invoice Totals.</t>
  </si>
  <si>
    <t xml:space="preserve">If your answers changed when you edited B6, your references are right.</t>
  </si>
  <si>
    <t xml:space="preserve">Nandini Foods</t>
  </si>
  <si>
    <t xml:space="preserve">LESSON 3  ·  IF LOGIC</t>
  </si>
  <si>
    <t xml:space="preserve">★★☆☆☆   Make the sheet decide: flag overdue invoices and prioritise the risky ones.</t>
  </si>
  <si>
    <t xml:space="preserve">CONCEPT  ·  IF(test, value_if_true, value_if_false). The test is a comparison like D9&gt;90. Text results go in double quotes: "Overdue". AND(test1,test2) is TRUE only when both are true — put it inside IF for two conditions.</t>
  </si>
  <si>
    <t xml:space="preserve">Amount</t>
  </si>
  <si>
    <t xml:space="preserve">Days</t>
  </si>
  <si>
    <t xml:space="preserve">Status</t>
  </si>
  <si>
    <t xml:space="preserve">Priority</t>
  </si>
  <si>
    <t xml:space="preserve">Fill Status: "Overdue" if Days is more than 90, otherwise "Current".</t>
  </si>
  <si>
    <t xml:space="preserve">=IF(D9&gt;90,"Overdue","Current")</t>
  </si>
  <si>
    <t xml:space="preserve">How many invoices are overdue?</t>
  </si>
  <si>
    <t xml:space="preserve">COUNTIF on your Status column.</t>
  </si>
  <si>
    <t xml:space="preserve">Fill Priority: "High" if Amount is over 2,00,000 AND Days is over 60, otherwise "Normal".</t>
  </si>
  <si>
    <t xml:space="preserve">→ fill column F</t>
  </si>
  <si>
    <t xml:space="preserve">Put AND(…,…) inside IF.</t>
  </si>
  <si>
    <t xml:space="preserve">Total amount of overdue invoices.</t>
  </si>
  <si>
    <t xml:space="preserve">SUMIF(test range, criteria, sum range).</t>
  </si>
  <si>
    <t xml:space="preserve">How many invoices are High priority?</t>
  </si>
  <si>
    <t xml:space="preserve">COUNTIFS takes pairs of range and criteria.</t>
  </si>
  <si>
    <t xml:space="preserve">LESSON 4  ·  ROUNDING AND PERCENTAGES</t>
  </si>
  <si>
    <t xml:space="preserve">★★★☆☆   Price a purchase order properly — discounts, rounding and shares of total.</t>
  </si>
  <si>
    <t xml:space="preserve">CONCEPT  ·  Percentages are fractions: 5% is stored as 0.05. Net = Gross × (1 − Discount). ROUND(x,2) rounds to paise; ROUND(x,-2) to the nearest hundred; ROUNDUP always rounds away from zero — use it when you can't buy half a carton.</t>
  </si>
  <si>
    <t xml:space="preserve">Item</t>
  </si>
  <si>
    <t xml:space="preserve">Qty</t>
  </si>
  <si>
    <t xml:space="preserve">Rate</t>
  </si>
  <si>
    <t xml:space="preserve">Discount</t>
  </si>
  <si>
    <t xml:space="preserve">Gross</t>
  </si>
  <si>
    <t xml:space="preserve">Net</t>
  </si>
  <si>
    <t xml:space="preserve">A4 paper ream</t>
  </si>
  <si>
    <t xml:space="preserve">Fill Gross = Qty × Rate.</t>
  </si>
  <si>
    <t xml:space="preserve">=B9*C9</t>
  </si>
  <si>
    <t xml:space="preserve">Toner cartridge</t>
  </si>
  <si>
    <t xml:space="preserve">Fill Net = Gross after discount, rounded to 2 decimals.</t>
  </si>
  <si>
    <t xml:space="preserve">=ROUND(E9*(1-D9),2)</t>
  </si>
  <si>
    <t xml:space="preserve">Office chair</t>
  </si>
  <si>
    <t xml:space="preserve">Total net value of the order.</t>
  </si>
  <si>
    <t xml:space="preserve">SUM your Net column.</t>
  </si>
  <si>
    <t xml:space="preserve">LED monitor</t>
  </si>
  <si>
    <t xml:space="preserve">What share of the total net value is the single largest line? (as a %)</t>
  </si>
  <si>
    <t xml:space="preserve">Largest ÷ total. Format the cell as %.</t>
  </si>
  <si>
    <t xml:space="preserve">Keyboard</t>
  </si>
  <si>
    <t xml:space="preserve">Cartons needed if 12 units fit in one carton (round up).</t>
  </si>
  <si>
    <t xml:space="preserve">ROUNDUP(total units ÷ 12, 0).</t>
  </si>
  <si>
    <t xml:space="preserve">Mouse</t>
  </si>
  <si>
    <t xml:space="preserve">Total net value rounded to the nearest hundred.</t>
  </si>
  <si>
    <t xml:space="preserve">A negative digits argument rounds left of the decimal point.</t>
  </si>
  <si>
    <t xml:space="preserve">Desk lamp</t>
  </si>
  <si>
    <t xml:space="preserve">Notebook pack</t>
  </si>
  <si>
    <t xml:space="preserve">Pen box</t>
  </si>
  <si>
    <t xml:space="preserve">Stapler</t>
  </si>
  <si>
    <t xml:space="preserve">File cabinet</t>
  </si>
  <si>
    <t xml:space="preserve">Printer</t>
  </si>
  <si>
    <t xml:space="preserve">Router</t>
  </si>
  <si>
    <t xml:space="preserve">USB drive</t>
  </si>
  <si>
    <t xml:space="preserve">Whiteboard</t>
  </si>
  <si>
    <t xml:space="preserve">Projector</t>
  </si>
  <si>
    <t xml:space="preserve">Laptop stand</t>
  </si>
  <si>
    <t xml:space="preserve">Headset</t>
  </si>
  <si>
    <t xml:space="preserve">Webcam</t>
  </si>
  <si>
    <t xml:space="preserve">Extension board</t>
  </si>
  <si>
    <t xml:space="preserve">LESSON 5  ·  TEXT CLEANUP</t>
  </si>
  <si>
    <t xml:space="preserve">★★★☆☆   Turn a messy vendor export into clean, matchable data.</t>
  </si>
  <si>
    <t xml:space="preserve">CONCEPT  ·  TRIM removes extra spaces, PROPER capitalises each word, UPPER makes capitals. LEFT(text,n) takes the first n characters; MID(text,start,n) takes n characters from a position. A GSTIN holds the state code in characters 1–2 and the PAN in characters 3–12.</t>
  </si>
  <si>
    <t xml:space="preserve">GSTIN</t>
  </si>
  <si>
    <t xml:space="preserve">City</t>
  </si>
  <si>
    <t xml:space="preserve">Clean Party</t>
  </si>
  <si>
    <t xml:space="preserve">State Code</t>
  </si>
  <si>
    <t xml:space="preserve">PAN</t>
  </si>
  <si>
    <t xml:space="preserve">07AABCF9118O1ZP</t>
  </si>
  <si>
    <t xml:space="preserve">New delhi</t>
  </si>
  <si>
    <t xml:space="preserve">Fill Clean Party: remove extra spaces and capitalise each word.</t>
  </si>
  <si>
    <t xml:space="preserve">=PROPER(TRIM(A9)) — TRIM first, then PROPER.</t>
  </si>
  <si>
    <t xml:space="preserve">abc   traders</t>
  </si>
  <si>
    <t xml:space="preserve">24aabck1630h1zj</t>
  </si>
  <si>
    <t xml:space="preserve">surat</t>
  </si>
  <si>
    <t xml:space="preserve">Fill State Code: the first two characters of the GSTIN.</t>
  </si>
  <si>
    <t xml:space="preserve">=LEFT(B9,2)</t>
  </si>
  <si>
    <t xml:space="preserve">29AABCS7050Y1ZZ</t>
  </si>
  <si>
    <t xml:space="preserve">Nagpur</t>
  </si>
  <si>
    <t xml:space="preserve">Fill PAN: characters 3 to 12 of the GSTIN, in capitals.</t>
  </si>
  <si>
    <t xml:space="preserve">=UPPER(MID(B9,3,10))</t>
  </si>
  <si>
    <t xml:space="preserve"> ABC Traders</t>
  </si>
  <si>
    <t xml:space="preserve">33AABCV5945C1ZF</t>
  </si>
  <si>
    <t xml:space="preserve">How many party names had extra spaces?</t>
  </si>
  <si>
    <t xml:space="preserve">If TRIM changes the length, there were extra spaces.</t>
  </si>
  <si>
    <t xml:space="preserve">  ABC TRADERS  </t>
  </si>
  <si>
    <t xml:space="preserve">33aabcb6799b1zh</t>
  </si>
  <si>
    <t xml:space="preserve">How many GSTINs are from Maharashtra (state code 27)?</t>
  </si>
  <si>
    <t xml:space="preserve">COUNTIF on your State Code column.</t>
  </si>
  <si>
    <t xml:space="preserve">24AABCN8183I1ZL</t>
  </si>
  <si>
    <t xml:space="preserve">chennai</t>
  </si>
  <si>
    <t xml:space="preserve">nandini   foods</t>
  </si>
  <si>
    <t xml:space="preserve">29AABCM3262Y1ZF</t>
  </si>
  <si>
    <t xml:space="preserve">MUMBAI</t>
  </si>
  <si>
    <t xml:space="preserve">07aabcb1882q1zd</t>
  </si>
  <si>
    <t xml:space="preserve">  ORBIT SYSTEMS  </t>
  </si>
  <si>
    <t xml:space="preserve">29AABCO7109T1ZJ</t>
  </si>
  <si>
    <t xml:space="preserve"> Nova Industries</t>
  </si>
  <si>
    <t xml:space="preserve">33AABCX2048M1ZD</t>
  </si>
  <si>
    <t xml:space="preserve">BENGALURU</t>
  </si>
  <si>
    <t xml:space="preserve">33AABCI6664M1ZF</t>
  </si>
  <si>
    <t xml:space="preserve">07AABCQ7836X1ZN</t>
  </si>
  <si>
    <t xml:space="preserve">pune</t>
  </si>
  <si>
    <t xml:space="preserve">07aabcd1208f1zi</t>
  </si>
  <si>
    <t xml:space="preserve">29aabcq5039r1zs</t>
  </si>
  <si>
    <t xml:space="preserve">07AABCG8803D1ZT</t>
  </si>
  <si>
    <t xml:space="preserve">nova   industries</t>
  </si>
  <si>
    <t xml:space="preserve">24aabcf3597p1zn</t>
  </si>
  <si>
    <t xml:space="preserve">  SHREE ENTERPRISES  </t>
  </si>
  <si>
    <t xml:space="preserve">07AABCI3935V1ZA</t>
  </si>
  <si>
    <t xml:space="preserve">  KIRAN AGENCIES  </t>
  </si>
  <si>
    <t xml:space="preserve">24AABCU3610X1ZN</t>
  </si>
  <si>
    <t xml:space="preserve">07AABCK6741W1ZM</t>
  </si>
  <si>
    <t xml:space="preserve">07aabcn3587v1ze</t>
  </si>
  <si>
    <t xml:space="preserve">sagar   metals</t>
  </si>
  <si>
    <t xml:space="preserve">33AABCY3959I1ZG</t>
  </si>
  <si>
    <t xml:space="preserve">27AABCC7798V1ZZ</t>
  </si>
  <si>
    <t xml:space="preserve">24aabct3103q1zt</t>
  </si>
  <si>
    <t xml:space="preserve">  NANDINI FOODS  </t>
  </si>
  <si>
    <t xml:space="preserve">29AABCT2341V1ZF</t>
  </si>
  <si>
    <t xml:space="preserve">bharat   electricals</t>
  </si>
  <si>
    <t xml:space="preserve">29AABCZ1007F1ZB</t>
  </si>
  <si>
    <t xml:space="preserve">LESSON 6  ·  BOSS ROUND — FOUNDATIONS</t>
  </si>
  <si>
    <t xml:space="preserve">★★★★☆   Five questions, no hand-holding. Everything from lessons 1–5.</t>
  </si>
  <si>
    <t xml:space="preserve">CONCEPT  ·  Rate is stored as a whole number (18 means 18%), so divide by 100. Think about which function each question needs before you type.</t>
  </si>
  <si>
    <t xml:space="preserve">Total GST on the whole register, without adding a helper column.</t>
  </si>
  <si>
    <t xml:space="preserve">SUMPRODUCT multiplies two columns row by row, then adds.</t>
  </si>
  <si>
    <t xml:space="preserve">Average taxable value of invoices more than 90 days old.</t>
  </si>
  <si>
    <t xml:space="preserve">AVERAGEIF(test range, criteria, average range).</t>
  </si>
  <si>
    <t xml:space="preserve">What percentage of invoices are more than 90 days old?</t>
  </si>
  <si>
    <t xml:space="preserve">Count overdue ÷ count all.</t>
  </si>
  <si>
    <t xml:space="preserve">Taxable value billed in Maharashtra at the 18% rate.</t>
  </si>
  <si>
    <t xml:space="preserve">SUMIFS with two conditions.</t>
  </si>
  <si>
    <t xml:space="preserve">Which party has the single largest invoice?</t>
  </si>
  <si>
    <t xml:space="preserve">MAX finds the amount; MATCH finds its row; INDEX returns the party.</t>
  </si>
  <si>
    <t xml:space="preserve">INV-0031</t>
  </si>
  <si>
    <t xml:space="preserve">INV-0032</t>
  </si>
  <si>
    <t xml:space="preserve">INV-0033</t>
  </si>
  <si>
    <t xml:space="preserve">INV-0034</t>
  </si>
  <si>
    <t xml:space="preserve">INV-0035</t>
  </si>
  <si>
    <t xml:space="preserve">INV-0036</t>
  </si>
  <si>
    <t xml:space="preserve">INV-0037</t>
  </si>
  <si>
    <t xml:space="preserve">INV-0038</t>
  </si>
  <si>
    <t xml:space="preserve">INV-0039</t>
  </si>
  <si>
    <t xml:space="preserve">INV-0040</t>
  </si>
  <si>
    <t xml:space="preserve">SOLUTIONS &amp; OTHER WAYS — open only after you have tried</t>
  </si>
  <si>
    <t xml:space="preserve">Model answers are shapes, not the only answer. If your formula gives the same result, it is right — compare the logic.</t>
  </si>
  <si>
    <t xml:space="preserve">L1 Totals and counts   ★</t>
  </si>
  <si>
    <t xml:space="preserve">Answer cell</t>
  </si>
  <si>
    <t xml:space="preserve">Model formula</t>
  </si>
  <si>
    <t xml:space="preserve">Other ways</t>
  </si>
  <si>
    <t xml:space="preserve">Why it works</t>
  </si>
  <si>
    <t xml:space="preserve">I9</t>
  </si>
  <si>
    <t xml:space="preserve">=SUM($E$9:$E$38)</t>
  </si>
  <si>
    <t xml:space="preserve">=SUMPRODUCT(E9:E38)</t>
  </si>
  <si>
    <t xml:space="preserve">SUM adds every number in the range and ignores text and blanks.</t>
  </si>
  <si>
    <t xml:space="preserve">I10</t>
  </si>
  <si>
    <t xml:space="preserve">=COUNTA($A$9:$A$38)</t>
  </si>
  <si>
    <t xml:space="preserve">=ROWS(A9:A38)
=COUNT(E9:E38) — counts the amounts instead</t>
  </si>
  <si>
    <t xml:space="preserve">COUNT only counts numbers; COUNTA counts any filled cell.</t>
  </si>
  <si>
    <t xml:space="preserve">I11</t>
  </si>
  <si>
    <t xml:space="preserve">=AVERAGE($E$9:$E$38)</t>
  </si>
  <si>
    <t xml:space="preserve">=SUM(E9:E38)/COUNT(E9:E38)</t>
  </si>
  <si>
    <t xml:space="preserve">AVERAGE is the total divided by how many numbers there are.</t>
  </si>
  <si>
    <t xml:space="preserve">I12</t>
  </si>
  <si>
    <t xml:space="preserve">=MAX($E$9:$E$38)</t>
  </si>
  <si>
    <t xml:space="preserve">=LARGE(E9:E38,1)</t>
  </si>
  <si>
    <t xml:space="preserve">I13</t>
  </si>
  <si>
    <t xml:space="preserve">=MIN($E$9:$E$38)</t>
  </si>
  <si>
    <t xml:space="preserve">=SMALL(E9:E38,1)</t>
  </si>
  <si>
    <t xml:space="preserve">I14</t>
  </si>
  <si>
    <t xml:space="preserve">=COUNTIF($E$9:$E$38,"&gt;100000")</t>
  </si>
  <si>
    <t xml:space="preserve">=SUMPRODUCT(--(E9:E38&gt;100000))
=COUNTIFS(E9:E38,"&gt;100000")</t>
  </si>
  <si>
    <t xml:space="preserve">COUNTIF counts cells that meet one condition.</t>
  </si>
  <si>
    <t xml:space="preserve">L2 References and the $ sign   ★★</t>
  </si>
  <si>
    <t xml:space="preserve">column D</t>
  </si>
  <si>
    <t xml:space="preserve">=ROUND(C9*$B$6,2)   (row 9, then fill down)</t>
  </si>
  <si>
    <t xml:space="preserve">=C9*$B$6 then format to 2 decimals — displays the same but isn't really rounded</t>
  </si>
  <si>
    <t xml:space="preserve">Without $, row 10 would read C10*B7, an empty cell.</t>
  </si>
  <si>
    <t xml:space="preserve">column E</t>
  </si>
  <si>
    <t xml:space="preserve">=C9+D9   (row 9, then fill down)</t>
  </si>
  <si>
    <t xml:space="preserve">=SUM(C9:D9)</t>
  </si>
  <si>
    <t xml:space="preserve">=SUM($D$9:$D$33)</t>
  </si>
  <si>
    <t xml:space="preserve">=ROUND(SUM(C9:C33)*$B$6,2) — can differ by a few paise: round each row first, then add</t>
  </si>
  <si>
    <t xml:space="preserve">Rounding per row matches how invoices are actually printed.</t>
  </si>
  <si>
    <t xml:space="preserve">=SUM($E$9:$E$33)</t>
  </si>
  <si>
    <t xml:space="preserve">A model is only right if changing an input flows through every formula.</t>
  </si>
  <si>
    <t xml:space="preserve">L3 IF logic   ★★</t>
  </si>
  <si>
    <t xml:space="preserve">=IF(D9&gt;90,"Overdue","Current")   (row 9, then fill down)</t>
  </si>
  <si>
    <t xml:space="preserve">=IF(D9&lt;=90,"Current","Overdue")</t>
  </si>
  <si>
    <t xml:space="preserve">The comparison produces TRUE or FALSE; IF turns that into a label.</t>
  </si>
  <si>
    <t xml:space="preserve">J10</t>
  </si>
  <si>
    <t xml:space="preserve">=COUNTIF($E$9:$E$38,"Overdue")</t>
  </si>
  <si>
    <t xml:space="preserve">=COUNTIF(D9:D38,"&gt;90")</t>
  </si>
  <si>
    <t xml:space="preserve">column F</t>
  </si>
  <si>
    <t xml:space="preserve">=IF(AND(C9&gt;200000,D9&gt;60),"High","Normal")   (row 9, then fill down)</t>
  </si>
  <si>
    <t xml:space="preserve">=IF((C9&gt;200000)*(D9&gt;60),"High","Normal") — multiplying two tests is AND in array logic</t>
  </si>
  <si>
    <t xml:space="preserve">AND returns TRUE only if every test is TRUE.</t>
  </si>
  <si>
    <t xml:space="preserve">J12</t>
  </si>
  <si>
    <t xml:space="preserve">=SUMIF($D$9:$D$38,"&gt;90",$C$9:$C$38)</t>
  </si>
  <si>
    <t xml:space="preserve">=SUMIFS(C9:C38,D9:D38,"&gt;90")
=SUMIF(E9:E38,"Overdue",C9:C38)</t>
  </si>
  <si>
    <t xml:space="preserve">J13</t>
  </si>
  <si>
    <t xml:space="preserve">=COUNTIFS($C$9:$C$38,"&gt;200000",$D$9:$D$38,"&gt;60")</t>
  </si>
  <si>
    <t xml:space="preserve">=COUNTIF(F9:F38,"High")</t>
  </si>
  <si>
    <t xml:space="preserve">L4 Rounding and percentages   ★★★</t>
  </si>
  <si>
    <t xml:space="preserve">=B9*C9   (row 9, then fill down)</t>
  </si>
  <si>
    <t xml:space="preserve">=ROUND(E9*(1-D9),2)   (row 9, then fill down)</t>
  </si>
  <si>
    <t xml:space="preserve">=ROUND(E9-E9*D9,2)</t>
  </si>
  <si>
    <t xml:space="preserve">1 − 5% = 0.95, so you keep 95% of the gross.</t>
  </si>
  <si>
    <t xml:space="preserve">J11</t>
  </si>
  <si>
    <t xml:space="preserve">=SUM($F$9:$F$28)</t>
  </si>
  <si>
    <t xml:space="preserve">=MAX($F$9:$F$28)/SUM($F$9:$F$28)</t>
  </si>
  <si>
    <t xml:space="preserve">=LARGE(F9:F28,1)/SUM(F9:F28)</t>
  </si>
  <si>
    <t xml:space="preserve">=ROUNDUP(SUM($B$9:$B$28)/12,0)</t>
  </si>
  <si>
    <t xml:space="preserve">=CEILING(SUM(B9:B28)/12,1)
=INT((SUM(B9:B28)+11)/12)</t>
  </si>
  <si>
    <t xml:space="preserve">J14</t>
  </si>
  <si>
    <t xml:space="preserve">=ROUND(SUM($F$9:$F$28),-2)</t>
  </si>
  <si>
    <t xml:space="preserve">L5 Text cleanup   ★★★</t>
  </si>
  <si>
    <t xml:space="preserve">=PROPER(TRIM(A9))   (row 9, then fill down)</t>
  </si>
  <si>
    <t xml:space="preserve">Clean keys are the difference between a lookup that works and one that returns #N/A.</t>
  </si>
  <si>
    <t xml:space="preserve">=LEFT(B9,2)   (row 9, then fill down)</t>
  </si>
  <si>
    <t xml:space="preserve">=MID(B9,1,2)</t>
  </si>
  <si>
    <t xml:space="preserve">=UPPER(MID(B9,3,10))   (row 9, then fill down)</t>
  </si>
  <si>
    <t xml:space="preserve">=SUMPRODUCT(--(LEN($A$9:$A$33)&lt;&gt;LEN(TRIM($A$9:$A$33))))</t>
  </si>
  <si>
    <t xml:space="preserve">Helper column =LEN(A9)&lt;&gt;LEN(TRIM(A9)), then COUNTIF(…,TRUE)</t>
  </si>
  <si>
    <t xml:space="preserve">=COUNTIF($E$9:$E$33,"27")</t>
  </si>
  <si>
    <t xml:space="preserve">L6 Boss round — foundations   ★★★★</t>
  </si>
  <si>
    <t xml:space="preserve">J9</t>
  </si>
  <si>
    <t xml:space="preserve">=SUMPRODUCT($D$9:$D$48,$E$9:$E$48)/100</t>
  </si>
  <si>
    <t xml:space="preserve">Helper column =D9*E9/100 then SUM</t>
  </si>
  <si>
    <t xml:space="preserve">=AVERAGEIF($F$9:$F$48,"&gt;90",$D$9:$D$48)</t>
  </si>
  <si>
    <t xml:space="preserve">=COUNTIF($F$9:$F$48,"&gt;90")/COUNTA($A$9:$A$48)</t>
  </si>
  <si>
    <t xml:space="preserve">=SUMIFS($D$9:$D$48,$C$9:$C$48,"Maharashtra",$E$9:$E$48,18)</t>
  </si>
  <si>
    <t xml:space="preserve">=INDEX($B$9:$B$48,MATCH(MAX($D$9:$D$48),$D$9:$D$48,0))</t>
  </si>
  <si>
    <t xml:space="preserve">=XLOOKUP(MAX(D9:D48),D9:D48,B9:B48)</t>
  </si>
  <si>
    <t xml:space="preserve">VLOOKUP can't do this — the party is to the left of the amount.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</si>
</sst>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%"/>
    <numFmt numFmtId="167" formatCode="dd\-mmm\-yyyy"/>
    <numFmt numFmtId="168" formatCode="#,##0"/>
    <numFmt numFmtId="169" formatCode="#,##0.00"/>
    <numFmt numFmtId="170" formatCode="General"/>
    <numFmt numFmtId="171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1"/>
      <color rgb="FF0B855C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0B855C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E847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10"/>
      <color rgb="FF2A5DB1"/>
      <name val="Arial"/>
      <family val="0"/>
      <charset val="1"/>
    </font>
    <font>
      <b val="true"/>
      <sz val="10"/>
      <color rgb="FF6442B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293B"/>
      <name val="Consolas"/>
      <family val="0"/>
      <charset val="1"/>
    </font>
    <font>
      <sz val="10"/>
      <color rgb="FF1E293B"/>
      <name val="Consolas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0B981"/>
        <bgColor rgb="FF14B8A6"/>
      </patternFill>
    </fill>
    <fill>
      <patternFill patternType="solid">
        <fgColor rgb="FFFFF3B0"/>
        <bgColor rgb="FFFEF3C7"/>
      </patternFill>
    </fill>
    <fill>
      <patternFill patternType="solid">
        <fgColor rgb="FFDBEAFE"/>
        <bgColor rgb="FFEBF2FE"/>
      </patternFill>
    </fill>
    <fill>
      <patternFill patternType="solid">
        <fgColor rgb="FFD1FAE5"/>
        <bgColor rgb="FFE7F8F2"/>
      </patternFill>
    </fill>
    <fill>
      <patternFill patternType="solid">
        <fgColor rgb="FFFEE2E2"/>
        <bgColor rgb="FFF3EEFE"/>
      </patternFill>
    </fill>
    <fill>
      <patternFill patternType="solid">
        <fgColor rgb="FFFEF3C7"/>
        <bgColor rgb="FFFFF3B0"/>
      </patternFill>
    </fill>
    <fill>
      <patternFill patternType="solid">
        <fgColor rgb="FF0B855C"/>
        <bgColor rgb="FF0E8477"/>
      </patternFill>
    </fill>
    <fill>
      <patternFill patternType="solid">
        <fgColor rgb="FFE7F8F2"/>
        <bgColor rgb="FFE7F7F6"/>
      </patternFill>
    </fill>
    <fill>
      <patternFill patternType="solid">
        <fgColor rgb="FF0F172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14B8A6"/>
        <bgColor rgb="FF10B981"/>
      </patternFill>
    </fill>
    <fill>
      <patternFill patternType="solid">
        <fgColor rgb="FFE7F7F6"/>
        <bgColor rgb="FFE7F8F2"/>
      </patternFill>
    </fill>
    <fill>
      <patternFill patternType="solid">
        <fgColor rgb="FFF59E0B"/>
        <bgColor rgb="FFD97706"/>
      </patternFill>
    </fill>
    <fill>
      <patternFill patternType="solid">
        <fgColor rgb="FF0E8477"/>
        <bgColor rgb="FF0B855C"/>
      </patternFill>
    </fill>
    <fill>
      <patternFill patternType="solid">
        <fgColor rgb="FF3B82F6"/>
        <bgColor rgb="FF2A5DB1"/>
      </patternFill>
    </fill>
    <fill>
      <patternFill patternType="solid">
        <fgColor rgb="FFEBF2FE"/>
        <bgColor rgb="FFF1F5F9"/>
      </patternFill>
    </fill>
    <fill>
      <patternFill patternType="solid">
        <fgColor rgb="FF2A5DB1"/>
        <bgColor rgb="FF1D4ED8"/>
      </patternFill>
    </fill>
    <fill>
      <patternFill patternType="solid">
        <fgColor rgb="FF8B5CF6"/>
        <bgColor rgb="FF6442B1"/>
      </patternFill>
    </fill>
    <fill>
      <patternFill patternType="solid">
        <fgColor rgb="FFF3EEFE"/>
        <bgColor rgb="FFEBF2FE"/>
      </patternFill>
    </fill>
    <fill>
      <patternFill patternType="solid">
        <fgColor rgb="FF6442B1"/>
        <bgColor rgb="FF8B5CF6"/>
      </patternFill>
    </fill>
    <fill>
      <patternFill patternType="solid">
        <fgColor rgb="FF334155"/>
        <bgColor rgb="FF1E293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9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3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17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1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3" fillId="1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65F46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64748B"/>
      </font>
      <fill>
        <patternFill>
          <bgColor rgb="FFF1F5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AFC"/>
      <rgbColor rgb="FFFF00FF"/>
      <rgbColor rgb="FF00FFFF"/>
      <rgbColor rgb="FF991B1B"/>
      <rgbColor rgb="FF065F46"/>
      <rgbColor rgb="FF000080"/>
      <rgbColor rgb="FF808000"/>
      <rgbColor rgb="FF800080"/>
      <rgbColor rgb="FF0E8477"/>
      <rgbColor rgb="FFDBEAFE"/>
      <rgbColor rgb="FF808080"/>
      <rgbColor rgb="FF8B5CF6"/>
      <rgbColor rgb="FF6442B1"/>
      <rgbColor rgb="FFFEF3C7"/>
      <rgbColor rgb="FFE7F7F6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B855C"/>
      <rgbColor rgb="FF0000FF"/>
      <rgbColor rgb="FF00CCFF"/>
      <rgbColor rgb="FFE7F8F2"/>
      <rgbColor rgb="FFD1FAE5"/>
      <rgbColor rgb="FFFFF3B0"/>
      <rgbColor rgb="FFEBF2FE"/>
      <rgbColor rgb="FFF3EEFE"/>
      <rgbColor rgb="FFF1F5F9"/>
      <rgbColor rgb="FFFEE2E2"/>
      <rgbColor rgb="FF3B82F6"/>
      <rgbColor rgb="FF14B8A6"/>
      <rgbColor rgb="FF99CC00"/>
      <rgbColor rgb="FFFFCC00"/>
      <rgbColor rgb="FFF59E0B"/>
      <rgbColor rgb="FFD97706"/>
      <rgbColor rgb="FF64748B"/>
      <rgbColor rgb="FF969696"/>
      <rgbColor rgb="FF2A5DB1"/>
      <rgbColor rgb="FF10B981"/>
      <rgbColor rgb="FF0F172A"/>
      <rgbColor rgb="FF333300"/>
      <rgbColor rgb="FF92400E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xcel-lab-01-foundations.xlsx" TargetMode="External"/><Relationship Id="rId2" Type="http://schemas.openxmlformats.org/officeDocument/2006/relationships/hyperlink" Target="excel-lab-01-foundations.xlsx" TargetMode="External"/><Relationship Id="rId3" Type="http://schemas.openxmlformats.org/officeDocument/2006/relationships/hyperlink" Target="excel-lab-01-foundations.xlsx" TargetMode="External"/><Relationship Id="rId4" Type="http://schemas.openxmlformats.org/officeDocument/2006/relationships/hyperlink" Target="excel-lab-01-foundations.xlsx" TargetMode="External"/><Relationship Id="rId5" Type="http://schemas.openxmlformats.org/officeDocument/2006/relationships/hyperlink" Target="excel-lab-01-foundations.xlsx" TargetMode="External"/><Relationship Id="rId6" Type="http://schemas.openxmlformats.org/officeDocument/2006/relationships/hyperlink" Target="excel-lab-01-foundation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8" min="7" style="0" width="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n">
        <v>1</v>
      </c>
      <c r="B5" s="5" t="s">
        <v>3</v>
      </c>
      <c r="C5" s="5"/>
      <c r="D5" s="5"/>
      <c r="E5" s="5"/>
      <c r="F5" s="5"/>
    </row>
    <row r="6" customFormat="false" ht="27.75" hidden="false" customHeight="true" outlineLevel="0" collapsed="false">
      <c r="A6" s="4" t="n">
        <v>2</v>
      </c>
      <c r="B6" s="5" t="s">
        <v>4</v>
      </c>
      <c r="C6" s="5"/>
      <c r="D6" s="5"/>
      <c r="E6" s="5"/>
      <c r="F6" s="5"/>
    </row>
    <row r="7" customFormat="false" ht="27.75" hidden="false" customHeight="true" outlineLevel="0" collapsed="false">
      <c r="A7" s="4" t="n">
        <v>3</v>
      </c>
      <c r="B7" s="5" t="s">
        <v>5</v>
      </c>
      <c r="C7" s="5"/>
      <c r="D7" s="5"/>
      <c r="E7" s="5"/>
      <c r="F7" s="5"/>
    </row>
    <row r="8" customFormat="false" ht="27.75" hidden="false" customHeight="true" outlineLevel="0" collapsed="false">
      <c r="A8" s="4" t="n">
        <v>4</v>
      </c>
      <c r="B8" s="5" t="s">
        <v>6</v>
      </c>
      <c r="C8" s="5"/>
      <c r="D8" s="5"/>
      <c r="E8" s="5"/>
      <c r="F8" s="5"/>
    </row>
    <row r="9" customFormat="false" ht="27.75" hidden="false" customHeight="true" outlineLevel="0" collapsed="false">
      <c r="A9" s="4" t="n">
        <v>5</v>
      </c>
      <c r="B9" s="5" t="s">
        <v>7</v>
      </c>
      <c r="C9" s="5"/>
      <c r="D9" s="5"/>
      <c r="E9" s="5"/>
      <c r="F9" s="5"/>
    </row>
    <row r="11" customFormat="false" ht="15" hidden="false" customHeight="false" outlineLevel="0" collapsed="false">
      <c r="A11" s="3" t="s">
        <v>8</v>
      </c>
    </row>
    <row r="12" customFormat="false" ht="19.5" hidden="false" customHeight="true" outlineLevel="0" collapsed="false">
      <c r="A12" s="6"/>
      <c r="B12" s="7" t="s">
        <v>9</v>
      </c>
      <c r="C12" s="7"/>
      <c r="D12" s="7"/>
      <c r="E12" s="7"/>
      <c r="F12" s="7"/>
    </row>
    <row r="13" customFormat="false" ht="19.5" hidden="false" customHeight="true" outlineLevel="0" collapsed="false">
      <c r="A13" s="8"/>
      <c r="B13" s="7" t="s">
        <v>10</v>
      </c>
      <c r="C13" s="7"/>
      <c r="D13" s="7"/>
      <c r="E13" s="7"/>
      <c r="F13" s="7"/>
    </row>
    <row r="14" customFormat="false" ht="19.5" hidden="false" customHeight="true" outlineLevel="0" collapsed="false">
      <c r="A14" s="9"/>
      <c r="B14" s="7" t="s">
        <v>11</v>
      </c>
      <c r="C14" s="7"/>
      <c r="D14" s="7"/>
      <c r="E14" s="7"/>
      <c r="F14" s="7"/>
    </row>
    <row r="15" customFormat="false" ht="19.5" hidden="false" customHeight="true" outlineLevel="0" collapsed="false">
      <c r="A15" s="10"/>
      <c r="B15" s="7" t="s">
        <v>12</v>
      </c>
      <c r="C15" s="7"/>
      <c r="D15" s="7"/>
      <c r="E15" s="7"/>
      <c r="F15" s="7"/>
    </row>
    <row r="16" customFormat="false" ht="19.5" hidden="false" customHeight="true" outlineLevel="0" collapsed="false">
      <c r="A16" s="11"/>
      <c r="B16" s="7" t="s">
        <v>13</v>
      </c>
      <c r="C16" s="7"/>
      <c r="D16" s="7"/>
      <c r="E16" s="7"/>
      <c r="F16" s="7"/>
    </row>
    <row r="18" customFormat="false" ht="21.75" hidden="false" customHeight="true" outlineLevel="0" collapsed="false">
      <c r="A18" s="12" t="s">
        <v>14</v>
      </c>
      <c r="B18" s="12" t="s">
        <v>15</v>
      </c>
      <c r="C18" s="12" t="s">
        <v>16</v>
      </c>
      <c r="D18" s="12" t="s">
        <v>17</v>
      </c>
      <c r="E18" s="12" t="s">
        <v>18</v>
      </c>
      <c r="F18" s="12" t="s">
        <v>19</v>
      </c>
    </row>
    <row r="19" customFormat="false" ht="19.5" hidden="false" customHeight="true" outlineLevel="0" collapsed="false">
      <c r="A19" s="13" t="n">
        <v>1</v>
      </c>
      <c r="B19" s="14" t="s">
        <v>20</v>
      </c>
      <c r="C19" s="15" t="s">
        <v>21</v>
      </c>
      <c r="D19" s="16" t="n">
        <v>6</v>
      </c>
      <c r="E19" s="13" t="n">
        <f aca="false">COUNTIF('L1 Totals and counts'!J9:J14,"✓*")</f>
        <v>0</v>
      </c>
      <c r="F19" s="17" t="n">
        <f aca="false">IFERROR(E19/D19,0)</f>
        <v>0</v>
      </c>
    </row>
    <row r="20" customFormat="false" ht="19.5" hidden="false" customHeight="true" outlineLevel="0" collapsed="false">
      <c r="A20" s="13" t="n">
        <v>2</v>
      </c>
      <c r="B20" s="14" t="s">
        <v>22</v>
      </c>
      <c r="C20" s="15" t="s">
        <v>23</v>
      </c>
      <c r="D20" s="16" t="n">
        <v>4</v>
      </c>
      <c r="E20" s="13" t="n">
        <f aca="false">COUNTIF('L2 References and the $ sign'!J9:J12,"✓*")</f>
        <v>0</v>
      </c>
      <c r="F20" s="17" t="n">
        <f aca="false">IFERROR(E20/D20,0)</f>
        <v>0</v>
      </c>
    </row>
    <row r="21" customFormat="false" ht="19.5" hidden="false" customHeight="true" outlineLevel="0" collapsed="false">
      <c r="A21" s="13" t="n">
        <v>3</v>
      </c>
      <c r="B21" s="14" t="s">
        <v>24</v>
      </c>
      <c r="C21" s="15" t="s">
        <v>23</v>
      </c>
      <c r="D21" s="16" t="n">
        <v>5</v>
      </c>
      <c r="E21" s="13" t="n">
        <f aca="false">COUNTIF('L3 IF logic'!K9:K13,"✓*")</f>
        <v>0</v>
      </c>
      <c r="F21" s="17" t="n">
        <f aca="false">IFERROR(E21/D21,0)</f>
        <v>0</v>
      </c>
    </row>
    <row r="22" customFormat="false" ht="19.5" hidden="false" customHeight="true" outlineLevel="0" collapsed="false">
      <c r="A22" s="13" t="n">
        <v>4</v>
      </c>
      <c r="B22" s="14" t="s">
        <v>25</v>
      </c>
      <c r="C22" s="15" t="s">
        <v>26</v>
      </c>
      <c r="D22" s="16" t="n">
        <v>6</v>
      </c>
      <c r="E22" s="13" t="n">
        <f aca="false">COUNTIF('L4 Rounding and percentages'!K9:K14,"✓*")</f>
        <v>0</v>
      </c>
      <c r="F22" s="17" t="n">
        <f aca="false">IFERROR(E22/D22,0)</f>
        <v>0</v>
      </c>
    </row>
    <row r="23" customFormat="false" ht="19.5" hidden="false" customHeight="true" outlineLevel="0" collapsed="false">
      <c r="A23" s="13" t="n">
        <v>5</v>
      </c>
      <c r="B23" s="14" t="s">
        <v>27</v>
      </c>
      <c r="C23" s="15" t="s">
        <v>26</v>
      </c>
      <c r="D23" s="16" t="n">
        <v>5</v>
      </c>
      <c r="E23" s="13" t="n">
        <f aca="false">COUNTIF('L5 Text cleanup'!K9:K13,"✓*")</f>
        <v>0</v>
      </c>
      <c r="F23" s="17" t="n">
        <f aca="false">IFERROR(E23/D23,0)</f>
        <v>0</v>
      </c>
    </row>
    <row r="24" customFormat="false" ht="19.5" hidden="false" customHeight="true" outlineLevel="0" collapsed="false">
      <c r="A24" s="13" t="n">
        <v>6</v>
      </c>
      <c r="B24" s="14" t="s">
        <v>28</v>
      </c>
      <c r="C24" s="15" t="s">
        <v>29</v>
      </c>
      <c r="D24" s="16" t="n">
        <v>5</v>
      </c>
      <c r="E24" s="13" t="n">
        <f aca="false">COUNTIF('L6 Boss round — foundations'!K9:K13,"✓*")</f>
        <v>0</v>
      </c>
      <c r="F24" s="17" t="n">
        <f aca="false">IFERROR(E24/D24,0)</f>
        <v>0</v>
      </c>
    </row>
    <row r="25" customFormat="false" ht="15" hidden="false" customHeight="false" outlineLevel="0" collapsed="false">
      <c r="B25" s="18" t="s">
        <v>30</v>
      </c>
      <c r="D25" s="13" t="n">
        <f aca="false">SUM(D19:D24)</f>
        <v>31</v>
      </c>
      <c r="E25" s="13" t="n">
        <f aca="false">SUM(E19:E24)</f>
        <v>0</v>
      </c>
      <c r="F25" s="19" t="n">
        <f aca="false">IFERROR(E25/D25,0)</f>
        <v>0</v>
      </c>
    </row>
    <row r="27" customFormat="false" ht="15" hidden="false" customHeight="false" outlineLevel="0" collapsed="false">
      <c r="A27" s="20" t="s">
        <v>31</v>
      </c>
      <c r="B27" s="20"/>
      <c r="C27" s="20"/>
      <c r="D27" s="20"/>
      <c r="E27" s="20"/>
      <c r="F27" s="20"/>
    </row>
  </sheetData>
  <mergeCells count="13">
    <mergeCell ref="A1:F1"/>
    <mergeCell ref="A2:F2"/>
    <mergeCell ref="B5:F5"/>
    <mergeCell ref="B6:F6"/>
    <mergeCell ref="B7:F7"/>
    <mergeCell ref="B8:F8"/>
    <mergeCell ref="B9:F9"/>
    <mergeCell ref="B12:F12"/>
    <mergeCell ref="B13:F13"/>
    <mergeCell ref="B14:F14"/>
    <mergeCell ref="B15:F15"/>
    <mergeCell ref="B16:F16"/>
    <mergeCell ref="A27:F27"/>
  </mergeCells>
  <conditionalFormatting sqref="F19:F25">
    <cfRule type="dataBar" priority="2">
      <dataBar showValue="1" minLength="10" maxLength="90">
        <cfvo type="num" val="0"/>
        <cfvo type="num" val="1"/>
        <color rgb="FF10B981"/>
      </dataBar>
      <extLst>
        <ext xmlns:x14="http://schemas.microsoft.com/office/spreadsheetml/2009/9/main" uri="{B025F937-C7B1-47D3-B67F-A62EFF666E3E}">
          <x14:id>{328DC591-335D-42D1-B010-8E4141FEFD89}</x14:id>
        </ext>
      </extLst>
    </cfRule>
  </conditionalFormatting>
  <hyperlinks>
    <hyperlink ref="B19" r:id="rId1" location="'L1%20Totals%20and%20counts'!A1" display="L1 Totals and counts"/>
    <hyperlink ref="B20" r:id="rId2" location="'L2%20References%20and%20the%20$%20sign'!A1" display="L2 References and the $ sign"/>
    <hyperlink ref="B21" r:id="rId3" location="'L3%20IF%20logic'!A1" display="L3 IF logic"/>
    <hyperlink ref="B22" r:id="rId4" location="'L4%20Rounding%20and%20percentages'!A1" display="L4 Rounding and percentages"/>
    <hyperlink ref="B23" r:id="rId5" location="'L5%20Text%20cleanup'!A1" display="L5 Text cleanup"/>
    <hyperlink ref="B24" r:id="rId6" location="'L6%20Boss%20round%20—%20foundations'!A1" display="L6 Boss round — founda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8DC591-335D-42D1-B010-8E4141FEFD8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0B981"/>
              <x14:axisColor rgb="FF000000"/>
            </x14:dataBar>
          </x14:cfRule>
          <xm:sqref>F19:F25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tru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3" min="12" style="0" width="13"/>
  </cols>
  <sheetData>
    <row r="1" customFormat="false" ht="31.5" hidden="false" customHeight="true" outlineLevel="0" collapsed="false">
      <c r="A1" s="21" t="s">
        <v>32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19.5" hidden="false" customHeight="true" outlineLevel="0" collapsed="false">
      <c r="A2" s="22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customFormat="false" ht="18.75" hidden="false" customHeight="true" outlineLevel="0" collapsed="false">
      <c r="A3" s="23" t="s">
        <v>34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customFormat="false" ht="18.75" hidden="false" customHeight="true" outlineLevel="0" collapsed="false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customFormat="false" ht="18.75" hidden="false" customHeight="true" outlineLevel="0" collapsed="false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35</v>
      </c>
      <c r="B8" s="24" t="s">
        <v>36</v>
      </c>
      <c r="C8" s="24" t="s">
        <v>37</v>
      </c>
      <c r="D8" s="24" t="s">
        <v>38</v>
      </c>
      <c r="E8" s="24" t="s">
        <v>39</v>
      </c>
      <c r="G8" s="12" t="s">
        <v>14</v>
      </c>
      <c r="H8" s="12" t="s">
        <v>40</v>
      </c>
      <c r="I8" s="12" t="s">
        <v>41</v>
      </c>
      <c r="J8" s="12" t="s">
        <v>42</v>
      </c>
      <c r="K8" s="12" t="s">
        <v>43</v>
      </c>
    </row>
    <row r="9" customFormat="false" ht="33.75" hidden="false" customHeight="true" outlineLevel="0" collapsed="false">
      <c r="A9" s="25" t="s">
        <v>44</v>
      </c>
      <c r="B9" s="26" t="n">
        <v>45796</v>
      </c>
      <c r="C9" s="25" t="s">
        <v>45</v>
      </c>
      <c r="D9" s="25" t="s">
        <v>46</v>
      </c>
      <c r="E9" s="27" t="n">
        <v>191500</v>
      </c>
      <c r="G9" s="28" t="n">
        <v>1</v>
      </c>
      <c r="H9" s="29" t="s">
        <v>47</v>
      </c>
      <c r="I9" s="30"/>
      <c r="J9" s="31" t="str">
        <f aca="false">IF(ISBLANK(I9),"◯ Not attempted",IF(NOT(_xlfn.ISFORMULA(I9)),"✎ Use a formula",IF(ISNUMBER(I9),IF(ABS(I9-$L$9)&lt;0.005,"✓ Correct","✗ Check again"),"✗ Not a number")))</f>
        <v>◯ Not attempted</v>
      </c>
      <c r="K9" s="32" t="s">
        <v>48</v>
      </c>
      <c r="L9" s="0" t="n">
        <f aca="false">SUM($E$9:$E$38)</f>
        <v>5962500</v>
      </c>
    </row>
    <row r="10" customFormat="false" ht="33.75" hidden="false" customHeight="true" outlineLevel="0" collapsed="false">
      <c r="A10" s="33" t="s">
        <v>49</v>
      </c>
      <c r="B10" s="34" t="n">
        <v>45823</v>
      </c>
      <c r="C10" s="33" t="s">
        <v>50</v>
      </c>
      <c r="D10" s="33" t="s">
        <v>46</v>
      </c>
      <c r="E10" s="35" t="n">
        <v>117500</v>
      </c>
      <c r="G10" s="28" t="n">
        <v>2</v>
      </c>
      <c r="H10" s="29" t="s">
        <v>51</v>
      </c>
      <c r="I10" s="36"/>
      <c r="J10" s="31" t="str">
        <f aca="false">IF(ISBLANK(I10),"◯ Not attempted",IF(NOT(_xlfn.ISFORMULA(I10)),"✎ Use a formula",IF(ISNUMBER(I10),IF(ABS(I10-$L$10)&lt;0.005,"✓ Correct","✗ Check again"),"✗ Not a number")))</f>
        <v>◯ Not attempted</v>
      </c>
      <c r="K10" s="32" t="s">
        <v>52</v>
      </c>
      <c r="L10" s="37" t="n">
        <f aca="false">COUNTA($A$9:$A$38)</f>
        <v>30</v>
      </c>
    </row>
    <row r="11" customFormat="false" ht="33.75" hidden="false" customHeight="true" outlineLevel="0" collapsed="false">
      <c r="A11" s="25" t="s">
        <v>53</v>
      </c>
      <c r="B11" s="26" t="n">
        <v>45858</v>
      </c>
      <c r="C11" s="25" t="s">
        <v>45</v>
      </c>
      <c r="D11" s="25" t="s">
        <v>54</v>
      </c>
      <c r="E11" s="27" t="n">
        <v>256500</v>
      </c>
      <c r="G11" s="28" t="n">
        <v>3</v>
      </c>
      <c r="H11" s="29" t="s">
        <v>55</v>
      </c>
      <c r="I11" s="38"/>
      <c r="J11" s="31" t="str">
        <f aca="false">IF(ISBLANK(I11),"◯ Not attempted",IF(NOT(_xlfn.ISFORMULA(I11)),"✎ Use a formula",IF(ISNUMBER(I11),IF(ABS(I11-$L$11)&lt;0.005,"✓ Correct","✗ Check again"),"✗ Not a number")))</f>
        <v>◯ Not attempted</v>
      </c>
      <c r="K11" s="32" t="s">
        <v>56</v>
      </c>
      <c r="L11" s="39" t="n">
        <f aca="false">AVERAGE($E$9:$E$38)</f>
        <v>198750</v>
      </c>
    </row>
    <row r="12" customFormat="false" ht="33.75" hidden="false" customHeight="true" outlineLevel="0" collapsed="false">
      <c r="A12" s="33" t="s">
        <v>57</v>
      </c>
      <c r="B12" s="34" t="n">
        <v>45892</v>
      </c>
      <c r="C12" s="33" t="s">
        <v>45</v>
      </c>
      <c r="D12" s="33" t="s">
        <v>54</v>
      </c>
      <c r="E12" s="35" t="n">
        <v>232000</v>
      </c>
      <c r="G12" s="28" t="n">
        <v>4</v>
      </c>
      <c r="H12" s="29" t="s">
        <v>58</v>
      </c>
      <c r="I12" s="30"/>
      <c r="J12" s="31" t="str">
        <f aca="false">IF(ISBLANK(I12),"◯ Not attempted",IF(NOT(_xlfn.ISFORMULA(I12)),"✎ Use a formula",IF(ISNUMBER(I12),IF(ABS(I12-$L$12)&lt;0.005,"✓ Correct","✗ Check again"),"✗ Not a number")))</f>
        <v>◯ Not attempted</v>
      </c>
      <c r="K12" s="32" t="s">
        <v>59</v>
      </c>
      <c r="L12" s="0" t="n">
        <f aca="false">MAX($E$9:$E$38)</f>
        <v>368500</v>
      </c>
    </row>
    <row r="13" customFormat="false" ht="33.75" hidden="false" customHeight="true" outlineLevel="0" collapsed="false">
      <c r="A13" s="25" t="s">
        <v>60</v>
      </c>
      <c r="B13" s="26" t="n">
        <v>45903</v>
      </c>
      <c r="C13" s="25" t="s">
        <v>61</v>
      </c>
      <c r="D13" s="25" t="s">
        <v>62</v>
      </c>
      <c r="E13" s="27" t="n">
        <v>90000</v>
      </c>
      <c r="G13" s="28" t="n">
        <v>5</v>
      </c>
      <c r="H13" s="29" t="s">
        <v>63</v>
      </c>
      <c r="I13" s="30"/>
      <c r="J13" s="31" t="str">
        <f aca="false">IF(ISBLANK(I13),"◯ Not attempted",IF(NOT(_xlfn.ISFORMULA(I13)),"✎ Use a formula",IF(ISNUMBER(I13),IF(ABS(I13-$L$13)&lt;0.005,"✓ Correct","✗ Check again"),"✗ Not a number")))</f>
        <v>◯ Not attempted</v>
      </c>
      <c r="K13" s="32" t="s">
        <v>64</v>
      </c>
      <c r="L13" s="0" t="n">
        <f aca="false">MIN($E$9:$E$38)</f>
        <v>11000</v>
      </c>
    </row>
    <row r="14" customFormat="false" ht="33.75" hidden="false" customHeight="true" outlineLevel="0" collapsed="false">
      <c r="A14" s="33" t="s">
        <v>65</v>
      </c>
      <c r="B14" s="34" t="n">
        <v>45933</v>
      </c>
      <c r="C14" s="33" t="s">
        <v>66</v>
      </c>
      <c r="D14" s="33" t="s">
        <v>46</v>
      </c>
      <c r="E14" s="35" t="n">
        <v>195500</v>
      </c>
      <c r="G14" s="28" t="n">
        <v>6</v>
      </c>
      <c r="H14" s="29" t="s">
        <v>67</v>
      </c>
      <c r="I14" s="36"/>
      <c r="J14" s="31" t="str">
        <f aca="false">IF(ISBLANK(I14),"◯ Not attempted",IF(NOT(_xlfn.ISFORMULA(I14)),"✎ Use a formula",IF(ISNUMBER(I14),IF(ABS(I14-$L$14)&lt;0.005,"✓ Correct","✗ Check again"),"✗ Not a number")))</f>
        <v>◯ Not attempted</v>
      </c>
      <c r="K14" s="32" t="s">
        <v>68</v>
      </c>
      <c r="L14" s="37" t="n">
        <f aca="false">COUNTIF($E$9:$E$38,"&gt;100000")</f>
        <v>23</v>
      </c>
    </row>
    <row r="15" customFormat="false" ht="15" hidden="false" customHeight="false" outlineLevel="0" collapsed="false">
      <c r="A15" s="25" t="s">
        <v>69</v>
      </c>
      <c r="B15" s="26" t="n">
        <v>45968</v>
      </c>
      <c r="C15" s="25" t="s">
        <v>66</v>
      </c>
      <c r="D15" s="25" t="s">
        <v>54</v>
      </c>
      <c r="E15" s="27" t="n">
        <v>130000</v>
      </c>
    </row>
    <row r="16" customFormat="false" ht="15" hidden="false" customHeight="false" outlineLevel="0" collapsed="false">
      <c r="A16" s="33" t="s">
        <v>70</v>
      </c>
      <c r="B16" s="34" t="n">
        <v>46012</v>
      </c>
      <c r="C16" s="33" t="s">
        <v>71</v>
      </c>
      <c r="D16" s="33" t="s">
        <v>72</v>
      </c>
      <c r="E16" s="35" t="n">
        <v>114500</v>
      </c>
    </row>
    <row r="17" customFormat="false" ht="15" hidden="false" customHeight="false" outlineLevel="0" collapsed="false">
      <c r="A17" s="25" t="s">
        <v>73</v>
      </c>
      <c r="B17" s="26" t="n">
        <v>45750</v>
      </c>
      <c r="C17" s="25" t="s">
        <v>71</v>
      </c>
      <c r="D17" s="25" t="s">
        <v>72</v>
      </c>
      <c r="E17" s="27" t="n">
        <v>163500</v>
      </c>
    </row>
    <row r="18" customFormat="false" ht="15" hidden="false" customHeight="false" outlineLevel="0" collapsed="false">
      <c r="A18" s="33" t="s">
        <v>74</v>
      </c>
      <c r="B18" s="34" t="n">
        <v>45784</v>
      </c>
      <c r="C18" s="33" t="s">
        <v>75</v>
      </c>
      <c r="D18" s="33" t="s">
        <v>46</v>
      </c>
      <c r="E18" s="35" t="n">
        <v>356000</v>
      </c>
    </row>
    <row r="19" customFormat="false" ht="15" hidden="false" customHeight="false" outlineLevel="0" collapsed="false">
      <c r="A19" s="25" t="s">
        <v>76</v>
      </c>
      <c r="B19" s="26" t="n">
        <v>45819</v>
      </c>
      <c r="C19" s="25" t="s">
        <v>77</v>
      </c>
      <c r="D19" s="25" t="s">
        <v>54</v>
      </c>
      <c r="E19" s="27" t="n">
        <v>210000</v>
      </c>
    </row>
    <row r="20" customFormat="false" ht="15" hidden="false" customHeight="false" outlineLevel="0" collapsed="false">
      <c r="A20" s="33" t="s">
        <v>78</v>
      </c>
      <c r="B20" s="34" t="n">
        <v>45864</v>
      </c>
      <c r="C20" s="33" t="s">
        <v>71</v>
      </c>
      <c r="D20" s="33" t="s">
        <v>62</v>
      </c>
      <c r="E20" s="35" t="n">
        <v>224500</v>
      </c>
    </row>
    <row r="21" customFormat="false" ht="15" hidden="false" customHeight="false" outlineLevel="0" collapsed="false">
      <c r="A21" s="25" t="s">
        <v>79</v>
      </c>
      <c r="B21" s="26" t="n">
        <v>45872</v>
      </c>
      <c r="C21" s="25" t="s">
        <v>71</v>
      </c>
      <c r="D21" s="25" t="s">
        <v>72</v>
      </c>
      <c r="E21" s="27" t="n">
        <v>11000</v>
      </c>
    </row>
    <row r="22" customFormat="false" ht="15" hidden="false" customHeight="false" outlineLevel="0" collapsed="false">
      <c r="A22" s="33" t="s">
        <v>80</v>
      </c>
      <c r="B22" s="34" t="n">
        <v>45915</v>
      </c>
      <c r="C22" s="33" t="s">
        <v>45</v>
      </c>
      <c r="D22" s="33" t="s">
        <v>46</v>
      </c>
      <c r="E22" s="35" t="n">
        <v>56000</v>
      </c>
    </row>
    <row r="23" customFormat="false" ht="15" hidden="false" customHeight="false" outlineLevel="0" collapsed="false">
      <c r="A23" s="25" t="s">
        <v>81</v>
      </c>
      <c r="B23" s="26" t="n">
        <v>45942</v>
      </c>
      <c r="C23" s="25" t="s">
        <v>50</v>
      </c>
      <c r="D23" s="25" t="s">
        <v>54</v>
      </c>
      <c r="E23" s="27" t="n">
        <v>368500</v>
      </c>
    </row>
    <row r="24" customFormat="false" ht="15" hidden="false" customHeight="false" outlineLevel="0" collapsed="false">
      <c r="A24" s="33" t="s">
        <v>82</v>
      </c>
      <c r="B24" s="34" t="n">
        <v>45973</v>
      </c>
      <c r="C24" s="33" t="s">
        <v>50</v>
      </c>
      <c r="D24" s="33" t="s">
        <v>54</v>
      </c>
      <c r="E24" s="35" t="n">
        <v>296500</v>
      </c>
    </row>
    <row r="25" customFormat="false" ht="15" hidden="false" customHeight="false" outlineLevel="0" collapsed="false">
      <c r="A25" s="25" t="s">
        <v>83</v>
      </c>
      <c r="B25" s="26" t="n">
        <v>46018</v>
      </c>
      <c r="C25" s="25" t="s">
        <v>84</v>
      </c>
      <c r="D25" s="25" t="s">
        <v>85</v>
      </c>
      <c r="E25" s="27" t="n">
        <v>229000</v>
      </c>
    </row>
    <row r="26" customFormat="false" ht="15" hidden="false" customHeight="false" outlineLevel="0" collapsed="false">
      <c r="A26" s="33" t="s">
        <v>86</v>
      </c>
      <c r="B26" s="34" t="n">
        <v>45753</v>
      </c>
      <c r="C26" s="33" t="s">
        <v>61</v>
      </c>
      <c r="D26" s="33" t="s">
        <v>85</v>
      </c>
      <c r="E26" s="35" t="n">
        <v>85000</v>
      </c>
    </row>
    <row r="27" customFormat="false" ht="15" hidden="false" customHeight="false" outlineLevel="0" collapsed="false">
      <c r="A27" s="25" t="s">
        <v>87</v>
      </c>
      <c r="B27" s="26" t="n">
        <v>45790</v>
      </c>
      <c r="C27" s="25" t="s">
        <v>77</v>
      </c>
      <c r="D27" s="25" t="s">
        <v>54</v>
      </c>
      <c r="E27" s="27" t="n">
        <v>342000</v>
      </c>
    </row>
    <row r="28" customFormat="false" ht="15" hidden="false" customHeight="false" outlineLevel="0" collapsed="false">
      <c r="A28" s="33" t="s">
        <v>88</v>
      </c>
      <c r="B28" s="34" t="n">
        <v>45827</v>
      </c>
      <c r="C28" s="33" t="s">
        <v>66</v>
      </c>
      <c r="D28" s="33" t="s">
        <v>62</v>
      </c>
      <c r="E28" s="35" t="n">
        <v>263000</v>
      </c>
    </row>
    <row r="29" customFormat="false" ht="15" hidden="false" customHeight="false" outlineLevel="0" collapsed="false">
      <c r="A29" s="25" t="s">
        <v>89</v>
      </c>
      <c r="B29" s="26" t="n">
        <v>45855</v>
      </c>
      <c r="C29" s="25" t="s">
        <v>61</v>
      </c>
      <c r="D29" s="25" t="s">
        <v>62</v>
      </c>
      <c r="E29" s="27" t="n">
        <v>361500</v>
      </c>
    </row>
    <row r="30" customFormat="false" ht="15" hidden="false" customHeight="false" outlineLevel="0" collapsed="false">
      <c r="A30" s="33" t="s">
        <v>90</v>
      </c>
      <c r="B30" s="34" t="n">
        <v>45886</v>
      </c>
      <c r="C30" s="33" t="s">
        <v>77</v>
      </c>
      <c r="D30" s="33" t="s">
        <v>85</v>
      </c>
      <c r="E30" s="35" t="n">
        <v>51000</v>
      </c>
    </row>
    <row r="31" customFormat="false" ht="15" hidden="false" customHeight="false" outlineLevel="0" collapsed="false">
      <c r="A31" s="25" t="s">
        <v>91</v>
      </c>
      <c r="B31" s="26" t="n">
        <v>45903</v>
      </c>
      <c r="C31" s="25" t="s">
        <v>50</v>
      </c>
      <c r="D31" s="25" t="s">
        <v>46</v>
      </c>
      <c r="E31" s="27" t="n">
        <v>185000</v>
      </c>
    </row>
    <row r="32" customFormat="false" ht="15" hidden="false" customHeight="false" outlineLevel="0" collapsed="false">
      <c r="A32" s="33" t="s">
        <v>92</v>
      </c>
      <c r="B32" s="34" t="n">
        <v>45948</v>
      </c>
      <c r="C32" s="33" t="s">
        <v>93</v>
      </c>
      <c r="D32" s="33" t="s">
        <v>72</v>
      </c>
      <c r="E32" s="35" t="n">
        <v>68500</v>
      </c>
    </row>
    <row r="33" customFormat="false" ht="15" hidden="false" customHeight="false" outlineLevel="0" collapsed="false">
      <c r="A33" s="25" t="s">
        <v>94</v>
      </c>
      <c r="B33" s="26" t="n">
        <v>45983</v>
      </c>
      <c r="C33" s="25" t="s">
        <v>93</v>
      </c>
      <c r="D33" s="25" t="s">
        <v>46</v>
      </c>
      <c r="E33" s="27" t="n">
        <v>317500</v>
      </c>
    </row>
    <row r="34" customFormat="false" ht="15" hidden="false" customHeight="false" outlineLevel="0" collapsed="false">
      <c r="A34" s="33" t="s">
        <v>95</v>
      </c>
      <c r="B34" s="34" t="n">
        <v>46017</v>
      </c>
      <c r="C34" s="33" t="s">
        <v>66</v>
      </c>
      <c r="D34" s="33" t="s">
        <v>62</v>
      </c>
      <c r="E34" s="35" t="n">
        <v>359000</v>
      </c>
    </row>
    <row r="35" customFormat="false" ht="15" hidden="false" customHeight="false" outlineLevel="0" collapsed="false">
      <c r="A35" s="25" t="s">
        <v>96</v>
      </c>
      <c r="B35" s="26" t="n">
        <v>45753</v>
      </c>
      <c r="C35" s="25" t="s">
        <v>45</v>
      </c>
      <c r="D35" s="25" t="s">
        <v>46</v>
      </c>
      <c r="E35" s="27" t="n">
        <v>236500</v>
      </c>
    </row>
    <row r="36" customFormat="false" ht="15" hidden="false" customHeight="false" outlineLevel="0" collapsed="false">
      <c r="A36" s="33" t="s">
        <v>97</v>
      </c>
      <c r="B36" s="34" t="n">
        <v>45782</v>
      </c>
      <c r="C36" s="33" t="s">
        <v>75</v>
      </c>
      <c r="D36" s="33" t="s">
        <v>62</v>
      </c>
      <c r="E36" s="35" t="n">
        <v>167500</v>
      </c>
    </row>
    <row r="37" customFormat="false" ht="15" hidden="false" customHeight="false" outlineLevel="0" collapsed="false">
      <c r="A37" s="25" t="s">
        <v>98</v>
      </c>
      <c r="B37" s="26" t="n">
        <v>45819</v>
      </c>
      <c r="C37" s="25" t="s">
        <v>71</v>
      </c>
      <c r="D37" s="25" t="s">
        <v>85</v>
      </c>
      <c r="E37" s="27" t="n">
        <v>38500</v>
      </c>
    </row>
    <row r="38" customFormat="false" ht="15" hidden="false" customHeight="false" outlineLevel="0" collapsed="false">
      <c r="A38" s="33" t="s">
        <v>99</v>
      </c>
      <c r="B38" s="34" t="n">
        <v>45856</v>
      </c>
      <c r="C38" s="33" t="s">
        <v>100</v>
      </c>
      <c r="D38" s="33" t="s">
        <v>54</v>
      </c>
      <c r="E38" s="35" t="n">
        <v>245000</v>
      </c>
    </row>
  </sheetData>
  <mergeCells count="3">
    <mergeCell ref="A1:K1"/>
    <mergeCell ref="A2:K2"/>
    <mergeCell ref="A3:K5"/>
  </mergeCells>
  <conditionalFormatting sqref="J9:J14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5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38"/>
    <col collapsed="false" customWidth="true" hidden="true" outlineLevel="0" max="15" min="12" style="0" width="13"/>
  </cols>
  <sheetData>
    <row r="1" customFormat="false" ht="31.5" hidden="false" customHeight="true" outlineLevel="0" collapsed="false">
      <c r="A1" s="40" t="s">
        <v>101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customFormat="false" ht="19.5" hidden="false" customHeight="true" outlineLevel="0" collapsed="false">
      <c r="A2" s="41" t="s">
        <v>102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customFormat="false" ht="18.75" hidden="false" customHeight="true" outlineLevel="0" collapsed="false">
      <c r="A3" s="42" t="s">
        <v>103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customFormat="false" ht="18.75" hidden="false" customHeight="true" outlineLevel="0" collapsed="false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</row>
    <row r="5" customFormat="false" ht="18.75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 customFormat="false" ht="19.5" hidden="false" customHeight="true" outlineLevel="0" collapsed="false">
      <c r="A6" s="43" t="s">
        <v>104</v>
      </c>
      <c r="B6" s="44" t="n">
        <v>0.18</v>
      </c>
    </row>
    <row r="8" customFormat="false" ht="24" hidden="false" customHeight="true" outlineLevel="0" collapsed="false">
      <c r="A8" s="24" t="s">
        <v>35</v>
      </c>
      <c r="B8" s="24" t="s">
        <v>37</v>
      </c>
      <c r="C8" s="24" t="s">
        <v>39</v>
      </c>
      <c r="D8" s="45" t="s">
        <v>105</v>
      </c>
      <c r="E8" s="45" t="s">
        <v>106</v>
      </c>
      <c r="G8" s="46" t="s">
        <v>14</v>
      </c>
      <c r="H8" s="46" t="s">
        <v>40</v>
      </c>
      <c r="I8" s="46" t="s">
        <v>41</v>
      </c>
      <c r="J8" s="46" t="s">
        <v>42</v>
      </c>
      <c r="K8" s="46" t="s">
        <v>43</v>
      </c>
    </row>
    <row r="9" customFormat="false" ht="33.75" hidden="false" customHeight="true" outlineLevel="0" collapsed="false">
      <c r="A9" s="25" t="s">
        <v>44</v>
      </c>
      <c r="B9" s="25" t="s">
        <v>50</v>
      </c>
      <c r="C9" s="27" t="n">
        <v>54250</v>
      </c>
      <c r="D9" s="47"/>
      <c r="E9" s="47"/>
      <c r="G9" s="48" t="n">
        <v>1</v>
      </c>
      <c r="H9" s="29" t="s">
        <v>107</v>
      </c>
      <c r="I9" s="49" t="s">
        <v>108</v>
      </c>
      <c r="J9" s="31" t="str">
        <f aca="false">IF(COUNTA($D$9:$D$33)=0,"◯ Not attempted",IF(NOT(_xlfn.ISFORMULA(D9)),"✎ Use a formula",IFERROR(IF(SUMPRODUCT(--(ABS($D$9:$D$33-$M$9:$M$33)&lt;0.01))=ROWS($D$9:$D$33),"✓ Correct","✗ "&amp;(ROWS($D$9:$D$33)-SUMPRODUCT(--(ABS($D$9:$D$33-$M$9:$M$33)&lt;0.01)))&amp;" rows differ"),"✗ Check the column")))</f>
        <v>◯ Not attempted</v>
      </c>
      <c r="K9" s="32" t="s">
        <v>109</v>
      </c>
      <c r="M9" s="0" t="n">
        <f aca="false">ROUND(C9*$B$6,2)</f>
        <v>9765</v>
      </c>
      <c r="N9" s="0" t="n">
        <f aca="false">C9+ROUND(C9*$B$6,2)</f>
        <v>64015</v>
      </c>
    </row>
    <row r="10" customFormat="false" ht="33.75" hidden="false" customHeight="true" outlineLevel="0" collapsed="false">
      <c r="A10" s="33" t="s">
        <v>49</v>
      </c>
      <c r="B10" s="33" t="s">
        <v>61</v>
      </c>
      <c r="C10" s="35" t="n">
        <v>178750</v>
      </c>
      <c r="D10" s="47"/>
      <c r="E10" s="47"/>
      <c r="G10" s="48" t="n">
        <v>2</v>
      </c>
      <c r="H10" s="29" t="s">
        <v>110</v>
      </c>
      <c r="I10" s="49" t="s">
        <v>111</v>
      </c>
      <c r="J10" s="31" t="str">
        <f aca="false">IF(COUNTA($E$9:$E$33)=0,"◯ Not attempted",IF(NOT(_xlfn.ISFORMULA(E9)),"✎ Use a formula",IFERROR(IF(SUMPRODUCT(--(ABS($E$9:$E$33-$N$9:$N$33)&lt;0.01))=ROWS($E$9:$E$33),"✓ Correct","✗ "&amp;(ROWS($E$9:$E$33)-SUMPRODUCT(--(ABS($E$9:$E$33-$N$9:$N$33)&lt;0.01)))&amp;" rows differ"),"✗ Check the column")))</f>
        <v>◯ Not attempted</v>
      </c>
      <c r="K10" s="32" t="s">
        <v>112</v>
      </c>
      <c r="M10" s="0" t="n">
        <f aca="false">ROUND(C10*$B$6,2)</f>
        <v>32175</v>
      </c>
      <c r="N10" s="0" t="n">
        <f aca="false">C10+ROUND(C10*$B$6,2)</f>
        <v>210925</v>
      </c>
    </row>
    <row r="11" customFormat="false" ht="33.75" hidden="false" customHeight="true" outlineLevel="0" collapsed="false">
      <c r="A11" s="25" t="s">
        <v>53</v>
      </c>
      <c r="B11" s="25" t="s">
        <v>113</v>
      </c>
      <c r="C11" s="27" t="n">
        <v>28000</v>
      </c>
      <c r="D11" s="47"/>
      <c r="E11" s="47"/>
      <c r="G11" s="48" t="n">
        <v>3</v>
      </c>
      <c r="H11" s="29" t="s">
        <v>114</v>
      </c>
      <c r="I11" s="38"/>
      <c r="J11" s="31" t="str">
        <f aca="false">IF(ISBLANK(I11),"◯ Not attempted",IF(NOT(_xlfn.ISFORMULA(I11)),"✎ Use a formula",IF(ISNUMBER(I11),IF(ABS(I11-$L$11)&lt;0.005,"✓ Correct","✗ Check again"),"✗ Not a number")))</f>
        <v>◯ Not attempted</v>
      </c>
      <c r="K11" s="32" t="s">
        <v>115</v>
      </c>
      <c r="L11" s="39" t="n">
        <f aca="false">SUMPRODUCT(ROUND($C$9:$C$33*$B$6,2))</f>
        <v>520245</v>
      </c>
      <c r="M11" s="50" t="n">
        <f aca="false">ROUND(C11*$B$6,2)</f>
        <v>5040</v>
      </c>
      <c r="N11" s="50" t="n">
        <f aca="false">C11+ROUND(C11*$B$6,2)</f>
        <v>33040</v>
      </c>
    </row>
    <row r="12" customFormat="false" ht="33.75" hidden="false" customHeight="true" outlineLevel="0" collapsed="false">
      <c r="A12" s="33" t="s">
        <v>57</v>
      </c>
      <c r="B12" s="33" t="s">
        <v>61</v>
      </c>
      <c r="C12" s="35" t="n">
        <v>244750</v>
      </c>
      <c r="D12" s="47"/>
      <c r="E12" s="47"/>
      <c r="G12" s="48" t="n">
        <v>4</v>
      </c>
      <c r="H12" s="29" t="s">
        <v>116</v>
      </c>
      <c r="I12" s="38"/>
      <c r="J12" s="31" t="str">
        <f aca="false">IF(ISBLANK(I12),"◯ Not attempted",IF(NOT(_xlfn.ISFORMULA(I12)),"✎ Use a formula",IF(ISNUMBER(I12),IF(ABS(I12-$L$12)&lt;0.005,"✓ Correct","✗ Check again"),"✗ Not a number")))</f>
        <v>◯ Not attempted</v>
      </c>
      <c r="K12" s="32" t="s">
        <v>117</v>
      </c>
      <c r="L12" s="39" t="n">
        <f aca="false">SUM($C$9:$C$33)+SUMPRODUCT(ROUND($C$9:$C$33*$B$6,2))</f>
        <v>3410495</v>
      </c>
      <c r="M12" s="50" t="n">
        <f aca="false">ROUND(C12*$B$6,2)</f>
        <v>44055</v>
      </c>
      <c r="N12" s="50" t="n">
        <f aca="false">C12+ROUND(C12*$B$6,2)</f>
        <v>288805</v>
      </c>
    </row>
    <row r="13" customFormat="false" ht="15" hidden="false" customHeight="false" outlineLevel="0" collapsed="false">
      <c r="A13" s="25" t="s">
        <v>60</v>
      </c>
      <c r="B13" s="25" t="s">
        <v>84</v>
      </c>
      <c r="C13" s="27" t="n">
        <v>69000</v>
      </c>
      <c r="D13" s="47"/>
      <c r="E13" s="47"/>
      <c r="M13" s="50" t="n">
        <f aca="false">ROUND(C13*$B$6,2)</f>
        <v>12420</v>
      </c>
      <c r="N13" s="50" t="n">
        <f aca="false">C13+ROUND(C13*$B$6,2)</f>
        <v>81420</v>
      </c>
    </row>
    <row r="14" customFormat="false" ht="15" hidden="false" customHeight="false" outlineLevel="0" collapsed="false">
      <c r="A14" s="33" t="s">
        <v>65</v>
      </c>
      <c r="B14" s="33" t="s">
        <v>66</v>
      </c>
      <c r="C14" s="35" t="n">
        <v>57250</v>
      </c>
      <c r="D14" s="47"/>
      <c r="E14" s="47"/>
      <c r="M14" s="50" t="n">
        <f aca="false">ROUND(C14*$B$6,2)</f>
        <v>10305</v>
      </c>
      <c r="N14" s="50" t="n">
        <f aca="false">C14+ROUND(C14*$B$6,2)</f>
        <v>67555</v>
      </c>
    </row>
    <row r="15" customFormat="false" ht="15" hidden="false" customHeight="false" outlineLevel="0" collapsed="false">
      <c r="A15" s="25" t="s">
        <v>69</v>
      </c>
      <c r="B15" s="25" t="s">
        <v>71</v>
      </c>
      <c r="C15" s="27" t="n">
        <v>33500</v>
      </c>
      <c r="D15" s="47"/>
      <c r="E15" s="47"/>
      <c r="M15" s="50" t="n">
        <f aca="false">ROUND(C15*$B$6,2)</f>
        <v>6030</v>
      </c>
      <c r="N15" s="50" t="n">
        <f aca="false">C15+ROUND(C15*$B$6,2)</f>
        <v>39530</v>
      </c>
    </row>
    <row r="16" customFormat="false" ht="15" hidden="false" customHeight="false" outlineLevel="0" collapsed="false">
      <c r="A16" s="33" t="s">
        <v>70</v>
      </c>
      <c r="B16" s="33" t="s">
        <v>100</v>
      </c>
      <c r="C16" s="35" t="n">
        <v>209750</v>
      </c>
      <c r="D16" s="47"/>
      <c r="E16" s="47"/>
      <c r="M16" s="50" t="n">
        <f aca="false">ROUND(C16*$B$6,2)</f>
        <v>37755</v>
      </c>
      <c r="N16" s="50" t="n">
        <f aca="false">C16+ROUND(C16*$B$6,2)</f>
        <v>247505</v>
      </c>
    </row>
    <row r="17" customFormat="false" ht="15" hidden="false" customHeight="false" outlineLevel="0" collapsed="false">
      <c r="A17" s="25" t="s">
        <v>73</v>
      </c>
      <c r="B17" s="25" t="s">
        <v>113</v>
      </c>
      <c r="C17" s="27" t="n">
        <v>67500</v>
      </c>
      <c r="D17" s="47"/>
      <c r="E17" s="47"/>
      <c r="M17" s="50" t="n">
        <f aca="false">ROUND(C17*$B$6,2)</f>
        <v>12150</v>
      </c>
      <c r="N17" s="50" t="n">
        <f aca="false">C17+ROUND(C17*$B$6,2)</f>
        <v>79650</v>
      </c>
    </row>
    <row r="18" customFormat="false" ht="15" hidden="false" customHeight="false" outlineLevel="0" collapsed="false">
      <c r="A18" s="33" t="s">
        <v>74</v>
      </c>
      <c r="B18" s="33" t="s">
        <v>75</v>
      </c>
      <c r="C18" s="35" t="n">
        <v>76750</v>
      </c>
      <c r="D18" s="47"/>
      <c r="E18" s="47"/>
      <c r="M18" s="50" t="n">
        <f aca="false">ROUND(C18*$B$6,2)</f>
        <v>13815</v>
      </c>
      <c r="N18" s="50" t="n">
        <f aca="false">C18+ROUND(C18*$B$6,2)</f>
        <v>90565</v>
      </c>
    </row>
    <row r="19" customFormat="false" ht="15" hidden="false" customHeight="false" outlineLevel="0" collapsed="false">
      <c r="A19" s="25" t="s">
        <v>76</v>
      </c>
      <c r="B19" s="25" t="s">
        <v>77</v>
      </c>
      <c r="C19" s="27" t="n">
        <v>232000</v>
      </c>
      <c r="D19" s="47"/>
      <c r="E19" s="47"/>
      <c r="M19" s="50" t="n">
        <f aca="false">ROUND(C19*$B$6,2)</f>
        <v>41760</v>
      </c>
      <c r="N19" s="50" t="n">
        <f aca="false">C19+ROUND(C19*$B$6,2)</f>
        <v>273760</v>
      </c>
    </row>
    <row r="20" customFormat="false" ht="15" hidden="false" customHeight="false" outlineLevel="0" collapsed="false">
      <c r="A20" s="33" t="s">
        <v>78</v>
      </c>
      <c r="B20" s="33" t="s">
        <v>84</v>
      </c>
      <c r="C20" s="35" t="n">
        <v>8000</v>
      </c>
      <c r="D20" s="47"/>
      <c r="E20" s="47"/>
      <c r="M20" s="50" t="n">
        <f aca="false">ROUND(C20*$B$6,2)</f>
        <v>1440</v>
      </c>
      <c r="N20" s="50" t="n">
        <f aca="false">C20+ROUND(C20*$B$6,2)</f>
        <v>9440</v>
      </c>
    </row>
    <row r="21" customFormat="false" ht="15" hidden="false" customHeight="false" outlineLevel="0" collapsed="false">
      <c r="A21" s="25" t="s">
        <v>79</v>
      </c>
      <c r="B21" s="25" t="s">
        <v>50</v>
      </c>
      <c r="C21" s="27" t="n">
        <v>167000</v>
      </c>
      <c r="D21" s="47"/>
      <c r="E21" s="47"/>
      <c r="M21" s="50" t="n">
        <f aca="false">ROUND(C21*$B$6,2)</f>
        <v>30060</v>
      </c>
      <c r="N21" s="50" t="n">
        <f aca="false">C21+ROUND(C21*$B$6,2)</f>
        <v>197060</v>
      </c>
    </row>
    <row r="22" customFormat="false" ht="15" hidden="false" customHeight="false" outlineLevel="0" collapsed="false">
      <c r="A22" s="33" t="s">
        <v>80</v>
      </c>
      <c r="B22" s="33" t="s">
        <v>71</v>
      </c>
      <c r="C22" s="35" t="n">
        <v>224250</v>
      </c>
      <c r="D22" s="47"/>
      <c r="E22" s="47"/>
      <c r="M22" s="50" t="n">
        <f aca="false">ROUND(C22*$B$6,2)</f>
        <v>40365</v>
      </c>
      <c r="N22" s="50" t="n">
        <f aca="false">C22+ROUND(C22*$B$6,2)</f>
        <v>264615</v>
      </c>
    </row>
    <row r="23" customFormat="false" ht="15" hidden="false" customHeight="false" outlineLevel="0" collapsed="false">
      <c r="A23" s="25" t="s">
        <v>81</v>
      </c>
      <c r="B23" s="25" t="s">
        <v>118</v>
      </c>
      <c r="C23" s="27" t="n">
        <v>122250</v>
      </c>
      <c r="D23" s="47"/>
      <c r="E23" s="47"/>
      <c r="M23" s="50" t="n">
        <f aca="false">ROUND(C23*$B$6,2)</f>
        <v>22005</v>
      </c>
      <c r="N23" s="50" t="n">
        <f aca="false">C23+ROUND(C23*$B$6,2)</f>
        <v>144255</v>
      </c>
    </row>
    <row r="24" customFormat="false" ht="15" hidden="false" customHeight="false" outlineLevel="0" collapsed="false">
      <c r="A24" s="33" t="s">
        <v>82</v>
      </c>
      <c r="B24" s="33" t="s">
        <v>77</v>
      </c>
      <c r="C24" s="35" t="n">
        <v>150750</v>
      </c>
      <c r="D24" s="47"/>
      <c r="E24" s="47"/>
      <c r="M24" s="50" t="n">
        <f aca="false">ROUND(C24*$B$6,2)</f>
        <v>27135</v>
      </c>
      <c r="N24" s="50" t="n">
        <f aca="false">C24+ROUND(C24*$B$6,2)</f>
        <v>177885</v>
      </c>
    </row>
    <row r="25" customFormat="false" ht="15" hidden="false" customHeight="false" outlineLevel="0" collapsed="false">
      <c r="A25" s="25" t="s">
        <v>83</v>
      </c>
      <c r="B25" s="25" t="s">
        <v>50</v>
      </c>
      <c r="C25" s="27" t="n">
        <v>210750</v>
      </c>
      <c r="D25" s="47"/>
      <c r="E25" s="47"/>
      <c r="M25" s="50" t="n">
        <f aca="false">ROUND(C25*$B$6,2)</f>
        <v>37935</v>
      </c>
      <c r="N25" s="50" t="n">
        <f aca="false">C25+ROUND(C25*$B$6,2)</f>
        <v>248685</v>
      </c>
    </row>
    <row r="26" customFormat="false" ht="15" hidden="false" customHeight="false" outlineLevel="0" collapsed="false">
      <c r="A26" s="33" t="s">
        <v>86</v>
      </c>
      <c r="B26" s="33" t="s">
        <v>113</v>
      </c>
      <c r="C26" s="35" t="n">
        <v>66000</v>
      </c>
      <c r="D26" s="47"/>
      <c r="E26" s="47"/>
      <c r="M26" s="50" t="n">
        <f aca="false">ROUND(C26*$B$6,2)</f>
        <v>11880</v>
      </c>
      <c r="N26" s="50" t="n">
        <f aca="false">C26+ROUND(C26*$B$6,2)</f>
        <v>77880</v>
      </c>
    </row>
    <row r="27" customFormat="false" ht="15" hidden="false" customHeight="false" outlineLevel="0" collapsed="false">
      <c r="A27" s="25" t="s">
        <v>87</v>
      </c>
      <c r="B27" s="25" t="s">
        <v>61</v>
      </c>
      <c r="C27" s="27" t="n">
        <v>125500</v>
      </c>
      <c r="D27" s="47"/>
      <c r="E27" s="47"/>
      <c r="M27" s="50" t="n">
        <f aca="false">ROUND(C27*$B$6,2)</f>
        <v>22590</v>
      </c>
      <c r="N27" s="50" t="n">
        <f aca="false">C27+ROUND(C27*$B$6,2)</f>
        <v>148090</v>
      </c>
    </row>
    <row r="28" customFormat="false" ht="15" hidden="false" customHeight="false" outlineLevel="0" collapsed="false">
      <c r="A28" s="33" t="s">
        <v>88</v>
      </c>
      <c r="B28" s="33" t="s">
        <v>77</v>
      </c>
      <c r="C28" s="35" t="n">
        <v>55000</v>
      </c>
      <c r="D28" s="47"/>
      <c r="E28" s="47"/>
      <c r="M28" s="50" t="n">
        <f aca="false">ROUND(C28*$B$6,2)</f>
        <v>9900</v>
      </c>
      <c r="N28" s="50" t="n">
        <f aca="false">C28+ROUND(C28*$B$6,2)</f>
        <v>64900</v>
      </c>
    </row>
    <row r="29" customFormat="false" ht="15" hidden="false" customHeight="false" outlineLevel="0" collapsed="false">
      <c r="A29" s="25" t="s">
        <v>89</v>
      </c>
      <c r="B29" s="25" t="s">
        <v>100</v>
      </c>
      <c r="C29" s="27" t="n">
        <v>156750</v>
      </c>
      <c r="D29" s="47"/>
      <c r="E29" s="47"/>
      <c r="M29" s="50" t="n">
        <f aca="false">ROUND(C29*$B$6,2)</f>
        <v>28215</v>
      </c>
      <c r="N29" s="50" t="n">
        <f aca="false">C29+ROUND(C29*$B$6,2)</f>
        <v>184965</v>
      </c>
    </row>
    <row r="30" customFormat="false" ht="15" hidden="false" customHeight="false" outlineLevel="0" collapsed="false">
      <c r="A30" s="33" t="s">
        <v>90</v>
      </c>
      <c r="B30" s="33" t="s">
        <v>100</v>
      </c>
      <c r="C30" s="35" t="n">
        <v>85500</v>
      </c>
      <c r="D30" s="47"/>
      <c r="E30" s="47"/>
      <c r="M30" s="50" t="n">
        <f aca="false">ROUND(C30*$B$6,2)</f>
        <v>15390</v>
      </c>
      <c r="N30" s="50" t="n">
        <f aca="false">C30+ROUND(C30*$B$6,2)</f>
        <v>100890</v>
      </c>
    </row>
    <row r="31" customFormat="false" ht="15" hidden="false" customHeight="false" outlineLevel="0" collapsed="false">
      <c r="A31" s="25" t="s">
        <v>91</v>
      </c>
      <c r="B31" s="25" t="s">
        <v>113</v>
      </c>
      <c r="C31" s="27" t="n">
        <v>9500</v>
      </c>
      <c r="D31" s="47"/>
      <c r="E31" s="47"/>
      <c r="M31" s="50" t="n">
        <f aca="false">ROUND(C31*$B$6,2)</f>
        <v>1710</v>
      </c>
      <c r="N31" s="50" t="n">
        <f aca="false">C31+ROUND(C31*$B$6,2)</f>
        <v>11210</v>
      </c>
    </row>
    <row r="32" customFormat="false" ht="15" hidden="false" customHeight="false" outlineLevel="0" collapsed="false">
      <c r="A32" s="33" t="s">
        <v>92</v>
      </c>
      <c r="B32" s="33" t="s">
        <v>84</v>
      </c>
      <c r="C32" s="35" t="n">
        <v>78750</v>
      </c>
      <c r="D32" s="47"/>
      <c r="E32" s="47"/>
      <c r="M32" s="50" t="n">
        <f aca="false">ROUND(C32*$B$6,2)</f>
        <v>14175</v>
      </c>
      <c r="N32" s="50" t="n">
        <f aca="false">C32+ROUND(C32*$B$6,2)</f>
        <v>92925</v>
      </c>
    </row>
    <row r="33" customFormat="false" ht="15" hidden="false" customHeight="false" outlineLevel="0" collapsed="false">
      <c r="A33" s="25" t="s">
        <v>94</v>
      </c>
      <c r="B33" s="25" t="s">
        <v>113</v>
      </c>
      <c r="C33" s="27" t="n">
        <v>178750</v>
      </c>
      <c r="D33" s="47"/>
      <c r="E33" s="47"/>
      <c r="M33" s="50" t="n">
        <f aca="false">ROUND(C33*$B$6,2)</f>
        <v>32175</v>
      </c>
      <c r="N33" s="50" t="n">
        <f aca="false">C33+ROUND(C33*$B$6,2)</f>
        <v>210925</v>
      </c>
    </row>
  </sheetData>
  <mergeCells count="3">
    <mergeCell ref="A1:K1"/>
    <mergeCell ref="A2:K2"/>
    <mergeCell ref="A3:K5"/>
  </mergeCells>
  <conditionalFormatting sqref="J9:J12">
    <cfRule type="expression" priority="2" aboveAverage="0" equalAverage="0" bottom="0" percent="0" rank="0" text="" dxfId="0">
      <formula>LEFT(J9,1)="✓"</formula>
    </cfRule>
    <cfRule type="expression" priority="3" aboveAverage="0" equalAverage="0" bottom="0" percent="0" rank="0" text="" dxfId="1">
      <formula>LEFT(J9,1)="✗"</formula>
    </cfRule>
    <cfRule type="expression" priority="4" aboveAverage="0" equalAverage="0" bottom="0" percent="0" rank="0" text="" dxfId="2">
      <formula>LEFT(J9,1)="✎"</formula>
    </cfRule>
    <cfRule type="expression" priority="5" aboveAverage="0" equalAverage="0" bottom="0" percent="0" rank="0" text="" dxfId="3">
      <formula>LEFT(J9,1)="◯"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O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5" min="3" style="0" width="9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5"/>
    <col collapsed="false" customWidth="true" hidden="false" outlineLevel="0" max="9" min="9" style="0" width="46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38"/>
    <col collapsed="false" customWidth="true" hidden="true" outlineLevel="0" max="16" min="13" style="0" width="13"/>
  </cols>
  <sheetData>
    <row r="1" customFormat="false" ht="31.5" hidden="false" customHeight="true" outlineLevel="0" collapsed="false">
      <c r="A1" s="40" t="s">
        <v>119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19.5" hidden="false" customHeight="true" outlineLevel="0" collapsed="false">
      <c r="A2" s="41" t="s">
        <v>120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customFormat="false" ht="18.75" hidden="false" customHeight="true" outlineLevel="0" collapsed="false">
      <c r="A3" s="42" t="s">
        <v>121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customFormat="false" ht="18.75" hidden="false" customHeight="true" outlineLevel="0" collapsed="false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customFormat="false" ht="18.75" hidden="false" customHeight="tru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35</v>
      </c>
      <c r="B8" s="24" t="s">
        <v>37</v>
      </c>
      <c r="C8" s="24" t="s">
        <v>122</v>
      </c>
      <c r="D8" s="24" t="s">
        <v>123</v>
      </c>
      <c r="E8" s="45" t="s">
        <v>124</v>
      </c>
      <c r="F8" s="45" t="s">
        <v>125</v>
      </c>
      <c r="H8" s="46" t="s">
        <v>14</v>
      </c>
      <c r="I8" s="46" t="s">
        <v>40</v>
      </c>
      <c r="J8" s="46" t="s">
        <v>41</v>
      </c>
      <c r="K8" s="46" t="s">
        <v>42</v>
      </c>
      <c r="L8" s="46" t="s">
        <v>43</v>
      </c>
    </row>
    <row r="9" customFormat="false" ht="33.75" hidden="false" customHeight="true" outlineLevel="0" collapsed="false">
      <c r="A9" s="25" t="s">
        <v>44</v>
      </c>
      <c r="B9" s="25" t="s">
        <v>113</v>
      </c>
      <c r="C9" s="27" t="n">
        <v>216000</v>
      </c>
      <c r="D9" s="51" t="n">
        <v>105</v>
      </c>
      <c r="E9" s="52"/>
      <c r="F9" s="52"/>
      <c r="H9" s="48" t="n">
        <v>1</v>
      </c>
      <c r="I9" s="29" t="s">
        <v>126</v>
      </c>
      <c r="J9" s="49" t="s">
        <v>111</v>
      </c>
      <c r="K9" s="31" t="str">
        <f aca="false">IF(COUNTA($E$9:$E$38)=0,"◯ Not attempted",IF(NOT(_xlfn.ISFORMULA(E9)),"✎ Use a formula",IFERROR(IF(SUMPRODUCT(--(UPPER(TRIM($E$9:$E$38&amp;""))=UPPER(TRIM($N$9:$N$38&amp;""))))=ROWS($E$9:$E$38),"✓ Correct","✗ "&amp;(ROWS($E$9:$E$38)-SUMPRODUCT(--(UPPER(TRIM($E$9:$E$38&amp;""))=UPPER(TRIM($N$9:$N$38&amp;"")))))&amp;" rows differ"),"✗ Check the column")))</f>
        <v>◯ Not attempted</v>
      </c>
      <c r="L9" s="32" t="s">
        <v>127</v>
      </c>
      <c r="N9" s="0" t="str">
        <f aca="false">IF(D9&gt;90,"Overdue","Current")</f>
        <v>Overdue</v>
      </c>
      <c r="O9" s="0" t="str">
        <f aca="false">IF(AND(C9&gt;200000,D9&gt;60),"High","Normal")</f>
        <v>High</v>
      </c>
    </row>
    <row r="10" customFormat="false" ht="33.75" hidden="false" customHeight="true" outlineLevel="0" collapsed="false">
      <c r="A10" s="33" t="s">
        <v>49</v>
      </c>
      <c r="B10" s="33" t="s">
        <v>77</v>
      </c>
      <c r="C10" s="35" t="n">
        <v>37500</v>
      </c>
      <c r="D10" s="53" t="n">
        <v>59</v>
      </c>
      <c r="E10" s="52"/>
      <c r="F10" s="52"/>
      <c r="H10" s="48" t="n">
        <v>2</v>
      </c>
      <c r="I10" s="29" t="s">
        <v>128</v>
      </c>
      <c r="J10" s="36"/>
      <c r="K10" s="31" t="str">
        <f aca="false">IF(ISBLANK(J10),"◯ Not attempted",IF(NOT(_xlfn.ISFORMULA(J10)),"✎ Use a formula",IF(ISNUMBER(J10),IF(ABS(J10-$M$10)&lt;0.005,"✓ Correct","✗ Check again"),"✗ Not a number")))</f>
        <v>◯ Not attempted</v>
      </c>
      <c r="L10" s="32" t="s">
        <v>129</v>
      </c>
      <c r="M10" s="37" t="n">
        <f aca="false">COUNTIF($D$9:$D$38,"&gt;90")</f>
        <v>19</v>
      </c>
      <c r="N10" s="0" t="str">
        <f aca="false">IF(D10&gt;90,"Overdue","Current")</f>
        <v>Current</v>
      </c>
      <c r="O10" s="0" t="str">
        <f aca="false">IF(AND(C10&gt;200000,D10&gt;60),"High","Normal")</f>
        <v>Normal</v>
      </c>
    </row>
    <row r="11" customFormat="false" ht="33.75" hidden="false" customHeight="true" outlineLevel="0" collapsed="false">
      <c r="A11" s="25" t="s">
        <v>53</v>
      </c>
      <c r="B11" s="25" t="s">
        <v>100</v>
      </c>
      <c r="C11" s="27" t="n">
        <v>43500</v>
      </c>
      <c r="D11" s="51" t="n">
        <v>58</v>
      </c>
      <c r="E11" s="52"/>
      <c r="F11" s="52"/>
      <c r="H11" s="48" t="n">
        <v>3</v>
      </c>
      <c r="I11" s="29" t="s">
        <v>130</v>
      </c>
      <c r="J11" s="49" t="s">
        <v>131</v>
      </c>
      <c r="K11" s="31" t="str">
        <f aca="false">IF(COUNTA($F$9:$F$38)=0,"◯ Not attempted",IF(NOT(_xlfn.ISFORMULA(F9)),"✎ Use a formula",IFERROR(IF(SUMPRODUCT(--(UPPER(TRIM($F$9:$F$38&amp;""))=UPPER(TRIM($O$9:$O$38&amp;""))))=ROWS($F$9:$F$38),"✓ Correct","✗ "&amp;(ROWS($F$9:$F$38)-SUMPRODUCT(--(UPPER(TRIM($F$9:$F$38&amp;""))=UPPER(TRIM($O$9:$O$38&amp;"")))))&amp;" rows differ"),"✗ Check the column")))</f>
        <v>◯ Not attempted</v>
      </c>
      <c r="L11" s="32" t="s">
        <v>132</v>
      </c>
      <c r="N11" s="0" t="str">
        <f aca="false">IF(D11&gt;90,"Overdue","Current")</f>
        <v>Current</v>
      </c>
      <c r="O11" s="0" t="str">
        <f aca="false">IF(AND(C11&gt;200000,D11&gt;60),"High","Normal")</f>
        <v>Normal</v>
      </c>
    </row>
    <row r="12" customFormat="false" ht="33.75" hidden="false" customHeight="true" outlineLevel="0" collapsed="false">
      <c r="A12" s="33" t="s">
        <v>57</v>
      </c>
      <c r="B12" s="33" t="s">
        <v>84</v>
      </c>
      <c r="C12" s="35" t="n">
        <v>350000</v>
      </c>
      <c r="D12" s="53" t="n">
        <v>33</v>
      </c>
      <c r="E12" s="52"/>
      <c r="F12" s="52"/>
      <c r="H12" s="48" t="n">
        <v>4</v>
      </c>
      <c r="I12" s="29" t="s">
        <v>133</v>
      </c>
      <c r="J12" s="30"/>
      <c r="K12" s="31" t="str">
        <f aca="false">IF(ISBLANK(J12),"◯ Not attempted",IF(NOT(_xlfn.ISFORMULA(J12)),"✎ Use a formula",IF(ISNUMBER(J12),IF(ABS(J12-$M$12)&lt;0.005,"✓ Correct","✗ Check again"),"✗ Not a number")))</f>
        <v>◯ Not attempted</v>
      </c>
      <c r="L12" s="32" t="s">
        <v>134</v>
      </c>
      <c r="M12" s="0" t="n">
        <f aca="false">SUMIF($D$9:$D$38,"&gt;90",$C$9:$C$38)</f>
        <v>4014500</v>
      </c>
      <c r="N12" s="0" t="str">
        <f aca="false">IF(D12&gt;90,"Overdue","Current")</f>
        <v>Current</v>
      </c>
      <c r="O12" s="0" t="str">
        <f aca="false">IF(AND(C12&gt;200000,D12&gt;60),"High","Normal")</f>
        <v>Normal</v>
      </c>
    </row>
    <row r="13" customFormat="false" ht="33.75" hidden="false" customHeight="true" outlineLevel="0" collapsed="false">
      <c r="A13" s="25" t="s">
        <v>60</v>
      </c>
      <c r="B13" s="25" t="s">
        <v>84</v>
      </c>
      <c r="C13" s="27" t="n">
        <v>185000</v>
      </c>
      <c r="D13" s="51" t="n">
        <v>34</v>
      </c>
      <c r="E13" s="52"/>
      <c r="F13" s="52"/>
      <c r="H13" s="48" t="n">
        <v>5</v>
      </c>
      <c r="I13" s="29" t="s">
        <v>135</v>
      </c>
      <c r="J13" s="36"/>
      <c r="K13" s="31" t="str">
        <f aca="false">IF(ISBLANK(J13),"◯ Not attempted",IF(NOT(_xlfn.ISFORMULA(J13)),"✎ Use a formula",IF(ISNUMBER(J13),IF(ABS(J13-$M$13)&lt;0.005,"✓ Correct","✗ Check again"),"✗ Not a number")))</f>
        <v>◯ Not attempted</v>
      </c>
      <c r="L13" s="32" t="s">
        <v>136</v>
      </c>
      <c r="M13" s="37" t="n">
        <f aca="false">COUNTIFS($C$9:$C$38,"&gt;200000",$D$9:$D$38,"&gt;60")</f>
        <v>12</v>
      </c>
      <c r="N13" s="0" t="str">
        <f aca="false">IF(D13&gt;90,"Overdue","Current")</f>
        <v>Current</v>
      </c>
      <c r="O13" s="0" t="str">
        <f aca="false">IF(AND(C13&gt;200000,D13&gt;60),"High","Normal")</f>
        <v>Normal</v>
      </c>
    </row>
    <row r="14" customFormat="false" ht="15" hidden="false" customHeight="false" outlineLevel="0" collapsed="false">
      <c r="A14" s="33" t="s">
        <v>65</v>
      </c>
      <c r="B14" s="33" t="s">
        <v>113</v>
      </c>
      <c r="C14" s="35" t="n">
        <v>22000</v>
      </c>
      <c r="D14" s="53" t="n">
        <v>117</v>
      </c>
      <c r="E14" s="52"/>
      <c r="F14" s="52"/>
      <c r="N14" s="0" t="str">
        <f aca="false">IF(D14&gt;90,"Overdue","Current")</f>
        <v>Overdue</v>
      </c>
      <c r="O14" s="0" t="str">
        <f aca="false">IF(AND(C14&gt;200000,D14&gt;60),"High","Normal")</f>
        <v>Normal</v>
      </c>
    </row>
    <row r="15" customFormat="false" ht="15" hidden="false" customHeight="false" outlineLevel="0" collapsed="false">
      <c r="A15" s="25" t="s">
        <v>69</v>
      </c>
      <c r="B15" s="25" t="s">
        <v>77</v>
      </c>
      <c r="C15" s="27" t="n">
        <v>113500</v>
      </c>
      <c r="D15" s="51" t="n">
        <v>176</v>
      </c>
      <c r="E15" s="52"/>
      <c r="F15" s="52"/>
      <c r="N15" s="0" t="str">
        <f aca="false">IF(D15&gt;90,"Overdue","Current")</f>
        <v>Overdue</v>
      </c>
      <c r="O15" s="0" t="str">
        <f aca="false">IF(AND(C15&gt;200000,D15&gt;60),"High","Normal")</f>
        <v>Normal</v>
      </c>
    </row>
    <row r="16" customFormat="false" ht="15" hidden="false" customHeight="false" outlineLevel="0" collapsed="false">
      <c r="A16" s="33" t="s">
        <v>70</v>
      </c>
      <c r="B16" s="33" t="s">
        <v>77</v>
      </c>
      <c r="C16" s="35" t="n">
        <v>361500</v>
      </c>
      <c r="D16" s="53" t="n">
        <v>96</v>
      </c>
      <c r="E16" s="52"/>
      <c r="F16" s="52"/>
      <c r="N16" s="0" t="str">
        <f aca="false">IF(D16&gt;90,"Overdue","Current")</f>
        <v>Overdue</v>
      </c>
      <c r="O16" s="0" t="str">
        <f aca="false">IF(AND(C16&gt;200000,D16&gt;60),"High","Normal")</f>
        <v>High</v>
      </c>
    </row>
    <row r="17" customFormat="false" ht="15" hidden="false" customHeight="false" outlineLevel="0" collapsed="false">
      <c r="A17" s="25" t="s">
        <v>73</v>
      </c>
      <c r="B17" s="25" t="s">
        <v>100</v>
      </c>
      <c r="C17" s="27" t="n">
        <v>349000</v>
      </c>
      <c r="D17" s="51" t="n">
        <v>163</v>
      </c>
      <c r="E17" s="52"/>
      <c r="F17" s="52"/>
      <c r="N17" s="0" t="str">
        <f aca="false">IF(D17&gt;90,"Overdue","Current")</f>
        <v>Overdue</v>
      </c>
      <c r="O17" s="0" t="str">
        <f aca="false">IF(AND(C17&gt;200000,D17&gt;60),"High","Normal")</f>
        <v>High</v>
      </c>
    </row>
    <row r="18" customFormat="false" ht="15" hidden="false" customHeight="false" outlineLevel="0" collapsed="false">
      <c r="A18" s="33" t="s">
        <v>74</v>
      </c>
      <c r="B18" s="33" t="s">
        <v>100</v>
      </c>
      <c r="C18" s="35" t="n">
        <v>116500</v>
      </c>
      <c r="D18" s="53" t="n">
        <v>35</v>
      </c>
      <c r="E18" s="52"/>
      <c r="F18" s="52"/>
      <c r="N18" s="0" t="str">
        <f aca="false">IF(D18&gt;90,"Overdue","Current")</f>
        <v>Current</v>
      </c>
      <c r="O18" s="0" t="str">
        <f aca="false">IF(AND(C18&gt;200000,D18&gt;60),"High","Normal")</f>
        <v>Normal</v>
      </c>
    </row>
    <row r="19" customFormat="false" ht="15" hidden="false" customHeight="false" outlineLevel="0" collapsed="false">
      <c r="A19" s="25" t="s">
        <v>76</v>
      </c>
      <c r="B19" s="25" t="s">
        <v>66</v>
      </c>
      <c r="C19" s="27" t="n">
        <v>289000</v>
      </c>
      <c r="D19" s="51" t="n">
        <v>145</v>
      </c>
      <c r="E19" s="52"/>
      <c r="F19" s="52"/>
      <c r="N19" s="0" t="str">
        <f aca="false">IF(D19&gt;90,"Overdue","Current")</f>
        <v>Overdue</v>
      </c>
      <c r="O19" s="0" t="str">
        <f aca="false">IF(AND(C19&gt;200000,D19&gt;60),"High","Normal")</f>
        <v>High</v>
      </c>
    </row>
    <row r="20" customFormat="false" ht="15" hidden="false" customHeight="false" outlineLevel="0" collapsed="false">
      <c r="A20" s="33" t="s">
        <v>78</v>
      </c>
      <c r="B20" s="33" t="s">
        <v>113</v>
      </c>
      <c r="C20" s="35" t="n">
        <v>163500</v>
      </c>
      <c r="D20" s="53" t="n">
        <v>176</v>
      </c>
      <c r="E20" s="52"/>
      <c r="F20" s="52"/>
      <c r="N20" s="0" t="str">
        <f aca="false">IF(D20&gt;90,"Overdue","Current")</f>
        <v>Overdue</v>
      </c>
      <c r="O20" s="0" t="str">
        <f aca="false">IF(AND(C20&gt;200000,D20&gt;60),"High","Normal")</f>
        <v>Normal</v>
      </c>
    </row>
    <row r="21" customFormat="false" ht="15" hidden="false" customHeight="false" outlineLevel="0" collapsed="false">
      <c r="A21" s="25" t="s">
        <v>79</v>
      </c>
      <c r="B21" s="25" t="s">
        <v>61</v>
      </c>
      <c r="C21" s="27" t="n">
        <v>386000</v>
      </c>
      <c r="D21" s="51" t="n">
        <v>68</v>
      </c>
      <c r="E21" s="52"/>
      <c r="F21" s="52"/>
      <c r="N21" s="0" t="str">
        <f aca="false">IF(D21&gt;90,"Overdue","Current")</f>
        <v>Current</v>
      </c>
      <c r="O21" s="0" t="str">
        <f aca="false">IF(AND(C21&gt;200000,D21&gt;60),"High","Normal")</f>
        <v>High</v>
      </c>
    </row>
    <row r="22" customFormat="false" ht="15" hidden="false" customHeight="false" outlineLevel="0" collapsed="false">
      <c r="A22" s="33" t="s">
        <v>80</v>
      </c>
      <c r="B22" s="33" t="s">
        <v>45</v>
      </c>
      <c r="C22" s="35" t="n">
        <v>232500</v>
      </c>
      <c r="D22" s="53" t="n">
        <v>55</v>
      </c>
      <c r="E22" s="52"/>
      <c r="F22" s="52"/>
      <c r="N22" s="0" t="str">
        <f aca="false">IF(D22&gt;90,"Overdue","Current")</f>
        <v>Current</v>
      </c>
      <c r="O22" s="0" t="str">
        <f aca="false">IF(AND(C22&gt;200000,D22&gt;60),"High","Normal")</f>
        <v>Normal</v>
      </c>
    </row>
    <row r="23" customFormat="false" ht="15" hidden="false" customHeight="false" outlineLevel="0" collapsed="false">
      <c r="A23" s="25" t="s">
        <v>81</v>
      </c>
      <c r="B23" s="25" t="s">
        <v>66</v>
      </c>
      <c r="C23" s="27" t="n">
        <v>162000</v>
      </c>
      <c r="D23" s="51" t="n">
        <v>13</v>
      </c>
      <c r="E23" s="52"/>
      <c r="F23" s="52"/>
      <c r="N23" s="0" t="str">
        <f aca="false">IF(D23&gt;90,"Overdue","Current")</f>
        <v>Current</v>
      </c>
      <c r="O23" s="0" t="str">
        <f aca="false">IF(AND(C23&gt;200000,D23&gt;60),"High","Normal")</f>
        <v>Normal</v>
      </c>
    </row>
    <row r="24" customFormat="false" ht="15" hidden="false" customHeight="false" outlineLevel="0" collapsed="false">
      <c r="A24" s="33" t="s">
        <v>82</v>
      </c>
      <c r="B24" s="33" t="s">
        <v>45</v>
      </c>
      <c r="C24" s="35" t="n">
        <v>35000</v>
      </c>
      <c r="D24" s="53" t="n">
        <v>151</v>
      </c>
      <c r="E24" s="52"/>
      <c r="F24" s="52"/>
      <c r="N24" s="0" t="str">
        <f aca="false">IF(D24&gt;90,"Overdue","Current")</f>
        <v>Overdue</v>
      </c>
      <c r="O24" s="0" t="str">
        <f aca="false">IF(AND(C24&gt;200000,D24&gt;60),"High","Normal")</f>
        <v>Normal</v>
      </c>
    </row>
    <row r="25" customFormat="false" ht="15" hidden="false" customHeight="false" outlineLevel="0" collapsed="false">
      <c r="A25" s="25" t="s">
        <v>83</v>
      </c>
      <c r="B25" s="25" t="s">
        <v>113</v>
      </c>
      <c r="C25" s="27" t="n">
        <v>388500</v>
      </c>
      <c r="D25" s="51" t="n">
        <v>115</v>
      </c>
      <c r="E25" s="52"/>
      <c r="F25" s="52"/>
      <c r="N25" s="0" t="str">
        <f aca="false">IF(D25&gt;90,"Overdue","Current")</f>
        <v>Overdue</v>
      </c>
      <c r="O25" s="0" t="str">
        <f aca="false">IF(AND(C25&gt;200000,D25&gt;60),"High","Normal")</f>
        <v>High</v>
      </c>
    </row>
    <row r="26" customFormat="false" ht="15" hidden="false" customHeight="false" outlineLevel="0" collapsed="false">
      <c r="A26" s="33" t="s">
        <v>86</v>
      </c>
      <c r="B26" s="33" t="s">
        <v>66</v>
      </c>
      <c r="C26" s="35" t="n">
        <v>351000</v>
      </c>
      <c r="D26" s="53" t="n">
        <v>16</v>
      </c>
      <c r="E26" s="52"/>
      <c r="F26" s="52"/>
      <c r="N26" s="0" t="str">
        <f aca="false">IF(D26&gt;90,"Overdue","Current")</f>
        <v>Current</v>
      </c>
      <c r="O26" s="0" t="str">
        <f aca="false">IF(AND(C26&gt;200000,D26&gt;60),"High","Normal")</f>
        <v>Normal</v>
      </c>
    </row>
    <row r="27" customFormat="false" ht="15" hidden="false" customHeight="false" outlineLevel="0" collapsed="false">
      <c r="A27" s="25" t="s">
        <v>87</v>
      </c>
      <c r="B27" s="25" t="s">
        <v>61</v>
      </c>
      <c r="C27" s="27" t="n">
        <v>293000</v>
      </c>
      <c r="D27" s="51" t="n">
        <v>184</v>
      </c>
      <c r="E27" s="52"/>
      <c r="F27" s="52"/>
      <c r="N27" s="0" t="str">
        <f aca="false">IF(D27&gt;90,"Overdue","Current")</f>
        <v>Overdue</v>
      </c>
      <c r="O27" s="0" t="str">
        <f aca="false">IF(AND(C27&gt;200000,D27&gt;60),"High","Normal")</f>
        <v>High</v>
      </c>
    </row>
    <row r="28" customFormat="false" ht="15" hidden="false" customHeight="false" outlineLevel="0" collapsed="false">
      <c r="A28" s="33" t="s">
        <v>88</v>
      </c>
      <c r="B28" s="33" t="s">
        <v>45</v>
      </c>
      <c r="C28" s="35" t="n">
        <v>27000</v>
      </c>
      <c r="D28" s="53" t="n">
        <v>122</v>
      </c>
      <c r="E28" s="52"/>
      <c r="F28" s="52"/>
      <c r="N28" s="0" t="str">
        <f aca="false">IF(D28&gt;90,"Overdue","Current")</f>
        <v>Overdue</v>
      </c>
      <c r="O28" s="0" t="str">
        <f aca="false">IF(AND(C28&gt;200000,D28&gt;60),"High","Normal")</f>
        <v>Normal</v>
      </c>
    </row>
    <row r="29" customFormat="false" ht="15" hidden="false" customHeight="false" outlineLevel="0" collapsed="false">
      <c r="A29" s="25" t="s">
        <v>89</v>
      </c>
      <c r="B29" s="25" t="s">
        <v>118</v>
      </c>
      <c r="C29" s="27" t="n">
        <v>440000</v>
      </c>
      <c r="D29" s="51" t="n">
        <v>17</v>
      </c>
      <c r="E29" s="52"/>
      <c r="F29" s="52"/>
      <c r="N29" s="0" t="str">
        <f aca="false">IF(D29&gt;90,"Overdue","Current")</f>
        <v>Current</v>
      </c>
      <c r="O29" s="0" t="str">
        <f aca="false">IF(AND(C29&gt;200000,D29&gt;60),"High","Normal")</f>
        <v>Normal</v>
      </c>
    </row>
    <row r="30" customFormat="false" ht="15" hidden="false" customHeight="false" outlineLevel="0" collapsed="false">
      <c r="A30" s="33" t="s">
        <v>90</v>
      </c>
      <c r="B30" s="33" t="s">
        <v>50</v>
      </c>
      <c r="C30" s="35" t="n">
        <v>220500</v>
      </c>
      <c r="D30" s="53" t="n">
        <v>118</v>
      </c>
      <c r="E30" s="52"/>
      <c r="F30" s="52"/>
      <c r="N30" s="0" t="str">
        <f aca="false">IF(D30&gt;90,"Overdue","Current")</f>
        <v>Overdue</v>
      </c>
      <c r="O30" s="0" t="str">
        <f aca="false">IF(AND(C30&gt;200000,D30&gt;60),"High","Normal")</f>
        <v>High</v>
      </c>
    </row>
    <row r="31" customFormat="false" ht="15" hidden="false" customHeight="false" outlineLevel="0" collapsed="false">
      <c r="A31" s="25" t="s">
        <v>91</v>
      </c>
      <c r="B31" s="25" t="s">
        <v>77</v>
      </c>
      <c r="C31" s="27" t="n">
        <v>150000</v>
      </c>
      <c r="D31" s="51" t="n">
        <v>160</v>
      </c>
      <c r="E31" s="52"/>
      <c r="F31" s="52"/>
      <c r="N31" s="0" t="str">
        <f aca="false">IF(D31&gt;90,"Overdue","Current")</f>
        <v>Overdue</v>
      </c>
      <c r="O31" s="0" t="str">
        <f aca="false">IF(AND(C31&gt;200000,D31&gt;60),"High","Normal")</f>
        <v>Normal</v>
      </c>
    </row>
    <row r="32" customFormat="false" ht="15" hidden="false" customHeight="false" outlineLevel="0" collapsed="false">
      <c r="A32" s="33" t="s">
        <v>92</v>
      </c>
      <c r="B32" s="33" t="s">
        <v>84</v>
      </c>
      <c r="C32" s="35" t="n">
        <v>259500</v>
      </c>
      <c r="D32" s="53" t="n">
        <v>165</v>
      </c>
      <c r="E32" s="52"/>
      <c r="F32" s="52"/>
      <c r="N32" s="0" t="str">
        <f aca="false">IF(D32&gt;90,"Overdue","Current")</f>
        <v>Overdue</v>
      </c>
      <c r="O32" s="0" t="str">
        <f aca="false">IF(AND(C32&gt;200000,D32&gt;60),"High","Normal")</f>
        <v>High</v>
      </c>
    </row>
    <row r="33" customFormat="false" ht="15" hidden="false" customHeight="false" outlineLevel="0" collapsed="false">
      <c r="A33" s="25" t="s">
        <v>94</v>
      </c>
      <c r="B33" s="25" t="s">
        <v>50</v>
      </c>
      <c r="C33" s="27" t="n">
        <v>28000</v>
      </c>
      <c r="D33" s="51" t="n">
        <v>180</v>
      </c>
      <c r="E33" s="52"/>
      <c r="F33" s="52"/>
      <c r="N33" s="0" t="str">
        <f aca="false">IF(D33&gt;90,"Overdue","Current")</f>
        <v>Overdue</v>
      </c>
      <c r="O33" s="0" t="str">
        <f aca="false">IF(AND(C33&gt;200000,D33&gt;60),"High","Normal")</f>
        <v>Normal</v>
      </c>
    </row>
    <row r="34" customFormat="false" ht="15" hidden="false" customHeight="false" outlineLevel="0" collapsed="false">
      <c r="A34" s="33" t="s">
        <v>95</v>
      </c>
      <c r="B34" s="33" t="s">
        <v>61</v>
      </c>
      <c r="C34" s="35" t="n">
        <v>319000</v>
      </c>
      <c r="D34" s="53" t="n">
        <v>166</v>
      </c>
      <c r="E34" s="52"/>
      <c r="F34" s="52"/>
      <c r="N34" s="0" t="str">
        <f aca="false">IF(D34&gt;90,"Overdue","Current")</f>
        <v>Overdue</v>
      </c>
      <c r="O34" s="0" t="str">
        <f aca="false">IF(AND(C34&gt;200000,D34&gt;60),"High","Normal")</f>
        <v>High</v>
      </c>
    </row>
    <row r="35" customFormat="false" ht="15" hidden="false" customHeight="false" outlineLevel="0" collapsed="false">
      <c r="A35" s="25" t="s">
        <v>96</v>
      </c>
      <c r="B35" s="25" t="s">
        <v>75</v>
      </c>
      <c r="C35" s="27" t="n">
        <v>363500</v>
      </c>
      <c r="D35" s="51" t="n">
        <v>25</v>
      </c>
      <c r="E35" s="52"/>
      <c r="F35" s="52"/>
      <c r="N35" s="0" t="str">
        <f aca="false">IF(D35&gt;90,"Overdue","Current")</f>
        <v>Current</v>
      </c>
      <c r="O35" s="0" t="str">
        <f aca="false">IF(AND(C35&gt;200000,D35&gt;60),"High","Normal")</f>
        <v>Normal</v>
      </c>
    </row>
    <row r="36" customFormat="false" ht="15" hidden="false" customHeight="false" outlineLevel="0" collapsed="false">
      <c r="A36" s="33" t="s">
        <v>97</v>
      </c>
      <c r="B36" s="33" t="s">
        <v>118</v>
      </c>
      <c r="C36" s="35" t="n">
        <v>418500</v>
      </c>
      <c r="D36" s="53" t="n">
        <v>118</v>
      </c>
      <c r="E36" s="52"/>
      <c r="F36" s="52"/>
      <c r="N36" s="0" t="str">
        <f aca="false">IF(D36&gt;90,"Overdue","Current")</f>
        <v>Overdue</v>
      </c>
      <c r="O36" s="0" t="str">
        <f aca="false">IF(AND(C36&gt;200000,D36&gt;60),"High","Normal")</f>
        <v>High</v>
      </c>
    </row>
    <row r="37" customFormat="false" ht="15" hidden="false" customHeight="false" outlineLevel="0" collapsed="false">
      <c r="A37" s="25" t="s">
        <v>98</v>
      </c>
      <c r="B37" s="25" t="s">
        <v>113</v>
      </c>
      <c r="C37" s="27" t="n">
        <v>276000</v>
      </c>
      <c r="D37" s="51" t="n">
        <v>189</v>
      </c>
      <c r="E37" s="52"/>
      <c r="F37" s="52"/>
      <c r="N37" s="0" t="str">
        <f aca="false">IF(D37&gt;90,"Overdue","Current")</f>
        <v>Overdue</v>
      </c>
      <c r="O37" s="0" t="str">
        <f aca="false">IF(AND(C37&gt;200000,D37&gt;60),"High","Normal")</f>
        <v>High</v>
      </c>
    </row>
    <row r="38" customFormat="false" ht="15" hidden="false" customHeight="false" outlineLevel="0" collapsed="false">
      <c r="A38" s="33" t="s">
        <v>99</v>
      </c>
      <c r="B38" s="33" t="s">
        <v>75</v>
      </c>
      <c r="C38" s="35" t="n">
        <v>85000</v>
      </c>
      <c r="D38" s="53" t="n">
        <v>123</v>
      </c>
      <c r="E38" s="52"/>
      <c r="F38" s="52"/>
      <c r="N38" s="0" t="str">
        <f aca="false">IF(D38&gt;90,"Overdue","Current")</f>
        <v>Overdue</v>
      </c>
      <c r="O38" s="0" t="str">
        <f aca="false">IF(AND(C38&gt;200000,D38&gt;60),"High","Normal")</f>
        <v>Normal</v>
      </c>
    </row>
  </sheetData>
  <mergeCells count="3">
    <mergeCell ref="A1:L1"/>
    <mergeCell ref="A2:L2"/>
    <mergeCell ref="A3:L5"/>
  </mergeCells>
  <conditionalFormatting sqref="K9:K13">
    <cfRule type="expression" priority="2" aboveAverage="0" equalAverage="0" bottom="0" percent="0" rank="0" text="" dxfId="0">
      <formula>LEFT(K9,1)="✓"</formula>
    </cfRule>
    <cfRule type="expression" priority="3" aboveAverage="0" equalAverage="0" bottom="0" percent="0" rank="0" text="" dxfId="1">
      <formula>LEFT(K9,1)="✗"</formula>
    </cfRule>
    <cfRule type="expression" priority="4" aboveAverage="0" equalAverage="0" bottom="0" percent="0" rank="0" text="" dxfId="2">
      <formula>LEFT(K9,1)="✎"</formula>
    </cfRule>
    <cfRule type="expression" priority="5" aboveAverage="0" equalAverage="0" bottom="0" percent="0" rank="0" text="" dxfId="3">
      <formula>LEFT(K9,1)="◯"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3"/>
    <col collapsed="false" customWidth="true" hidden="false" outlineLevel="0" max="8" min="8" style="0" width="5"/>
    <col collapsed="false" customWidth="true" hidden="false" outlineLevel="0" max="9" min="9" style="0" width="46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38"/>
    <col collapsed="false" customWidth="true" hidden="true" outlineLevel="0" max="16" min="13" style="0" width="13"/>
  </cols>
  <sheetData>
    <row r="1" customFormat="false" ht="31.5" hidden="false" customHeight="true" outlineLevel="0" collapsed="false">
      <c r="A1" s="54" t="s">
        <v>137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customFormat="false" ht="19.5" hidden="false" customHeight="true" outlineLevel="0" collapsed="false">
      <c r="A2" s="55" t="s">
        <v>138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customFormat="false" ht="18.75" hidden="false" customHeight="true" outlineLevel="0" collapsed="false">
      <c r="A3" s="56" t="s">
        <v>139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customFormat="false" ht="18.75" hidden="false" customHeight="true" outlineLevel="0" collapsed="false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customFormat="false" ht="18.75" hidden="false" customHeight="true" outlineLevel="0" collapsed="false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140</v>
      </c>
      <c r="B8" s="24" t="s">
        <v>141</v>
      </c>
      <c r="C8" s="24" t="s">
        <v>142</v>
      </c>
      <c r="D8" s="24" t="s">
        <v>143</v>
      </c>
      <c r="E8" s="45" t="s">
        <v>144</v>
      </c>
      <c r="F8" s="45" t="s">
        <v>145</v>
      </c>
      <c r="H8" s="57" t="s">
        <v>14</v>
      </c>
      <c r="I8" s="57" t="s">
        <v>40</v>
      </c>
      <c r="J8" s="57" t="s">
        <v>41</v>
      </c>
      <c r="K8" s="57" t="s">
        <v>42</v>
      </c>
      <c r="L8" s="57" t="s">
        <v>43</v>
      </c>
    </row>
    <row r="9" customFormat="false" ht="33.75" hidden="false" customHeight="true" outlineLevel="0" collapsed="false">
      <c r="A9" s="25" t="s">
        <v>146</v>
      </c>
      <c r="B9" s="51" t="n">
        <v>109</v>
      </c>
      <c r="C9" s="58" t="n">
        <v>1104.94</v>
      </c>
      <c r="D9" s="59" t="n">
        <v>0</v>
      </c>
      <c r="E9" s="47"/>
      <c r="F9" s="47"/>
      <c r="H9" s="60" t="n">
        <v>1</v>
      </c>
      <c r="I9" s="29" t="s">
        <v>147</v>
      </c>
      <c r="J9" s="49" t="s">
        <v>111</v>
      </c>
      <c r="K9" s="31" t="str">
        <f aca="false">IF(COUNTA($E$9:$E$28)=0,"◯ Not attempted",IF(NOT(_xlfn.ISFORMULA(E9)),"✎ Use a formula",IFERROR(IF(SUMPRODUCT(--(ABS($E$9:$E$28-$N$9:$N$28)&lt;0.01))=ROWS($E$9:$E$28),"✓ Correct","✗ "&amp;(ROWS($E$9:$E$28)-SUMPRODUCT(--(ABS($E$9:$E$28-$N$9:$N$28)&lt;0.01)))&amp;" rows differ"),"✗ Check the column")))</f>
        <v>◯ Not attempted</v>
      </c>
      <c r="L9" s="32" t="s">
        <v>148</v>
      </c>
      <c r="N9" s="0" t="n">
        <f aca="false">B9*C9</f>
        <v>120438.46</v>
      </c>
      <c r="O9" s="0" t="n">
        <f aca="false">ROUND(B9*C9*(1-D9),2)</f>
        <v>120438.46</v>
      </c>
    </row>
    <row r="10" customFormat="false" ht="33.75" hidden="false" customHeight="true" outlineLevel="0" collapsed="false">
      <c r="A10" s="33" t="s">
        <v>149</v>
      </c>
      <c r="B10" s="53" t="n">
        <v>64</v>
      </c>
      <c r="C10" s="61" t="n">
        <v>3527.56</v>
      </c>
      <c r="D10" s="62" t="n">
        <v>0.125</v>
      </c>
      <c r="E10" s="47"/>
      <c r="F10" s="47"/>
      <c r="H10" s="60" t="n">
        <v>2</v>
      </c>
      <c r="I10" s="29" t="s">
        <v>150</v>
      </c>
      <c r="J10" s="49" t="s">
        <v>131</v>
      </c>
      <c r="K10" s="31" t="str">
        <f aca="false">IF(COUNTA($F$9:$F$28)=0,"◯ Not attempted",IF(NOT(_xlfn.ISFORMULA(F9)),"✎ Use a formula",IFERROR(IF(SUMPRODUCT(--(ABS($F$9:$F$28-$O$9:$O$28)&lt;0.01))=ROWS($F$9:$F$28),"✓ Correct","✗ "&amp;(ROWS($F$9:$F$28)-SUMPRODUCT(--(ABS($F$9:$F$28-$O$9:$O$28)&lt;0.01)))&amp;" rows differ"),"✗ Check the column")))</f>
        <v>◯ Not attempted</v>
      </c>
      <c r="L10" s="32" t="s">
        <v>151</v>
      </c>
      <c r="N10" s="0" t="n">
        <f aca="false">B10*C10</f>
        <v>225763.84</v>
      </c>
      <c r="O10" s="0" t="n">
        <f aca="false">ROUND(B10*C10*(1-D10),2)</f>
        <v>197543.36</v>
      </c>
    </row>
    <row r="11" customFormat="false" ht="33.75" hidden="false" customHeight="true" outlineLevel="0" collapsed="false">
      <c r="A11" s="25" t="s">
        <v>152</v>
      </c>
      <c r="B11" s="51" t="n">
        <v>139</v>
      </c>
      <c r="C11" s="58" t="n">
        <v>982.44</v>
      </c>
      <c r="D11" s="59" t="n">
        <v>0.02</v>
      </c>
      <c r="E11" s="47"/>
      <c r="F11" s="47"/>
      <c r="H11" s="60" t="n">
        <v>3</v>
      </c>
      <c r="I11" s="29" t="s">
        <v>153</v>
      </c>
      <c r="J11" s="38"/>
      <c r="K11" s="31" t="str">
        <f aca="false">IF(ISBLANK(J11),"◯ Not attempted",IF(NOT(_xlfn.ISFORMULA(J11)),"✎ Use a formula",IF(ISNUMBER(J11),IF(ABS(J11-$M$11)&lt;0.005,"✓ Correct","✗ Check again"),"✗ Not a number")))</f>
        <v>◯ Not attempted</v>
      </c>
      <c r="L11" s="32" t="s">
        <v>154</v>
      </c>
      <c r="M11" s="39" t="n">
        <f aca="false">SUMPRODUCT(ROUND($B$9:$B$28*$C$9:$C$28*(1-$D$9:$D$28),2))</f>
        <v>8885563.29</v>
      </c>
      <c r="N11" s="50" t="n">
        <f aca="false">B11*C11</f>
        <v>136559.16</v>
      </c>
      <c r="O11" s="50" t="n">
        <f aca="false">ROUND(B11*C11*(1-D11),2)</f>
        <v>133827.98</v>
      </c>
    </row>
    <row r="12" customFormat="false" ht="33.75" hidden="false" customHeight="true" outlineLevel="0" collapsed="false">
      <c r="A12" s="33" t="s">
        <v>155</v>
      </c>
      <c r="B12" s="53" t="n">
        <v>52</v>
      </c>
      <c r="C12" s="61" t="n">
        <v>6397.89</v>
      </c>
      <c r="D12" s="62" t="n">
        <v>0.02</v>
      </c>
      <c r="E12" s="47"/>
      <c r="F12" s="47"/>
      <c r="H12" s="60" t="n">
        <v>4</v>
      </c>
      <c r="I12" s="29" t="s">
        <v>156</v>
      </c>
      <c r="J12" s="63"/>
      <c r="K12" s="31" t="str">
        <f aca="false">IF(ISBLANK(J12),"◯ Not attempted",IF(NOT(_xlfn.ISFORMULA(J12)),"✎ Use a formula",IF(ISNUMBER(J12),IF(ABS(J12-$M$12)&lt;0.0005,"✓ Correct","✗ Check again"),"✗ Not a number")))</f>
        <v>◯ Not attempted</v>
      </c>
      <c r="L12" s="32" t="s">
        <v>157</v>
      </c>
      <c r="M12" s="64" t="n">
        <f aca="false">SUMPRODUCT(MAX(ROUND($B$9:$B$28*$C$9:$C$28*(1-$D$9:$D$28),2)))/SUMPRODUCT(ROUND($B$9:$B$28*$C$9:$C$28*(1-$D$9:$D$28),2))</f>
        <v>0.135198688118286</v>
      </c>
      <c r="N12" s="50" t="n">
        <f aca="false">B12*C12</f>
        <v>332690.28</v>
      </c>
      <c r="O12" s="50" t="n">
        <f aca="false">ROUND(B12*C12*(1-D12),2)</f>
        <v>326036.47</v>
      </c>
    </row>
    <row r="13" customFormat="false" ht="33.75" hidden="false" customHeight="true" outlineLevel="0" collapsed="false">
      <c r="A13" s="25" t="s">
        <v>158</v>
      </c>
      <c r="B13" s="51" t="n">
        <v>52</v>
      </c>
      <c r="C13" s="58" t="n">
        <v>4422.38</v>
      </c>
      <c r="D13" s="59" t="n">
        <v>0</v>
      </c>
      <c r="E13" s="47"/>
      <c r="F13" s="47"/>
      <c r="H13" s="60" t="n">
        <v>5</v>
      </c>
      <c r="I13" s="29" t="s">
        <v>159</v>
      </c>
      <c r="J13" s="36"/>
      <c r="K13" s="31" t="str">
        <f aca="false">IF(ISBLANK(J13),"◯ Not attempted",IF(NOT(_xlfn.ISFORMULA(J13)),"✎ Use a formula",IF(ISNUMBER(J13),IF(ABS(J13-$M$13)&lt;0.005,"✓ Correct","✗ Check again"),"✗ Not a number")))</f>
        <v>◯ Not attempted</v>
      </c>
      <c r="L13" s="32" t="s">
        <v>160</v>
      </c>
      <c r="M13" s="37" t="n">
        <f aca="false">ROUNDUP(SUM($B$9:$B$28)/12,0)</f>
        <v>136</v>
      </c>
      <c r="N13" s="50" t="n">
        <f aca="false">B13*C13</f>
        <v>229963.76</v>
      </c>
      <c r="O13" s="50" t="n">
        <f aca="false">ROUND(B13*C13*(1-D13),2)</f>
        <v>229963.76</v>
      </c>
    </row>
    <row r="14" customFormat="false" ht="33.75" hidden="false" customHeight="true" outlineLevel="0" collapsed="false">
      <c r="A14" s="33" t="s">
        <v>161</v>
      </c>
      <c r="B14" s="53" t="n">
        <v>51</v>
      </c>
      <c r="C14" s="61" t="n">
        <v>8787.32</v>
      </c>
      <c r="D14" s="62" t="n">
        <v>0.125</v>
      </c>
      <c r="E14" s="47"/>
      <c r="F14" s="47"/>
      <c r="H14" s="60" t="n">
        <v>6</v>
      </c>
      <c r="I14" s="29" t="s">
        <v>162</v>
      </c>
      <c r="J14" s="30"/>
      <c r="K14" s="31" t="str">
        <f aca="false">IF(ISBLANK(J14),"◯ Not attempted",IF(NOT(_xlfn.ISFORMULA(J14)),"✎ Use a formula",IF(ISNUMBER(J14),IF(ABS(J14-$M$14)&lt;0.005,"✓ Correct","✗ Check again"),"✗ Not a number")))</f>
        <v>◯ Not attempted</v>
      </c>
      <c r="L14" s="32" t="s">
        <v>163</v>
      </c>
      <c r="M14" s="0" t="n">
        <f aca="false">ROUND(SUMPRODUCT(ROUND($B$9:$B$28*$C$9:$C$28*(1-$D$9:$D$28),2)),-2)</f>
        <v>8885600</v>
      </c>
      <c r="N14" s="0" t="n">
        <f aca="false">B14*C14</f>
        <v>448153.32</v>
      </c>
      <c r="O14" s="0" t="n">
        <f aca="false">ROUND(B14*C14*(1-D14),2)</f>
        <v>392134.16</v>
      </c>
    </row>
    <row r="15" customFormat="false" ht="15" hidden="false" customHeight="false" outlineLevel="0" collapsed="false">
      <c r="A15" s="25" t="s">
        <v>164</v>
      </c>
      <c r="B15" s="51" t="n">
        <v>133</v>
      </c>
      <c r="C15" s="58" t="n">
        <v>8632.08</v>
      </c>
      <c r="D15" s="59" t="n">
        <v>0</v>
      </c>
      <c r="E15" s="47"/>
      <c r="F15" s="47"/>
      <c r="N15" s="50" t="n">
        <f aca="false">B15*C15</f>
        <v>1148066.64</v>
      </c>
      <c r="O15" s="50" t="n">
        <f aca="false">ROUND(B15*C15*(1-D15),2)</f>
        <v>1148066.64</v>
      </c>
    </row>
    <row r="16" customFormat="false" ht="15" hidden="false" customHeight="false" outlineLevel="0" collapsed="false">
      <c r="A16" s="33" t="s">
        <v>165</v>
      </c>
      <c r="B16" s="53" t="n">
        <v>138</v>
      </c>
      <c r="C16" s="61" t="n">
        <v>9163.36</v>
      </c>
      <c r="D16" s="62" t="n">
        <v>0.05</v>
      </c>
      <c r="E16" s="47"/>
      <c r="F16" s="47"/>
      <c r="N16" s="50" t="n">
        <f aca="false">B16*C16</f>
        <v>1264543.68</v>
      </c>
      <c r="O16" s="50" t="n">
        <f aca="false">ROUND(B16*C16*(1-D16),2)</f>
        <v>1201316.5</v>
      </c>
    </row>
    <row r="17" customFormat="false" ht="15" hidden="false" customHeight="false" outlineLevel="0" collapsed="false">
      <c r="A17" s="25" t="s">
        <v>166</v>
      </c>
      <c r="B17" s="51" t="n">
        <v>133</v>
      </c>
      <c r="C17" s="58" t="n">
        <v>8861.67</v>
      </c>
      <c r="D17" s="59" t="n">
        <v>0.1</v>
      </c>
      <c r="E17" s="47"/>
      <c r="F17" s="47"/>
      <c r="N17" s="50" t="n">
        <f aca="false">B17*C17</f>
        <v>1178602.11</v>
      </c>
      <c r="O17" s="50" t="n">
        <f aca="false">ROUND(B17*C17*(1-D17),2)</f>
        <v>1060741.9</v>
      </c>
    </row>
    <row r="18" customFormat="false" ht="15" hidden="false" customHeight="false" outlineLevel="0" collapsed="false">
      <c r="A18" s="33" t="s">
        <v>167</v>
      </c>
      <c r="B18" s="53" t="n">
        <v>126</v>
      </c>
      <c r="C18" s="61" t="n">
        <v>8898.77</v>
      </c>
      <c r="D18" s="62" t="n">
        <v>0</v>
      </c>
      <c r="E18" s="47"/>
      <c r="F18" s="47"/>
      <c r="N18" s="50" t="n">
        <f aca="false">B18*C18</f>
        <v>1121245.02</v>
      </c>
      <c r="O18" s="50" t="n">
        <f aca="false">ROUND(B18*C18*(1-D18),2)</f>
        <v>1121245.02</v>
      </c>
    </row>
    <row r="19" customFormat="false" ht="15" hidden="false" customHeight="false" outlineLevel="0" collapsed="false">
      <c r="A19" s="25" t="s">
        <v>168</v>
      </c>
      <c r="B19" s="51" t="n">
        <v>31</v>
      </c>
      <c r="C19" s="58" t="n">
        <v>9685.96</v>
      </c>
      <c r="D19" s="59" t="n">
        <v>0.075</v>
      </c>
      <c r="E19" s="47"/>
      <c r="F19" s="47"/>
      <c r="N19" s="50" t="n">
        <f aca="false">B19*C19</f>
        <v>300264.76</v>
      </c>
      <c r="O19" s="50" t="n">
        <f aca="false">ROUND(B19*C19*(1-D19),2)</f>
        <v>277744.9</v>
      </c>
    </row>
    <row r="20" customFormat="false" ht="15" hidden="false" customHeight="false" outlineLevel="0" collapsed="false">
      <c r="A20" s="33" t="s">
        <v>169</v>
      </c>
      <c r="B20" s="53" t="n">
        <v>26</v>
      </c>
      <c r="C20" s="61" t="n">
        <v>9739.35</v>
      </c>
      <c r="D20" s="62" t="n">
        <v>0.075</v>
      </c>
      <c r="E20" s="47"/>
      <c r="F20" s="47"/>
      <c r="N20" s="50" t="n">
        <f aca="false">B20*C20</f>
        <v>253223.1</v>
      </c>
      <c r="O20" s="50" t="n">
        <f aca="false">ROUND(B20*C20*(1-D20),2)</f>
        <v>234231.37</v>
      </c>
    </row>
    <row r="21" customFormat="false" ht="15" hidden="false" customHeight="false" outlineLevel="0" collapsed="false">
      <c r="A21" s="25" t="s">
        <v>170</v>
      </c>
      <c r="B21" s="51" t="n">
        <v>37</v>
      </c>
      <c r="C21" s="58" t="n">
        <v>6873.74</v>
      </c>
      <c r="D21" s="59" t="n">
        <v>0</v>
      </c>
      <c r="E21" s="47"/>
      <c r="F21" s="47"/>
      <c r="N21" s="50" t="n">
        <f aca="false">B21*C21</f>
        <v>254328.38</v>
      </c>
      <c r="O21" s="50" t="n">
        <f aca="false">ROUND(B21*C21*(1-D21),2)</f>
        <v>254328.38</v>
      </c>
    </row>
    <row r="22" customFormat="false" ht="15" hidden="false" customHeight="false" outlineLevel="0" collapsed="false">
      <c r="A22" s="33" t="s">
        <v>171</v>
      </c>
      <c r="B22" s="53" t="n">
        <v>76</v>
      </c>
      <c r="C22" s="61" t="n">
        <v>6722.95</v>
      </c>
      <c r="D22" s="62" t="n">
        <v>0</v>
      </c>
      <c r="E22" s="47"/>
      <c r="F22" s="47"/>
      <c r="N22" s="50" t="n">
        <f aca="false">B22*C22</f>
        <v>510944.2</v>
      </c>
      <c r="O22" s="50" t="n">
        <f aca="false">ROUND(B22*C22*(1-D22),2)</f>
        <v>510944.2</v>
      </c>
    </row>
    <row r="23" customFormat="false" ht="15" hidden="false" customHeight="false" outlineLevel="0" collapsed="false">
      <c r="A23" s="25" t="s">
        <v>172</v>
      </c>
      <c r="B23" s="51" t="n">
        <v>27</v>
      </c>
      <c r="C23" s="58" t="n">
        <v>2944.44</v>
      </c>
      <c r="D23" s="59" t="n">
        <v>0.02</v>
      </c>
      <c r="E23" s="47"/>
      <c r="F23" s="47"/>
      <c r="N23" s="50" t="n">
        <f aca="false">B23*C23</f>
        <v>79499.88</v>
      </c>
      <c r="O23" s="50" t="n">
        <f aca="false">ROUND(B23*C23*(1-D23),2)</f>
        <v>77909.88</v>
      </c>
    </row>
    <row r="24" customFormat="false" ht="15" hidden="false" customHeight="false" outlineLevel="0" collapsed="false">
      <c r="A24" s="33" t="s">
        <v>173</v>
      </c>
      <c r="B24" s="53" t="n">
        <v>45</v>
      </c>
      <c r="C24" s="61" t="n">
        <v>7100.18</v>
      </c>
      <c r="D24" s="62" t="n">
        <v>0.075</v>
      </c>
      <c r="E24" s="47"/>
      <c r="F24" s="47"/>
      <c r="N24" s="50" t="n">
        <f aca="false">B24*C24</f>
        <v>319508.1</v>
      </c>
      <c r="O24" s="50" t="n">
        <f aca="false">ROUND(B24*C24*(1-D24),2)</f>
        <v>295544.99</v>
      </c>
    </row>
    <row r="25" customFormat="false" ht="15" hidden="false" customHeight="false" outlineLevel="0" collapsed="false">
      <c r="A25" s="25" t="s">
        <v>174</v>
      </c>
      <c r="B25" s="51" t="n">
        <v>100</v>
      </c>
      <c r="C25" s="58" t="n">
        <v>1522.09</v>
      </c>
      <c r="D25" s="59" t="n">
        <v>0.125</v>
      </c>
      <c r="E25" s="47"/>
      <c r="F25" s="47"/>
      <c r="N25" s="50" t="n">
        <f aca="false">B25*C25</f>
        <v>152209</v>
      </c>
      <c r="O25" s="50" t="n">
        <f aca="false">ROUND(B25*C25*(1-D25),2)</f>
        <v>133182.88</v>
      </c>
    </row>
    <row r="26" customFormat="false" ht="15" hidden="false" customHeight="false" outlineLevel="0" collapsed="false">
      <c r="A26" s="33" t="s">
        <v>175</v>
      </c>
      <c r="B26" s="53" t="n">
        <v>88</v>
      </c>
      <c r="C26" s="61" t="n">
        <v>6844.89</v>
      </c>
      <c r="D26" s="62" t="n">
        <v>0.02</v>
      </c>
      <c r="E26" s="47"/>
      <c r="F26" s="47"/>
      <c r="N26" s="50" t="n">
        <f aca="false">B26*C26</f>
        <v>602350.32</v>
      </c>
      <c r="O26" s="50" t="n">
        <f aca="false">ROUND(B26*C26*(1-D26),2)</f>
        <v>590303.31</v>
      </c>
    </row>
    <row r="27" customFormat="false" ht="15" hidden="false" customHeight="false" outlineLevel="0" collapsed="false">
      <c r="A27" s="25" t="s">
        <v>176</v>
      </c>
      <c r="B27" s="51" t="n">
        <v>81</v>
      </c>
      <c r="C27" s="58" t="n">
        <v>3842.58</v>
      </c>
      <c r="D27" s="59" t="n">
        <v>0.02</v>
      </c>
      <c r="E27" s="47"/>
      <c r="F27" s="47"/>
      <c r="N27" s="50" t="n">
        <f aca="false">B27*C27</f>
        <v>311248.98</v>
      </c>
      <c r="O27" s="50" t="n">
        <f aca="false">ROUND(B27*C27*(1-D27),2)</f>
        <v>305024</v>
      </c>
    </row>
    <row r="28" customFormat="false" ht="15" hidden="false" customHeight="false" outlineLevel="0" collapsed="false">
      <c r="A28" s="33" t="s">
        <v>177</v>
      </c>
      <c r="B28" s="53" t="n">
        <v>123</v>
      </c>
      <c r="C28" s="61" t="n">
        <v>2417.36</v>
      </c>
      <c r="D28" s="62" t="n">
        <v>0.075</v>
      </c>
      <c r="E28" s="47"/>
      <c r="F28" s="47"/>
      <c r="N28" s="50" t="n">
        <f aca="false">B28*C28</f>
        <v>297335.28</v>
      </c>
      <c r="O28" s="50" t="n">
        <f aca="false">ROUND(B28*C28*(1-D28),2)</f>
        <v>275035.13</v>
      </c>
    </row>
  </sheetData>
  <mergeCells count="3">
    <mergeCell ref="A1:L1"/>
    <mergeCell ref="A2:L2"/>
    <mergeCell ref="A3:L5"/>
  </mergeCells>
  <conditionalFormatting sqref="K9:K14">
    <cfRule type="expression" priority="2" aboveAverage="0" equalAverage="0" bottom="0" percent="0" rank="0" text="" dxfId="0">
      <formula>LEFT(K9,1)="✓"</formula>
    </cfRule>
    <cfRule type="expression" priority="3" aboveAverage="0" equalAverage="0" bottom="0" percent="0" rank="0" text="" dxfId="1">
      <formula>LEFT(K9,1)="✗"</formula>
    </cfRule>
    <cfRule type="expression" priority="4" aboveAverage="0" equalAverage="0" bottom="0" percent="0" rank="0" text="" dxfId="2">
      <formula>LEFT(K9,1)="✎"</formula>
    </cfRule>
    <cfRule type="expression" priority="5" aboveAverage="0" equalAverage="0" bottom="0" percent="0" rank="0" text="" dxfId="3">
      <formula>LEFT(K9,1)="◯"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tru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5"/>
    <col collapsed="false" customWidth="true" hidden="false" outlineLevel="0" max="9" min="9" style="0" width="46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38"/>
    <col collapsed="false" customWidth="true" hidden="true" outlineLevel="0" max="17" min="13" style="0" width="13"/>
  </cols>
  <sheetData>
    <row r="1" customFormat="false" ht="31.5" hidden="false" customHeight="true" outlineLevel="0" collapsed="false">
      <c r="A1" s="54" t="s">
        <v>178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customFormat="false" ht="19.5" hidden="false" customHeight="true" outlineLevel="0" collapsed="false">
      <c r="A2" s="55" t="s">
        <v>179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customFormat="false" ht="18.75" hidden="false" customHeight="true" outlineLevel="0" collapsed="false">
      <c r="A3" s="56" t="s">
        <v>180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customFormat="false" ht="18.75" hidden="false" customHeight="true" outlineLevel="0" collapsed="false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customFormat="false" ht="18.75" hidden="false" customHeight="true" outlineLevel="0" collapsed="false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37</v>
      </c>
      <c r="B8" s="24" t="s">
        <v>181</v>
      </c>
      <c r="C8" s="24" t="s">
        <v>182</v>
      </c>
      <c r="D8" s="45" t="s">
        <v>183</v>
      </c>
      <c r="E8" s="45" t="s">
        <v>184</v>
      </c>
      <c r="F8" s="45" t="s">
        <v>185</v>
      </c>
      <c r="H8" s="57" t="s">
        <v>14</v>
      </c>
      <c r="I8" s="57" t="s">
        <v>40</v>
      </c>
      <c r="J8" s="57" t="s">
        <v>41</v>
      </c>
      <c r="K8" s="57" t="s">
        <v>42</v>
      </c>
      <c r="L8" s="57" t="s">
        <v>43</v>
      </c>
    </row>
    <row r="9" customFormat="false" ht="33.75" hidden="false" customHeight="true" outlineLevel="0" collapsed="false">
      <c r="A9" s="25" t="s">
        <v>84</v>
      </c>
      <c r="B9" s="25" t="s">
        <v>186</v>
      </c>
      <c r="C9" s="25" t="s">
        <v>187</v>
      </c>
      <c r="D9" s="52"/>
      <c r="E9" s="52"/>
      <c r="F9" s="52"/>
      <c r="H9" s="60" t="n">
        <v>1</v>
      </c>
      <c r="I9" s="29" t="s">
        <v>188</v>
      </c>
      <c r="J9" s="49" t="s">
        <v>108</v>
      </c>
      <c r="K9" s="31" t="str">
        <f aca="false">IF(COUNTA($D$9:$D$33)=0,"◯ Not attempted",IF(NOT(_xlfn.ISFORMULA(D9)),"✎ Use a formula",IFERROR(IF(SUMPRODUCT(--(UPPER(TRIM($D$9:$D$33&amp;""))=UPPER(TRIM($N$9:$N$33&amp;""))))=ROWS($D$9:$D$33),"✓ Correct","✗ "&amp;(ROWS($D$9:$D$33)-SUMPRODUCT(--(UPPER(TRIM($D$9:$D$33&amp;""))=UPPER(TRIM($N$9:$N$33&amp;"")))))&amp;" rows differ"),"✗ Check the column")))</f>
        <v>◯ Not attempted</v>
      </c>
      <c r="L9" s="32" t="s">
        <v>189</v>
      </c>
      <c r="N9" s="0" t="str">
        <f aca="false">PROPER(TRIM(A9))</f>
        <v>Nova Industries</v>
      </c>
      <c r="O9" s="0" t="str">
        <f aca="false">LEFT(B9,2)</f>
        <v>07</v>
      </c>
      <c r="P9" s="0" t="str">
        <f aca="false">UPPER(MID(B9,3,10))</f>
        <v>AABCF9118O</v>
      </c>
    </row>
    <row r="10" customFormat="false" ht="33.75" hidden="false" customHeight="true" outlineLevel="0" collapsed="false">
      <c r="A10" s="33" t="s">
        <v>190</v>
      </c>
      <c r="B10" s="33" t="s">
        <v>191</v>
      </c>
      <c r="C10" s="33" t="s">
        <v>192</v>
      </c>
      <c r="D10" s="52"/>
      <c r="E10" s="52"/>
      <c r="F10" s="52"/>
      <c r="H10" s="60" t="n">
        <v>2</v>
      </c>
      <c r="I10" s="29" t="s">
        <v>193</v>
      </c>
      <c r="J10" s="49" t="s">
        <v>111</v>
      </c>
      <c r="K10" s="31" t="str">
        <f aca="false">IF(COUNTA($E$9:$E$33)=0,"◯ Not attempted",IF(NOT(_xlfn.ISFORMULA(E9)),"✎ Use a formula",IFERROR(IF(SUMPRODUCT(--(UPPER(TRIM($E$9:$E$33&amp;""))=UPPER(TRIM($O$9:$O$33&amp;""))))=ROWS($E$9:$E$33),"✓ Correct","✗ "&amp;(ROWS($E$9:$E$33)-SUMPRODUCT(--(UPPER(TRIM($E$9:$E$33&amp;""))=UPPER(TRIM($O$9:$O$33&amp;"")))))&amp;" rows differ"),"✗ Check the column")))</f>
        <v>◯ Not attempted</v>
      </c>
      <c r="L10" s="32" t="s">
        <v>194</v>
      </c>
      <c r="N10" s="0" t="str">
        <f aca="false">PROPER(TRIM(A10))</f>
        <v>Abc Traders</v>
      </c>
      <c r="O10" s="0" t="str">
        <f aca="false">LEFT(B10,2)</f>
        <v>24</v>
      </c>
      <c r="P10" s="0" t="str">
        <f aca="false">UPPER(MID(B10,3,10))</f>
        <v>AABCK1630H</v>
      </c>
    </row>
    <row r="11" customFormat="false" ht="33.75" hidden="false" customHeight="true" outlineLevel="0" collapsed="false">
      <c r="A11" s="25" t="s">
        <v>84</v>
      </c>
      <c r="B11" s="25" t="s">
        <v>195</v>
      </c>
      <c r="C11" s="25" t="s">
        <v>196</v>
      </c>
      <c r="D11" s="52"/>
      <c r="E11" s="52"/>
      <c r="F11" s="52"/>
      <c r="H11" s="60" t="n">
        <v>3</v>
      </c>
      <c r="I11" s="29" t="s">
        <v>197</v>
      </c>
      <c r="J11" s="49" t="s">
        <v>131</v>
      </c>
      <c r="K11" s="31" t="str">
        <f aca="false">IF(COUNTA($F$9:$F$33)=0,"◯ Not attempted",IF(NOT(_xlfn.ISFORMULA(F9)),"✎ Use a formula",IFERROR(IF(SUMPRODUCT(--(UPPER(TRIM($F$9:$F$33&amp;""))=UPPER(TRIM($P$9:$P$33&amp;""))))=ROWS($F$9:$F$33),"✓ Correct","✗ "&amp;(ROWS($F$9:$F$33)-SUMPRODUCT(--(UPPER(TRIM($F$9:$F$33&amp;""))=UPPER(TRIM($P$9:$P$33&amp;"")))))&amp;" rows differ"),"✗ Check the column")))</f>
        <v>◯ Not attempted</v>
      </c>
      <c r="L11" s="32" t="s">
        <v>198</v>
      </c>
      <c r="N11" s="0" t="str">
        <f aca="false">PROPER(TRIM(A11))</f>
        <v>Nova Industries</v>
      </c>
      <c r="O11" s="0" t="str">
        <f aca="false">LEFT(B11,2)</f>
        <v>29</v>
      </c>
      <c r="P11" s="0" t="str">
        <f aca="false">UPPER(MID(B11,3,10))</f>
        <v>AABCS7050Y</v>
      </c>
    </row>
    <row r="12" customFormat="false" ht="33.75" hidden="false" customHeight="true" outlineLevel="0" collapsed="false">
      <c r="A12" s="33" t="s">
        <v>199</v>
      </c>
      <c r="B12" s="33" t="s">
        <v>200</v>
      </c>
      <c r="C12" s="33" t="s">
        <v>187</v>
      </c>
      <c r="D12" s="52"/>
      <c r="E12" s="52"/>
      <c r="F12" s="52"/>
      <c r="H12" s="60" t="n">
        <v>4</v>
      </c>
      <c r="I12" s="29" t="s">
        <v>201</v>
      </c>
      <c r="J12" s="36"/>
      <c r="K12" s="31" t="str">
        <f aca="false">IF(ISBLANK(J12),"◯ Not attempted",IF(NOT(_xlfn.ISFORMULA(J12)),"✎ Use a formula",IF(ISNUMBER(J12),IF(ABS(J12-$M$12)&lt;0.005,"✓ Correct","✗ Check again"),"✗ Not a number")))</f>
        <v>◯ Not attempted</v>
      </c>
      <c r="L12" s="32" t="s">
        <v>202</v>
      </c>
      <c r="M12" s="37" t="n">
        <f aca="false">SUMPRODUCT(--(LEN($A$9:$A$33)&lt;&gt;LEN(TRIM($A$9:$A$33))))</f>
        <v>14</v>
      </c>
      <c r="N12" s="0" t="str">
        <f aca="false">PROPER(TRIM(A12))</f>
        <v>Abc Traders</v>
      </c>
      <c r="O12" s="0" t="str">
        <f aca="false">LEFT(B12,2)</f>
        <v>33</v>
      </c>
      <c r="P12" s="0" t="str">
        <f aca="false">UPPER(MID(B12,3,10))</f>
        <v>AABCV5945C</v>
      </c>
    </row>
    <row r="13" customFormat="false" ht="33.75" hidden="false" customHeight="true" outlineLevel="0" collapsed="false">
      <c r="A13" s="25" t="s">
        <v>203</v>
      </c>
      <c r="B13" s="25" t="s">
        <v>204</v>
      </c>
      <c r="C13" s="25" t="s">
        <v>192</v>
      </c>
      <c r="D13" s="52"/>
      <c r="E13" s="52"/>
      <c r="F13" s="52"/>
      <c r="H13" s="60" t="n">
        <v>5</v>
      </c>
      <c r="I13" s="29" t="s">
        <v>205</v>
      </c>
      <c r="J13" s="36"/>
      <c r="K13" s="31" t="str">
        <f aca="false">IF(ISBLANK(J13),"◯ Not attempted",IF(NOT(_xlfn.ISFORMULA(J13)),"✎ Use a formula",IF(ISNUMBER(J13),IF(ABS(J13-$M$13)&lt;0.005,"✓ Correct","✗ Check again"),"✗ Not a number")))</f>
        <v>◯ Not attempted</v>
      </c>
      <c r="L13" s="32" t="s">
        <v>206</v>
      </c>
      <c r="M13" s="37" t="n">
        <f aca="false">SUMPRODUCT(--(LEFT($B$9:$B$33,2)="27"))</f>
        <v>1</v>
      </c>
      <c r="N13" s="0" t="str">
        <f aca="false">PROPER(TRIM(A13))</f>
        <v>Abc Traders</v>
      </c>
      <c r="O13" s="0" t="str">
        <f aca="false">LEFT(B13,2)</f>
        <v>33</v>
      </c>
      <c r="P13" s="0" t="str">
        <f aca="false">UPPER(MID(B13,3,10))</f>
        <v>AABCB6799B</v>
      </c>
    </row>
    <row r="14" customFormat="false" ht="15" hidden="false" customHeight="false" outlineLevel="0" collapsed="false">
      <c r="A14" s="33" t="s">
        <v>75</v>
      </c>
      <c r="B14" s="33" t="s">
        <v>207</v>
      </c>
      <c r="C14" s="33" t="s">
        <v>208</v>
      </c>
      <c r="D14" s="52"/>
      <c r="E14" s="52"/>
      <c r="F14" s="52"/>
      <c r="N14" s="0" t="str">
        <f aca="false">PROPER(TRIM(A14))</f>
        <v>Shree Enterprises</v>
      </c>
      <c r="O14" s="0" t="str">
        <f aca="false">LEFT(B14,2)</f>
        <v>24</v>
      </c>
      <c r="P14" s="0" t="str">
        <f aca="false">UPPER(MID(B14,3,10))</f>
        <v>AABCN8183I</v>
      </c>
    </row>
    <row r="15" customFormat="false" ht="15" hidden="false" customHeight="false" outlineLevel="0" collapsed="false">
      <c r="A15" s="25" t="s">
        <v>209</v>
      </c>
      <c r="B15" s="25" t="s">
        <v>210</v>
      </c>
      <c r="C15" s="25" t="s">
        <v>211</v>
      </c>
      <c r="D15" s="52"/>
      <c r="E15" s="52"/>
      <c r="F15" s="52"/>
      <c r="N15" s="0" t="str">
        <f aca="false">PROPER(TRIM(A15))</f>
        <v>Nandini Foods</v>
      </c>
      <c r="O15" s="0" t="str">
        <f aca="false">LEFT(B15,2)</f>
        <v>29</v>
      </c>
      <c r="P15" s="0" t="str">
        <f aca="false">UPPER(MID(B15,3,10))</f>
        <v>AABCM3262Y</v>
      </c>
    </row>
    <row r="16" customFormat="false" ht="15" hidden="false" customHeight="false" outlineLevel="0" collapsed="false">
      <c r="A16" s="33" t="s">
        <v>71</v>
      </c>
      <c r="B16" s="33" t="s">
        <v>212</v>
      </c>
      <c r="C16" s="33" t="s">
        <v>208</v>
      </c>
      <c r="D16" s="52"/>
      <c r="E16" s="52"/>
      <c r="F16" s="52"/>
      <c r="N16" s="0" t="str">
        <f aca="false">PROPER(TRIM(A16))</f>
        <v>Vaibhav Textiles</v>
      </c>
      <c r="O16" s="0" t="str">
        <f aca="false">LEFT(B16,2)</f>
        <v>07</v>
      </c>
      <c r="P16" s="0" t="str">
        <f aca="false">UPPER(MID(B16,3,10))</f>
        <v>AABCB1882Q</v>
      </c>
    </row>
    <row r="17" customFormat="false" ht="15" hidden="false" customHeight="false" outlineLevel="0" collapsed="false">
      <c r="A17" s="25" t="s">
        <v>213</v>
      </c>
      <c r="B17" s="25" t="s">
        <v>214</v>
      </c>
      <c r="C17" s="25" t="s">
        <v>211</v>
      </c>
      <c r="D17" s="52"/>
      <c r="E17" s="52"/>
      <c r="F17" s="52"/>
      <c r="N17" s="0" t="str">
        <f aca="false">PROPER(TRIM(A17))</f>
        <v>Orbit Systems</v>
      </c>
      <c r="O17" s="0" t="str">
        <f aca="false">LEFT(B17,2)</f>
        <v>29</v>
      </c>
      <c r="P17" s="0" t="str">
        <f aca="false">UPPER(MID(B17,3,10))</f>
        <v>AABCO7109T</v>
      </c>
    </row>
    <row r="18" customFormat="false" ht="15" hidden="false" customHeight="false" outlineLevel="0" collapsed="false">
      <c r="A18" s="33" t="s">
        <v>215</v>
      </c>
      <c r="B18" s="33" t="s">
        <v>216</v>
      </c>
      <c r="C18" s="33" t="s">
        <v>217</v>
      </c>
      <c r="D18" s="52"/>
      <c r="E18" s="52"/>
      <c r="F18" s="52"/>
      <c r="N18" s="0" t="str">
        <f aca="false">PROPER(TRIM(A18))</f>
        <v>Nova Industries</v>
      </c>
      <c r="O18" s="0" t="str">
        <f aca="false">LEFT(B18,2)</f>
        <v>33</v>
      </c>
      <c r="P18" s="0" t="str">
        <f aca="false">UPPER(MID(B18,3,10))</f>
        <v>AABCX2048M</v>
      </c>
    </row>
    <row r="19" customFormat="false" ht="15" hidden="false" customHeight="false" outlineLevel="0" collapsed="false">
      <c r="A19" s="25" t="s">
        <v>50</v>
      </c>
      <c r="B19" s="25" t="s">
        <v>218</v>
      </c>
      <c r="C19" s="25" t="s">
        <v>211</v>
      </c>
      <c r="D19" s="52"/>
      <c r="E19" s="52"/>
      <c r="F19" s="52"/>
      <c r="N19" s="0" t="str">
        <f aca="false">PROPER(TRIM(A19))</f>
        <v>Abc Traders</v>
      </c>
      <c r="O19" s="0" t="str">
        <f aca="false">LEFT(B19,2)</f>
        <v>33</v>
      </c>
      <c r="P19" s="0" t="str">
        <f aca="false">UPPER(MID(B19,3,10))</f>
        <v>AABCI6664M</v>
      </c>
    </row>
    <row r="20" customFormat="false" ht="15" hidden="false" customHeight="false" outlineLevel="0" collapsed="false">
      <c r="A20" s="33" t="s">
        <v>93</v>
      </c>
      <c r="B20" s="33" t="s">
        <v>219</v>
      </c>
      <c r="C20" s="33" t="s">
        <v>220</v>
      </c>
      <c r="D20" s="52"/>
      <c r="E20" s="52"/>
      <c r="F20" s="52"/>
      <c r="N20" s="0" t="str">
        <f aca="false">PROPER(TRIM(A20))</f>
        <v>Meera Pharma</v>
      </c>
      <c r="O20" s="0" t="str">
        <f aca="false">LEFT(B20,2)</f>
        <v>07</v>
      </c>
      <c r="P20" s="0" t="str">
        <f aca="false">UPPER(MID(B20,3,10))</f>
        <v>AABCQ7836X</v>
      </c>
    </row>
    <row r="21" customFormat="false" ht="15" hidden="false" customHeight="false" outlineLevel="0" collapsed="false">
      <c r="A21" s="25" t="s">
        <v>113</v>
      </c>
      <c r="B21" s="25" t="s">
        <v>221</v>
      </c>
      <c r="C21" s="25" t="s">
        <v>211</v>
      </c>
      <c r="D21" s="52"/>
      <c r="E21" s="52"/>
      <c r="F21" s="52"/>
      <c r="N21" s="0" t="str">
        <f aca="false">PROPER(TRIM(A21))</f>
        <v>Deccan Supplies</v>
      </c>
      <c r="O21" s="0" t="str">
        <f aca="false">LEFT(B21,2)</f>
        <v>07</v>
      </c>
      <c r="P21" s="0" t="str">
        <f aca="false">UPPER(MID(B21,3,10))</f>
        <v>AABCD1208F</v>
      </c>
    </row>
    <row r="22" customFormat="false" ht="15" hidden="false" customHeight="false" outlineLevel="0" collapsed="false">
      <c r="A22" s="33" t="s">
        <v>100</v>
      </c>
      <c r="B22" s="33" t="s">
        <v>222</v>
      </c>
      <c r="C22" s="33" t="s">
        <v>211</v>
      </c>
      <c r="D22" s="52"/>
      <c r="E22" s="52"/>
      <c r="F22" s="52"/>
      <c r="N22" s="0" t="str">
        <f aca="false">PROPER(TRIM(A22))</f>
        <v>Sagar Metals</v>
      </c>
      <c r="O22" s="0" t="str">
        <f aca="false">LEFT(B22,2)</f>
        <v>29</v>
      </c>
      <c r="P22" s="0" t="str">
        <f aca="false">UPPER(MID(B22,3,10))</f>
        <v>AABCQ5039R</v>
      </c>
    </row>
    <row r="23" customFormat="false" ht="15" hidden="false" customHeight="false" outlineLevel="0" collapsed="false">
      <c r="A23" s="25" t="s">
        <v>203</v>
      </c>
      <c r="B23" s="25" t="s">
        <v>223</v>
      </c>
      <c r="C23" s="25" t="s">
        <v>196</v>
      </c>
      <c r="D23" s="52"/>
      <c r="E23" s="52"/>
      <c r="F23" s="52"/>
      <c r="N23" s="0" t="str">
        <f aca="false">PROPER(TRIM(A23))</f>
        <v>Abc Traders</v>
      </c>
      <c r="O23" s="0" t="str">
        <f aca="false">LEFT(B23,2)</f>
        <v>07</v>
      </c>
      <c r="P23" s="0" t="str">
        <f aca="false">UPPER(MID(B23,3,10))</f>
        <v>AABCG8803D</v>
      </c>
    </row>
    <row r="24" customFormat="false" ht="15" hidden="false" customHeight="false" outlineLevel="0" collapsed="false">
      <c r="A24" s="33" t="s">
        <v>224</v>
      </c>
      <c r="B24" s="33" t="s">
        <v>225</v>
      </c>
      <c r="C24" s="33" t="s">
        <v>196</v>
      </c>
      <c r="D24" s="52"/>
      <c r="E24" s="52"/>
      <c r="F24" s="52"/>
      <c r="N24" s="0" t="str">
        <f aca="false">PROPER(TRIM(A24))</f>
        <v>Nova Industries</v>
      </c>
      <c r="O24" s="0" t="str">
        <f aca="false">LEFT(B24,2)</f>
        <v>24</v>
      </c>
      <c r="P24" s="0" t="str">
        <f aca="false">UPPER(MID(B24,3,10))</f>
        <v>AABCF3597P</v>
      </c>
    </row>
    <row r="25" customFormat="false" ht="15" hidden="false" customHeight="false" outlineLevel="0" collapsed="false">
      <c r="A25" s="25" t="s">
        <v>226</v>
      </c>
      <c r="B25" s="25" t="s">
        <v>227</v>
      </c>
      <c r="C25" s="25" t="s">
        <v>211</v>
      </c>
      <c r="D25" s="52"/>
      <c r="E25" s="52"/>
      <c r="F25" s="52"/>
      <c r="N25" s="0" t="str">
        <f aca="false">PROPER(TRIM(A25))</f>
        <v>Shree Enterprises</v>
      </c>
      <c r="O25" s="0" t="str">
        <f aca="false">LEFT(B25,2)</f>
        <v>07</v>
      </c>
      <c r="P25" s="0" t="str">
        <f aca="false">UPPER(MID(B25,3,10))</f>
        <v>AABCI3935V</v>
      </c>
    </row>
    <row r="26" customFormat="false" ht="15" hidden="false" customHeight="false" outlineLevel="0" collapsed="false">
      <c r="A26" s="33" t="s">
        <v>228</v>
      </c>
      <c r="B26" s="33" t="s">
        <v>229</v>
      </c>
      <c r="C26" s="33" t="s">
        <v>196</v>
      </c>
      <c r="D26" s="52"/>
      <c r="E26" s="52"/>
      <c r="F26" s="52"/>
      <c r="N26" s="0" t="str">
        <f aca="false">PROPER(TRIM(A26))</f>
        <v>Kiran Agencies</v>
      </c>
      <c r="O26" s="0" t="str">
        <f aca="false">LEFT(B26,2)</f>
        <v>24</v>
      </c>
      <c r="P26" s="0" t="str">
        <f aca="false">UPPER(MID(B26,3,10))</f>
        <v>AABCU3610X</v>
      </c>
    </row>
    <row r="27" customFormat="false" ht="15" hidden="false" customHeight="false" outlineLevel="0" collapsed="false">
      <c r="A27" s="25" t="s">
        <v>224</v>
      </c>
      <c r="B27" s="25" t="s">
        <v>230</v>
      </c>
      <c r="C27" s="25" t="s">
        <v>196</v>
      </c>
      <c r="D27" s="52"/>
      <c r="E27" s="52"/>
      <c r="F27" s="52"/>
      <c r="N27" s="0" t="str">
        <f aca="false">PROPER(TRIM(A27))</f>
        <v>Nova Industries</v>
      </c>
      <c r="O27" s="0" t="str">
        <f aca="false">LEFT(B27,2)</f>
        <v>07</v>
      </c>
      <c r="P27" s="0" t="str">
        <f aca="false">UPPER(MID(B27,3,10))</f>
        <v>AABCK6741W</v>
      </c>
    </row>
    <row r="28" customFormat="false" ht="15" hidden="false" customHeight="false" outlineLevel="0" collapsed="false">
      <c r="A28" s="33" t="s">
        <v>61</v>
      </c>
      <c r="B28" s="33" t="s">
        <v>231</v>
      </c>
      <c r="C28" s="33" t="s">
        <v>220</v>
      </c>
      <c r="D28" s="52"/>
      <c r="E28" s="52"/>
      <c r="F28" s="52"/>
      <c r="N28" s="0" t="str">
        <f aca="false">PROPER(TRIM(A28))</f>
        <v>Kiran Agencies</v>
      </c>
      <c r="O28" s="0" t="str">
        <f aca="false">LEFT(B28,2)</f>
        <v>07</v>
      </c>
      <c r="P28" s="0" t="str">
        <f aca="false">UPPER(MID(B28,3,10))</f>
        <v>AABCN3587V</v>
      </c>
    </row>
    <row r="29" customFormat="false" ht="15" hidden="false" customHeight="false" outlineLevel="0" collapsed="false">
      <c r="A29" s="25" t="s">
        <v>232</v>
      </c>
      <c r="B29" s="25" t="s">
        <v>233</v>
      </c>
      <c r="C29" s="25" t="s">
        <v>211</v>
      </c>
      <c r="D29" s="52"/>
      <c r="E29" s="52"/>
      <c r="F29" s="52"/>
      <c r="N29" s="0" t="str">
        <f aca="false">PROPER(TRIM(A29))</f>
        <v>Sagar Metals</v>
      </c>
      <c r="O29" s="0" t="str">
        <f aca="false">LEFT(B29,2)</f>
        <v>33</v>
      </c>
      <c r="P29" s="0" t="str">
        <f aca="false">UPPER(MID(B29,3,10))</f>
        <v>AABCY3959I</v>
      </c>
    </row>
    <row r="30" customFormat="false" ht="15" hidden="false" customHeight="false" outlineLevel="0" collapsed="false">
      <c r="A30" s="33" t="s">
        <v>84</v>
      </c>
      <c r="B30" s="33" t="s">
        <v>234</v>
      </c>
      <c r="C30" s="33" t="s">
        <v>220</v>
      </c>
      <c r="D30" s="52"/>
      <c r="E30" s="52"/>
      <c r="F30" s="52"/>
      <c r="N30" s="0" t="str">
        <f aca="false">PROPER(TRIM(A30))</f>
        <v>Nova Industries</v>
      </c>
      <c r="O30" s="0" t="str">
        <f aca="false">LEFT(B30,2)</f>
        <v>27</v>
      </c>
      <c r="P30" s="0" t="str">
        <f aca="false">UPPER(MID(B30,3,10))</f>
        <v>AABCC7798V</v>
      </c>
    </row>
    <row r="31" customFormat="false" ht="15" hidden="false" customHeight="false" outlineLevel="0" collapsed="false">
      <c r="A31" s="25" t="s">
        <v>61</v>
      </c>
      <c r="B31" s="25" t="s">
        <v>235</v>
      </c>
      <c r="C31" s="25" t="s">
        <v>208</v>
      </c>
      <c r="D31" s="52"/>
      <c r="E31" s="52"/>
      <c r="F31" s="52"/>
      <c r="N31" s="0" t="str">
        <f aca="false">PROPER(TRIM(A31))</f>
        <v>Kiran Agencies</v>
      </c>
      <c r="O31" s="0" t="str">
        <f aca="false">LEFT(B31,2)</f>
        <v>24</v>
      </c>
      <c r="P31" s="0" t="str">
        <f aca="false">UPPER(MID(B31,3,10))</f>
        <v>AABCT3103Q</v>
      </c>
    </row>
    <row r="32" customFormat="false" ht="15" hidden="false" customHeight="false" outlineLevel="0" collapsed="false">
      <c r="A32" s="33" t="s">
        <v>236</v>
      </c>
      <c r="B32" s="33" t="s">
        <v>237</v>
      </c>
      <c r="C32" s="33" t="s">
        <v>187</v>
      </c>
      <c r="D32" s="52"/>
      <c r="E32" s="52"/>
      <c r="F32" s="52"/>
      <c r="N32" s="0" t="str">
        <f aca="false">PROPER(TRIM(A32))</f>
        <v>Nandini Foods</v>
      </c>
      <c r="O32" s="0" t="str">
        <f aca="false">LEFT(B32,2)</f>
        <v>29</v>
      </c>
      <c r="P32" s="0" t="str">
        <f aca="false">UPPER(MID(B32,3,10))</f>
        <v>AABCT2341V</v>
      </c>
    </row>
    <row r="33" customFormat="false" ht="15" hidden="false" customHeight="false" outlineLevel="0" collapsed="false">
      <c r="A33" s="25" t="s">
        <v>238</v>
      </c>
      <c r="B33" s="25" t="s">
        <v>239</v>
      </c>
      <c r="C33" s="25" t="s">
        <v>217</v>
      </c>
      <c r="D33" s="52"/>
      <c r="E33" s="52"/>
      <c r="F33" s="52"/>
      <c r="N33" s="0" t="str">
        <f aca="false">PROPER(TRIM(A33))</f>
        <v>Bharat Electricals</v>
      </c>
      <c r="O33" s="0" t="str">
        <f aca="false">LEFT(B33,2)</f>
        <v>29</v>
      </c>
      <c r="P33" s="0" t="str">
        <f aca="false">UPPER(MID(B33,3,10))</f>
        <v>AABCZ1007F</v>
      </c>
    </row>
  </sheetData>
  <mergeCells count="3">
    <mergeCell ref="A1:L1"/>
    <mergeCell ref="A2:L2"/>
    <mergeCell ref="A3:L5"/>
  </mergeCells>
  <conditionalFormatting sqref="K9:K13">
    <cfRule type="expression" priority="2" aboveAverage="0" equalAverage="0" bottom="0" percent="0" rank="0" text="" dxfId="0">
      <formula>LEFT(K9,1)="✓"</formula>
    </cfRule>
    <cfRule type="expression" priority="3" aboveAverage="0" equalAverage="0" bottom="0" percent="0" rank="0" text="" dxfId="1">
      <formula>LEFT(K9,1)="✗"</formula>
    </cfRule>
    <cfRule type="expression" priority="4" aboveAverage="0" equalAverage="0" bottom="0" percent="0" rank="0" text="" dxfId="2">
      <formula>LEFT(K9,1)="✎"</formula>
    </cfRule>
    <cfRule type="expression" priority="5" aboveAverage="0" equalAverage="0" bottom="0" percent="0" rank="0" text="" dxfId="3">
      <formula>LEFT(K9,1)="◯"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tru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3"/>
    <col collapsed="false" customWidth="true" hidden="false" outlineLevel="0" max="8" min="8" style="0" width="5"/>
    <col collapsed="false" customWidth="true" hidden="false" outlineLevel="0" max="9" min="9" style="0" width="46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38"/>
    <col collapsed="false" customWidth="true" hidden="true" outlineLevel="0" max="14" min="13" style="0" width="13"/>
  </cols>
  <sheetData>
    <row r="1" customFormat="false" ht="31.5" hidden="false" customHeight="true" outlineLevel="0" collapsed="false">
      <c r="A1" s="65" t="s">
        <v>240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customFormat="false" ht="19.5" hidden="false" customHeight="true" outlineLevel="0" collapsed="false">
      <c r="A2" s="66" t="s">
        <v>241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customFormat="false" ht="18.75" hidden="false" customHeight="true" outlineLevel="0" collapsed="false">
      <c r="A3" s="67" t="s">
        <v>242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customFormat="false" ht="18.75" hidden="false" customHeight="true" outlineLevel="0" collapsed="false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customFormat="false" ht="18.75" hidden="false" customHeight="true" outlineLevel="0" collapsed="false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customFormat="false" ht="19.5" hidden="false" customHeight="true" outlineLevel="0" collapsed="false"/>
    <row r="8" customFormat="false" ht="24" hidden="false" customHeight="true" outlineLevel="0" collapsed="false">
      <c r="A8" s="24" t="s">
        <v>35</v>
      </c>
      <c r="B8" s="24" t="s">
        <v>37</v>
      </c>
      <c r="C8" s="24" t="s">
        <v>38</v>
      </c>
      <c r="D8" s="24" t="s">
        <v>39</v>
      </c>
      <c r="E8" s="24" t="s">
        <v>142</v>
      </c>
      <c r="F8" s="24" t="s">
        <v>123</v>
      </c>
      <c r="H8" s="68" t="s">
        <v>14</v>
      </c>
      <c r="I8" s="68" t="s">
        <v>40</v>
      </c>
      <c r="J8" s="68" t="s">
        <v>41</v>
      </c>
      <c r="K8" s="68" t="s">
        <v>42</v>
      </c>
      <c r="L8" s="68" t="s">
        <v>43</v>
      </c>
    </row>
    <row r="9" customFormat="false" ht="33.75" hidden="false" customHeight="true" outlineLevel="0" collapsed="false">
      <c r="A9" s="25" t="s">
        <v>44</v>
      </c>
      <c r="B9" s="25" t="s">
        <v>77</v>
      </c>
      <c r="C9" s="25" t="s">
        <v>62</v>
      </c>
      <c r="D9" s="27" t="n">
        <v>362500</v>
      </c>
      <c r="E9" s="51" t="n">
        <v>28</v>
      </c>
      <c r="F9" s="51" t="n">
        <v>181</v>
      </c>
      <c r="H9" s="69" t="n">
        <v>1</v>
      </c>
      <c r="I9" s="29" t="s">
        <v>243</v>
      </c>
      <c r="J9" s="38"/>
      <c r="K9" s="31" t="str">
        <f aca="false">IF(ISBLANK(J9),"◯ Not attempted",IF(NOT(_xlfn.ISFORMULA(J9)),"✎ Use a formula",IF(ISNUMBER(J9),IF(ABS(J9-$M$9)&lt;0.005,"✓ Correct","✗ Check again"),"✗ Not a number")))</f>
        <v>◯ Not attempted</v>
      </c>
      <c r="L9" s="32" t="s">
        <v>244</v>
      </c>
      <c r="M9" s="39" t="n">
        <f aca="false">SUMPRODUCT($D$9:$D$48,$E$9:$E$48)/100</f>
        <v>1213005</v>
      </c>
    </row>
    <row r="10" customFormat="false" ht="33.75" hidden="false" customHeight="true" outlineLevel="0" collapsed="false">
      <c r="A10" s="33" t="s">
        <v>49</v>
      </c>
      <c r="B10" s="33" t="s">
        <v>45</v>
      </c>
      <c r="C10" s="33" t="s">
        <v>62</v>
      </c>
      <c r="D10" s="35" t="n">
        <v>191500</v>
      </c>
      <c r="E10" s="53" t="n">
        <v>12</v>
      </c>
      <c r="F10" s="53" t="n">
        <v>5</v>
      </c>
      <c r="H10" s="69" t="n">
        <v>2</v>
      </c>
      <c r="I10" s="29" t="s">
        <v>245</v>
      </c>
      <c r="J10" s="38"/>
      <c r="K10" s="31" t="str">
        <f aca="false">IF(ISBLANK(J10),"◯ Not attempted",IF(NOT(_xlfn.ISFORMULA(J10)),"✎ Use a formula",IF(ISNUMBER(J10),IF(ABS(J10-$M$10)&lt;0.005,"✓ Correct","✗ Check again"),"✗ Not a number")))</f>
        <v>◯ Not attempted</v>
      </c>
      <c r="L10" s="32" t="s">
        <v>246</v>
      </c>
      <c r="M10" s="39" t="n">
        <f aca="false">AVERAGEIF($F$9:$F$48,"&gt;90",$D$9:$D$48)</f>
        <v>192714.285714286</v>
      </c>
    </row>
    <row r="11" customFormat="false" ht="33.75" hidden="false" customHeight="true" outlineLevel="0" collapsed="false">
      <c r="A11" s="25" t="s">
        <v>53</v>
      </c>
      <c r="B11" s="25" t="s">
        <v>66</v>
      </c>
      <c r="C11" s="25" t="s">
        <v>72</v>
      </c>
      <c r="D11" s="27" t="n">
        <v>394000</v>
      </c>
      <c r="E11" s="51" t="n">
        <v>12</v>
      </c>
      <c r="F11" s="51" t="n">
        <v>81</v>
      </c>
      <c r="H11" s="69" t="n">
        <v>3</v>
      </c>
      <c r="I11" s="29" t="s">
        <v>247</v>
      </c>
      <c r="J11" s="70"/>
      <c r="K11" s="31" t="str">
        <f aca="false">IF(ISBLANK(J11),"◯ Not attempted",IF(NOT(_xlfn.ISFORMULA(J11)),"✎ Use a formula",IF(ISNUMBER(J11),IF(ABS(J11-$M$11)&lt;0.0005,"✓ Correct","✗ Check again"),"✗ Not a number")))</f>
        <v>◯ Not attempted</v>
      </c>
      <c r="L11" s="32" t="s">
        <v>248</v>
      </c>
      <c r="M11" s="71" t="n">
        <f aca="false">COUNTIF($F$9:$F$48,"&gt;90")/COUNTA($A$9:$A$48)</f>
        <v>0.525</v>
      </c>
    </row>
    <row r="12" customFormat="false" ht="33.75" hidden="false" customHeight="true" outlineLevel="0" collapsed="false">
      <c r="A12" s="33" t="s">
        <v>57</v>
      </c>
      <c r="B12" s="33" t="s">
        <v>113</v>
      </c>
      <c r="C12" s="33" t="s">
        <v>72</v>
      </c>
      <c r="D12" s="35" t="n">
        <v>41000</v>
      </c>
      <c r="E12" s="53" t="n">
        <v>28</v>
      </c>
      <c r="F12" s="53" t="n">
        <v>173</v>
      </c>
      <c r="H12" s="69" t="n">
        <v>4</v>
      </c>
      <c r="I12" s="29" t="s">
        <v>249</v>
      </c>
      <c r="J12" s="30"/>
      <c r="K12" s="31" t="str">
        <f aca="false">IF(ISBLANK(J12),"◯ Not attempted",IF(NOT(_xlfn.ISFORMULA(J12)),"✎ Use a formula",IF(ISNUMBER(J12),IF(ABS(J12-$M$12)&lt;0.005,"✓ Correct","✗ Check again"),"✗ Not a number")))</f>
        <v>◯ Not attempted</v>
      </c>
      <c r="L12" s="32" t="s">
        <v>250</v>
      </c>
      <c r="M12" s="0" t="n">
        <f aca="false">SUMIFS($D$9:$D$48,$C$9:$C$48,"Maharashtra",$E$9:$E$48,18)</f>
        <v>451000</v>
      </c>
    </row>
    <row r="13" customFormat="false" ht="33.75" hidden="false" customHeight="true" outlineLevel="0" collapsed="false">
      <c r="A13" s="25" t="s">
        <v>60</v>
      </c>
      <c r="B13" s="25" t="s">
        <v>113</v>
      </c>
      <c r="C13" s="25" t="s">
        <v>72</v>
      </c>
      <c r="D13" s="27" t="n">
        <v>365000</v>
      </c>
      <c r="E13" s="51" t="n">
        <v>5</v>
      </c>
      <c r="F13" s="51" t="n">
        <v>180</v>
      </c>
      <c r="H13" s="69" t="n">
        <v>5</v>
      </c>
      <c r="I13" s="29" t="s">
        <v>251</v>
      </c>
      <c r="J13" s="72"/>
      <c r="K13" s="31" t="str">
        <f aca="false">IF(ISBLANK(J13),"◯ Not attempted",IF(NOT(_xlfn.ISFORMULA(J13)),"✎ Use a formula",IF(UPPER(TRIM(J13&amp;""))=UPPER(TRIM($M$13&amp;"")),"✓ Correct","✗ Check again")))</f>
        <v>◯ Not attempted</v>
      </c>
      <c r="L13" s="32" t="s">
        <v>252</v>
      </c>
      <c r="M13" s="0" t="str">
        <f aca="false">INDEX($B$9:$B$48,MATCH(MAX($D$9:$D$48),$D$9:$D$48,0))</f>
        <v>Shree Enterprises</v>
      </c>
    </row>
    <row r="14" customFormat="false" ht="15" hidden="false" customHeight="false" outlineLevel="0" collapsed="false">
      <c r="A14" s="33" t="s">
        <v>65</v>
      </c>
      <c r="B14" s="33" t="s">
        <v>66</v>
      </c>
      <c r="C14" s="33" t="s">
        <v>54</v>
      </c>
      <c r="D14" s="35" t="n">
        <v>26000</v>
      </c>
      <c r="E14" s="53" t="n">
        <v>5</v>
      </c>
      <c r="F14" s="53" t="n">
        <v>95</v>
      </c>
    </row>
    <row r="15" customFormat="false" ht="15" hidden="false" customHeight="false" outlineLevel="0" collapsed="false">
      <c r="A15" s="25" t="s">
        <v>69</v>
      </c>
      <c r="B15" s="25" t="s">
        <v>118</v>
      </c>
      <c r="C15" s="25" t="s">
        <v>54</v>
      </c>
      <c r="D15" s="27" t="n">
        <v>173500</v>
      </c>
      <c r="E15" s="51" t="n">
        <v>5</v>
      </c>
      <c r="F15" s="51" t="n">
        <v>16</v>
      </c>
    </row>
    <row r="16" customFormat="false" ht="15" hidden="false" customHeight="false" outlineLevel="0" collapsed="false">
      <c r="A16" s="33" t="s">
        <v>70</v>
      </c>
      <c r="B16" s="33" t="s">
        <v>66</v>
      </c>
      <c r="C16" s="33" t="s">
        <v>85</v>
      </c>
      <c r="D16" s="35" t="n">
        <v>199000</v>
      </c>
      <c r="E16" s="53" t="n">
        <v>18</v>
      </c>
      <c r="F16" s="53" t="n">
        <v>59</v>
      </c>
    </row>
    <row r="17" customFormat="false" ht="15" hidden="false" customHeight="false" outlineLevel="0" collapsed="false">
      <c r="A17" s="25" t="s">
        <v>73</v>
      </c>
      <c r="B17" s="25" t="s">
        <v>45</v>
      </c>
      <c r="C17" s="25" t="s">
        <v>54</v>
      </c>
      <c r="D17" s="27" t="n">
        <v>95000</v>
      </c>
      <c r="E17" s="51" t="n">
        <v>12</v>
      </c>
      <c r="F17" s="51" t="n">
        <v>36</v>
      </c>
    </row>
    <row r="18" customFormat="false" ht="15" hidden="false" customHeight="false" outlineLevel="0" collapsed="false">
      <c r="A18" s="33" t="s">
        <v>74</v>
      </c>
      <c r="B18" s="33" t="s">
        <v>100</v>
      </c>
      <c r="C18" s="33" t="s">
        <v>46</v>
      </c>
      <c r="D18" s="35" t="n">
        <v>152000</v>
      </c>
      <c r="E18" s="53" t="n">
        <v>18</v>
      </c>
      <c r="F18" s="53" t="n">
        <v>150</v>
      </c>
    </row>
    <row r="19" customFormat="false" ht="15" hidden="false" customHeight="false" outlineLevel="0" collapsed="false">
      <c r="A19" s="25" t="s">
        <v>76</v>
      </c>
      <c r="B19" s="25" t="s">
        <v>93</v>
      </c>
      <c r="C19" s="25" t="s">
        <v>85</v>
      </c>
      <c r="D19" s="27" t="n">
        <v>79500</v>
      </c>
      <c r="E19" s="51" t="n">
        <v>18</v>
      </c>
      <c r="F19" s="51" t="n">
        <v>179</v>
      </c>
    </row>
    <row r="20" customFormat="false" ht="15" hidden="false" customHeight="false" outlineLevel="0" collapsed="false">
      <c r="A20" s="33" t="s">
        <v>78</v>
      </c>
      <c r="B20" s="33" t="s">
        <v>50</v>
      </c>
      <c r="C20" s="33" t="s">
        <v>46</v>
      </c>
      <c r="D20" s="35" t="n">
        <v>99500</v>
      </c>
      <c r="E20" s="53" t="n">
        <v>28</v>
      </c>
      <c r="F20" s="53" t="n">
        <v>173</v>
      </c>
    </row>
    <row r="21" customFormat="false" ht="15" hidden="false" customHeight="false" outlineLevel="0" collapsed="false">
      <c r="A21" s="25" t="s">
        <v>79</v>
      </c>
      <c r="B21" s="25" t="s">
        <v>118</v>
      </c>
      <c r="C21" s="25" t="s">
        <v>54</v>
      </c>
      <c r="D21" s="27" t="n">
        <v>150500</v>
      </c>
      <c r="E21" s="51" t="n">
        <v>18</v>
      </c>
      <c r="F21" s="51" t="n">
        <v>147</v>
      </c>
    </row>
    <row r="22" customFormat="false" ht="15" hidden="false" customHeight="false" outlineLevel="0" collapsed="false">
      <c r="A22" s="33" t="s">
        <v>80</v>
      </c>
      <c r="B22" s="33" t="s">
        <v>93</v>
      </c>
      <c r="C22" s="33" t="s">
        <v>54</v>
      </c>
      <c r="D22" s="35" t="n">
        <v>80500</v>
      </c>
      <c r="E22" s="53" t="n">
        <v>28</v>
      </c>
      <c r="F22" s="53" t="n">
        <v>173</v>
      </c>
    </row>
    <row r="23" customFormat="false" ht="15" hidden="false" customHeight="false" outlineLevel="0" collapsed="false">
      <c r="A23" s="25" t="s">
        <v>81</v>
      </c>
      <c r="B23" s="25" t="s">
        <v>100</v>
      </c>
      <c r="C23" s="25" t="s">
        <v>46</v>
      </c>
      <c r="D23" s="27" t="n">
        <v>406000</v>
      </c>
      <c r="E23" s="51" t="n">
        <v>12</v>
      </c>
      <c r="F23" s="51" t="n">
        <v>113</v>
      </c>
    </row>
    <row r="24" customFormat="false" ht="15" hidden="false" customHeight="false" outlineLevel="0" collapsed="false">
      <c r="A24" s="33" t="s">
        <v>82</v>
      </c>
      <c r="B24" s="33" t="s">
        <v>50</v>
      </c>
      <c r="C24" s="33" t="s">
        <v>85</v>
      </c>
      <c r="D24" s="35" t="n">
        <v>163500</v>
      </c>
      <c r="E24" s="53" t="n">
        <v>18</v>
      </c>
      <c r="F24" s="53" t="n">
        <v>52</v>
      </c>
    </row>
    <row r="25" customFormat="false" ht="15" hidden="false" customHeight="false" outlineLevel="0" collapsed="false">
      <c r="A25" s="25" t="s">
        <v>83</v>
      </c>
      <c r="B25" s="25" t="s">
        <v>113</v>
      </c>
      <c r="C25" s="25" t="s">
        <v>62</v>
      </c>
      <c r="D25" s="27" t="n">
        <v>406000</v>
      </c>
      <c r="E25" s="51" t="n">
        <v>12</v>
      </c>
      <c r="F25" s="51" t="n">
        <v>21</v>
      </c>
    </row>
    <row r="26" customFormat="false" ht="15" hidden="false" customHeight="false" outlineLevel="0" collapsed="false">
      <c r="A26" s="33" t="s">
        <v>86</v>
      </c>
      <c r="B26" s="33" t="s">
        <v>75</v>
      </c>
      <c r="C26" s="33" t="s">
        <v>54</v>
      </c>
      <c r="D26" s="35" t="n">
        <v>468500</v>
      </c>
      <c r="E26" s="53" t="n">
        <v>18</v>
      </c>
      <c r="F26" s="53" t="n">
        <v>40</v>
      </c>
    </row>
    <row r="27" customFormat="false" ht="15" hidden="false" customHeight="false" outlineLevel="0" collapsed="false">
      <c r="A27" s="25" t="s">
        <v>87</v>
      </c>
      <c r="B27" s="25" t="s">
        <v>50</v>
      </c>
      <c r="C27" s="25" t="s">
        <v>54</v>
      </c>
      <c r="D27" s="27" t="n">
        <v>381000</v>
      </c>
      <c r="E27" s="51" t="n">
        <v>12</v>
      </c>
      <c r="F27" s="51" t="n">
        <v>63</v>
      </c>
    </row>
    <row r="28" customFormat="false" ht="15" hidden="false" customHeight="false" outlineLevel="0" collapsed="false">
      <c r="A28" s="33" t="s">
        <v>88</v>
      </c>
      <c r="B28" s="33" t="s">
        <v>100</v>
      </c>
      <c r="C28" s="33" t="s">
        <v>85</v>
      </c>
      <c r="D28" s="35" t="n">
        <v>9000</v>
      </c>
      <c r="E28" s="53" t="n">
        <v>18</v>
      </c>
      <c r="F28" s="53" t="n">
        <v>163</v>
      </c>
    </row>
    <row r="29" customFormat="false" ht="15" hidden="false" customHeight="false" outlineLevel="0" collapsed="false">
      <c r="A29" s="25" t="s">
        <v>89</v>
      </c>
      <c r="B29" s="25" t="s">
        <v>71</v>
      </c>
      <c r="C29" s="25" t="s">
        <v>46</v>
      </c>
      <c r="D29" s="27" t="n">
        <v>48000</v>
      </c>
      <c r="E29" s="51" t="n">
        <v>28</v>
      </c>
      <c r="F29" s="51" t="n">
        <v>89</v>
      </c>
    </row>
    <row r="30" customFormat="false" ht="15" hidden="false" customHeight="false" outlineLevel="0" collapsed="false">
      <c r="A30" s="33" t="s">
        <v>90</v>
      </c>
      <c r="B30" s="33" t="s">
        <v>71</v>
      </c>
      <c r="C30" s="33" t="s">
        <v>85</v>
      </c>
      <c r="D30" s="35" t="n">
        <v>201500</v>
      </c>
      <c r="E30" s="53" t="n">
        <v>28</v>
      </c>
      <c r="F30" s="53" t="n">
        <v>185</v>
      </c>
    </row>
    <row r="31" customFormat="false" ht="15" hidden="false" customHeight="false" outlineLevel="0" collapsed="false">
      <c r="A31" s="25" t="s">
        <v>91</v>
      </c>
      <c r="B31" s="25" t="s">
        <v>93</v>
      </c>
      <c r="C31" s="25" t="s">
        <v>54</v>
      </c>
      <c r="D31" s="27" t="n">
        <v>218500</v>
      </c>
      <c r="E31" s="51" t="n">
        <v>5</v>
      </c>
      <c r="F31" s="51" t="n">
        <v>149</v>
      </c>
    </row>
    <row r="32" customFormat="false" ht="15" hidden="false" customHeight="false" outlineLevel="0" collapsed="false">
      <c r="A32" s="33" t="s">
        <v>92</v>
      </c>
      <c r="B32" s="33" t="s">
        <v>61</v>
      </c>
      <c r="C32" s="33" t="s">
        <v>85</v>
      </c>
      <c r="D32" s="35" t="n">
        <v>163000</v>
      </c>
      <c r="E32" s="53" t="n">
        <v>28</v>
      </c>
      <c r="F32" s="53" t="n">
        <v>199</v>
      </c>
    </row>
    <row r="33" customFormat="false" ht="15" hidden="false" customHeight="false" outlineLevel="0" collapsed="false">
      <c r="A33" s="25" t="s">
        <v>94</v>
      </c>
      <c r="B33" s="25" t="s">
        <v>71</v>
      </c>
      <c r="C33" s="25" t="s">
        <v>85</v>
      </c>
      <c r="D33" s="27" t="n">
        <v>107500</v>
      </c>
      <c r="E33" s="51" t="n">
        <v>12</v>
      </c>
      <c r="F33" s="51" t="n">
        <v>7</v>
      </c>
    </row>
    <row r="34" customFormat="false" ht="15" hidden="false" customHeight="false" outlineLevel="0" collapsed="false">
      <c r="A34" s="33" t="s">
        <v>95</v>
      </c>
      <c r="B34" s="33" t="s">
        <v>66</v>
      </c>
      <c r="C34" s="33" t="s">
        <v>62</v>
      </c>
      <c r="D34" s="35" t="n">
        <v>87500</v>
      </c>
      <c r="E34" s="53" t="n">
        <v>5</v>
      </c>
      <c r="F34" s="53" t="n">
        <v>23</v>
      </c>
    </row>
    <row r="35" customFormat="false" ht="15" hidden="false" customHeight="false" outlineLevel="0" collapsed="false">
      <c r="A35" s="25" t="s">
        <v>96</v>
      </c>
      <c r="B35" s="25" t="s">
        <v>84</v>
      </c>
      <c r="C35" s="25" t="s">
        <v>46</v>
      </c>
      <c r="D35" s="27" t="n">
        <v>275000</v>
      </c>
      <c r="E35" s="51" t="n">
        <v>18</v>
      </c>
      <c r="F35" s="51" t="n">
        <v>50</v>
      </c>
    </row>
    <row r="36" customFormat="false" ht="15" hidden="false" customHeight="false" outlineLevel="0" collapsed="false">
      <c r="A36" s="33" t="s">
        <v>97</v>
      </c>
      <c r="B36" s="33" t="s">
        <v>66</v>
      </c>
      <c r="C36" s="33" t="s">
        <v>72</v>
      </c>
      <c r="D36" s="35" t="n">
        <v>44500</v>
      </c>
      <c r="E36" s="53" t="n">
        <v>12</v>
      </c>
      <c r="F36" s="53" t="n">
        <v>74</v>
      </c>
    </row>
    <row r="37" customFormat="false" ht="15" hidden="false" customHeight="false" outlineLevel="0" collapsed="false">
      <c r="A37" s="25" t="s">
        <v>98</v>
      </c>
      <c r="B37" s="25" t="s">
        <v>77</v>
      </c>
      <c r="C37" s="25" t="s">
        <v>54</v>
      </c>
      <c r="D37" s="27" t="n">
        <v>86500</v>
      </c>
      <c r="E37" s="51" t="n">
        <v>5</v>
      </c>
      <c r="F37" s="51" t="n">
        <v>194</v>
      </c>
    </row>
    <row r="38" customFormat="false" ht="15" hidden="false" customHeight="false" outlineLevel="0" collapsed="false">
      <c r="A38" s="33" t="s">
        <v>99</v>
      </c>
      <c r="B38" s="33" t="s">
        <v>77</v>
      </c>
      <c r="C38" s="33" t="s">
        <v>62</v>
      </c>
      <c r="D38" s="35" t="n">
        <v>334000</v>
      </c>
      <c r="E38" s="53" t="n">
        <v>18</v>
      </c>
      <c r="F38" s="53" t="n">
        <v>12</v>
      </c>
    </row>
    <row r="39" customFormat="false" ht="15" hidden="false" customHeight="false" outlineLevel="0" collapsed="false">
      <c r="A39" s="25" t="s">
        <v>253</v>
      </c>
      <c r="B39" s="25" t="s">
        <v>113</v>
      </c>
      <c r="C39" s="25" t="s">
        <v>62</v>
      </c>
      <c r="D39" s="27" t="n">
        <v>316500</v>
      </c>
      <c r="E39" s="51" t="n">
        <v>5</v>
      </c>
      <c r="F39" s="51" t="n">
        <v>105</v>
      </c>
    </row>
    <row r="40" customFormat="false" ht="15" hidden="false" customHeight="false" outlineLevel="0" collapsed="false">
      <c r="A40" s="33" t="s">
        <v>254</v>
      </c>
      <c r="B40" s="33" t="s">
        <v>77</v>
      </c>
      <c r="C40" s="33" t="s">
        <v>85</v>
      </c>
      <c r="D40" s="35" t="n">
        <v>92500</v>
      </c>
      <c r="E40" s="53" t="n">
        <v>28</v>
      </c>
      <c r="F40" s="53" t="n">
        <v>171</v>
      </c>
    </row>
    <row r="41" customFormat="false" ht="15" hidden="false" customHeight="false" outlineLevel="0" collapsed="false">
      <c r="A41" s="25" t="s">
        <v>255</v>
      </c>
      <c r="B41" s="25" t="s">
        <v>93</v>
      </c>
      <c r="C41" s="25" t="s">
        <v>46</v>
      </c>
      <c r="D41" s="27" t="n">
        <v>28500</v>
      </c>
      <c r="E41" s="51" t="n">
        <v>12</v>
      </c>
      <c r="F41" s="51" t="n">
        <v>35</v>
      </c>
    </row>
    <row r="42" customFormat="false" ht="15" hidden="false" customHeight="false" outlineLevel="0" collapsed="false">
      <c r="A42" s="33" t="s">
        <v>256</v>
      </c>
      <c r="B42" s="33" t="s">
        <v>66</v>
      </c>
      <c r="C42" s="33" t="s">
        <v>62</v>
      </c>
      <c r="D42" s="35" t="n">
        <v>49000</v>
      </c>
      <c r="E42" s="53" t="n">
        <v>28</v>
      </c>
      <c r="F42" s="53" t="n">
        <v>40</v>
      </c>
    </row>
    <row r="43" customFormat="false" ht="15" hidden="false" customHeight="false" outlineLevel="0" collapsed="false">
      <c r="A43" s="25" t="s">
        <v>257</v>
      </c>
      <c r="B43" s="25" t="s">
        <v>84</v>
      </c>
      <c r="C43" s="25" t="s">
        <v>72</v>
      </c>
      <c r="D43" s="27" t="n">
        <v>200500</v>
      </c>
      <c r="E43" s="51" t="n">
        <v>18</v>
      </c>
      <c r="F43" s="51" t="n">
        <v>130</v>
      </c>
    </row>
    <row r="44" customFormat="false" ht="15" hidden="false" customHeight="false" outlineLevel="0" collapsed="false">
      <c r="A44" s="33" t="s">
        <v>258</v>
      </c>
      <c r="B44" s="33" t="s">
        <v>75</v>
      </c>
      <c r="C44" s="33" t="s">
        <v>85</v>
      </c>
      <c r="D44" s="35" t="n">
        <v>269000</v>
      </c>
      <c r="E44" s="53" t="n">
        <v>5</v>
      </c>
      <c r="F44" s="53" t="n">
        <v>106</v>
      </c>
    </row>
    <row r="45" customFormat="false" ht="15" hidden="false" customHeight="false" outlineLevel="0" collapsed="false">
      <c r="A45" s="25" t="s">
        <v>259</v>
      </c>
      <c r="B45" s="25" t="s">
        <v>100</v>
      </c>
      <c r="C45" s="25" t="s">
        <v>62</v>
      </c>
      <c r="D45" s="27" t="n">
        <v>339500</v>
      </c>
      <c r="E45" s="51" t="n">
        <v>28</v>
      </c>
      <c r="F45" s="51" t="n">
        <v>172</v>
      </c>
    </row>
    <row r="46" customFormat="false" ht="15" hidden="false" customHeight="false" outlineLevel="0" collapsed="false">
      <c r="A46" s="33" t="s">
        <v>260</v>
      </c>
      <c r="B46" s="33" t="s">
        <v>77</v>
      </c>
      <c r="C46" s="33" t="s">
        <v>62</v>
      </c>
      <c r="D46" s="35" t="n">
        <v>388000</v>
      </c>
      <c r="E46" s="53" t="n">
        <v>18</v>
      </c>
      <c r="F46" s="53" t="n">
        <v>136</v>
      </c>
    </row>
    <row r="47" customFormat="false" ht="15" hidden="false" customHeight="false" outlineLevel="0" collapsed="false">
      <c r="A47" s="25" t="s">
        <v>261</v>
      </c>
      <c r="B47" s="25" t="s">
        <v>100</v>
      </c>
      <c r="C47" s="25" t="s">
        <v>46</v>
      </c>
      <c r="D47" s="27" t="n">
        <v>239000</v>
      </c>
      <c r="E47" s="51" t="n">
        <v>5</v>
      </c>
      <c r="F47" s="51" t="n">
        <v>48</v>
      </c>
    </row>
    <row r="48" customFormat="false" ht="15" hidden="false" customHeight="false" outlineLevel="0" collapsed="false">
      <c r="A48" s="33" t="s">
        <v>262</v>
      </c>
      <c r="B48" s="33" t="s">
        <v>77</v>
      </c>
      <c r="C48" s="33" t="s">
        <v>85</v>
      </c>
      <c r="D48" s="35" t="n">
        <v>236500</v>
      </c>
      <c r="E48" s="53" t="n">
        <v>12</v>
      </c>
      <c r="F48" s="53" t="n">
        <v>53</v>
      </c>
    </row>
  </sheetData>
  <mergeCells count="3">
    <mergeCell ref="A1:L1"/>
    <mergeCell ref="A2:L2"/>
    <mergeCell ref="A3:L5"/>
  </mergeCells>
  <conditionalFormatting sqref="K9:K13">
    <cfRule type="expression" priority="2" aboveAverage="0" equalAverage="0" bottom="0" percent="0" rank="0" text="" dxfId="0">
      <formula>LEFT(K9,1)="✓"</formula>
    </cfRule>
    <cfRule type="expression" priority="3" aboveAverage="0" equalAverage="0" bottom="0" percent="0" rank="0" text="" dxfId="1">
      <formula>LEFT(K9,1)="✗"</formula>
    </cfRule>
    <cfRule type="expression" priority="4" aboveAverage="0" equalAverage="0" bottom="0" percent="0" rank="0" text="" dxfId="2">
      <formula>LEFT(K9,1)="✎"</formula>
    </cfRule>
    <cfRule type="expression" priority="5" aboveAverage="0" equalAverage="0" bottom="0" percent="0" rank="0" text="" dxfId="3">
      <formula>LEFT(K9,1)="◯"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44"/>
    <col collapsed="false" customWidth="true" hidden="false" outlineLevel="0" max="6" min="6" style="0" width="46"/>
  </cols>
  <sheetData>
    <row r="1" customFormat="false" ht="30" hidden="false" customHeight="true" outlineLevel="0" collapsed="false">
      <c r="A1" s="73" t="s">
        <v>263</v>
      </c>
      <c r="B1" s="73"/>
      <c r="C1" s="73"/>
      <c r="D1" s="73"/>
      <c r="E1" s="73"/>
      <c r="F1" s="73"/>
    </row>
    <row r="2" customFormat="false" ht="15" hidden="false" customHeight="false" outlineLevel="0" collapsed="false">
      <c r="A2" s="74" t="s">
        <v>264</v>
      </c>
    </row>
    <row r="4" customFormat="false" ht="21.75" hidden="false" customHeight="true" outlineLevel="0" collapsed="false">
      <c r="A4" s="75" t="s">
        <v>265</v>
      </c>
      <c r="B4" s="75"/>
      <c r="C4" s="75"/>
      <c r="D4" s="75"/>
      <c r="E4" s="75"/>
      <c r="F4" s="75"/>
    </row>
    <row r="5" customFormat="false" ht="15" hidden="false" customHeight="false" outlineLevel="0" collapsed="false">
      <c r="A5" s="76" t="s">
        <v>14</v>
      </c>
      <c r="B5" s="76" t="s">
        <v>40</v>
      </c>
      <c r="C5" s="76" t="s">
        <v>266</v>
      </c>
      <c r="D5" s="76" t="s">
        <v>267</v>
      </c>
      <c r="E5" s="76" t="s">
        <v>268</v>
      </c>
      <c r="F5" s="76" t="s">
        <v>269</v>
      </c>
    </row>
    <row r="6" customFormat="false" ht="30" hidden="false" customHeight="true" outlineLevel="0" collapsed="false">
      <c r="A6" s="77" t="n">
        <v>1</v>
      </c>
      <c r="B6" s="77" t="s">
        <v>47</v>
      </c>
      <c r="C6" s="77" t="s">
        <v>270</v>
      </c>
      <c r="D6" s="78" t="s">
        <v>271</v>
      </c>
      <c r="E6" s="79" t="s">
        <v>272</v>
      </c>
      <c r="F6" s="77" t="s">
        <v>273</v>
      </c>
    </row>
    <row r="7" customFormat="false" ht="42" hidden="false" customHeight="true" outlineLevel="0" collapsed="false">
      <c r="A7" s="77" t="n">
        <v>2</v>
      </c>
      <c r="B7" s="77" t="s">
        <v>51</v>
      </c>
      <c r="C7" s="77" t="s">
        <v>274</v>
      </c>
      <c r="D7" s="78" t="s">
        <v>275</v>
      </c>
      <c r="E7" s="79" t="s">
        <v>276</v>
      </c>
      <c r="F7" s="77" t="s">
        <v>277</v>
      </c>
    </row>
    <row r="8" customFormat="false" ht="30" hidden="false" customHeight="true" outlineLevel="0" collapsed="false">
      <c r="A8" s="77" t="n">
        <v>3</v>
      </c>
      <c r="B8" s="77" t="s">
        <v>55</v>
      </c>
      <c r="C8" s="77" t="s">
        <v>278</v>
      </c>
      <c r="D8" s="78" t="s">
        <v>279</v>
      </c>
      <c r="E8" s="79" t="s">
        <v>280</v>
      </c>
      <c r="F8" s="77" t="s">
        <v>281</v>
      </c>
    </row>
    <row r="9" customFormat="false" ht="30" hidden="false" customHeight="true" outlineLevel="0" collapsed="false">
      <c r="A9" s="77" t="n">
        <v>4</v>
      </c>
      <c r="B9" s="77" t="s">
        <v>58</v>
      </c>
      <c r="C9" s="77" t="s">
        <v>282</v>
      </c>
      <c r="D9" s="78" t="s">
        <v>283</v>
      </c>
      <c r="E9" s="79" t="s">
        <v>284</v>
      </c>
      <c r="F9" s="77"/>
    </row>
    <row r="10" customFormat="false" ht="30" hidden="false" customHeight="true" outlineLevel="0" collapsed="false">
      <c r="A10" s="77" t="n">
        <v>5</v>
      </c>
      <c r="B10" s="77" t="s">
        <v>63</v>
      </c>
      <c r="C10" s="77" t="s">
        <v>285</v>
      </c>
      <c r="D10" s="78" t="s">
        <v>286</v>
      </c>
      <c r="E10" s="79" t="s">
        <v>287</v>
      </c>
      <c r="F10" s="77"/>
    </row>
    <row r="11" customFormat="false" ht="42" hidden="false" customHeight="true" outlineLevel="0" collapsed="false">
      <c r="A11" s="77" t="n">
        <v>6</v>
      </c>
      <c r="B11" s="77" t="s">
        <v>67</v>
      </c>
      <c r="C11" s="77" t="s">
        <v>288</v>
      </c>
      <c r="D11" s="78" t="s">
        <v>289</v>
      </c>
      <c r="E11" s="79" t="s">
        <v>290</v>
      </c>
      <c r="F11" s="77" t="s">
        <v>291</v>
      </c>
    </row>
    <row r="13" customFormat="false" ht="21.75" hidden="false" customHeight="true" outlineLevel="0" collapsed="false">
      <c r="A13" s="80" t="s">
        <v>292</v>
      </c>
      <c r="B13" s="80"/>
      <c r="C13" s="80"/>
      <c r="D13" s="80"/>
      <c r="E13" s="80"/>
      <c r="F13" s="80"/>
    </row>
    <row r="14" customFormat="false" ht="15" hidden="false" customHeight="false" outlineLevel="0" collapsed="false">
      <c r="A14" s="76" t="s">
        <v>14</v>
      </c>
      <c r="B14" s="76" t="s">
        <v>40</v>
      </c>
      <c r="C14" s="76" t="s">
        <v>266</v>
      </c>
      <c r="D14" s="76" t="s">
        <v>267</v>
      </c>
      <c r="E14" s="76" t="s">
        <v>268</v>
      </c>
      <c r="F14" s="76" t="s">
        <v>269</v>
      </c>
    </row>
    <row r="15" customFormat="false" ht="42" hidden="false" customHeight="true" outlineLevel="0" collapsed="false">
      <c r="A15" s="77" t="n">
        <v>1</v>
      </c>
      <c r="B15" s="77" t="s">
        <v>107</v>
      </c>
      <c r="C15" s="77" t="s">
        <v>293</v>
      </c>
      <c r="D15" s="78" t="s">
        <v>294</v>
      </c>
      <c r="E15" s="79" t="s">
        <v>295</v>
      </c>
      <c r="F15" s="77" t="s">
        <v>296</v>
      </c>
    </row>
    <row r="16" customFormat="false" ht="30" hidden="false" customHeight="true" outlineLevel="0" collapsed="false">
      <c r="A16" s="77" t="n">
        <v>2</v>
      </c>
      <c r="B16" s="77" t="s">
        <v>110</v>
      </c>
      <c r="C16" s="77" t="s">
        <v>297</v>
      </c>
      <c r="D16" s="78" t="s">
        <v>298</v>
      </c>
      <c r="E16" s="79" t="s">
        <v>299</v>
      </c>
      <c r="F16" s="77"/>
    </row>
    <row r="17" customFormat="false" ht="30" hidden="false" customHeight="true" outlineLevel="0" collapsed="false">
      <c r="A17" s="77" t="n">
        <v>3</v>
      </c>
      <c r="B17" s="77" t="s">
        <v>114</v>
      </c>
      <c r="C17" s="77" t="s">
        <v>278</v>
      </c>
      <c r="D17" s="78" t="s">
        <v>300</v>
      </c>
      <c r="E17" s="79" t="s">
        <v>301</v>
      </c>
      <c r="F17" s="77" t="s">
        <v>302</v>
      </c>
    </row>
    <row r="18" customFormat="false" ht="30" hidden="false" customHeight="true" outlineLevel="0" collapsed="false">
      <c r="A18" s="77" t="n">
        <v>4</v>
      </c>
      <c r="B18" s="77" t="s">
        <v>116</v>
      </c>
      <c r="C18" s="77" t="s">
        <v>282</v>
      </c>
      <c r="D18" s="78" t="s">
        <v>303</v>
      </c>
      <c r="E18" s="79"/>
      <c r="F18" s="77" t="s">
        <v>304</v>
      </c>
    </row>
    <row r="20" customFormat="false" ht="21.75" hidden="false" customHeight="true" outlineLevel="0" collapsed="false">
      <c r="A20" s="80" t="s">
        <v>305</v>
      </c>
      <c r="B20" s="80"/>
      <c r="C20" s="80"/>
      <c r="D20" s="80"/>
      <c r="E20" s="80"/>
      <c r="F20" s="80"/>
    </row>
    <row r="21" customFormat="false" ht="15" hidden="false" customHeight="false" outlineLevel="0" collapsed="false">
      <c r="A21" s="76" t="s">
        <v>14</v>
      </c>
      <c r="B21" s="76" t="s">
        <v>40</v>
      </c>
      <c r="C21" s="76" t="s">
        <v>266</v>
      </c>
      <c r="D21" s="76" t="s">
        <v>267</v>
      </c>
      <c r="E21" s="76" t="s">
        <v>268</v>
      </c>
      <c r="F21" s="76" t="s">
        <v>269</v>
      </c>
    </row>
    <row r="22" customFormat="false" ht="30" hidden="false" customHeight="true" outlineLevel="0" collapsed="false">
      <c r="A22" s="77" t="n">
        <v>1</v>
      </c>
      <c r="B22" s="77" t="s">
        <v>126</v>
      </c>
      <c r="C22" s="77" t="s">
        <v>297</v>
      </c>
      <c r="D22" s="78" t="s">
        <v>306</v>
      </c>
      <c r="E22" s="79" t="s">
        <v>307</v>
      </c>
      <c r="F22" s="77" t="s">
        <v>308</v>
      </c>
    </row>
    <row r="23" customFormat="false" ht="30" hidden="false" customHeight="true" outlineLevel="0" collapsed="false">
      <c r="A23" s="77" t="n">
        <v>2</v>
      </c>
      <c r="B23" s="77" t="s">
        <v>128</v>
      </c>
      <c r="C23" s="77" t="s">
        <v>309</v>
      </c>
      <c r="D23" s="78" t="s">
        <v>310</v>
      </c>
      <c r="E23" s="79" t="s">
        <v>311</v>
      </c>
      <c r="F23" s="77"/>
    </row>
    <row r="24" customFormat="false" ht="42" hidden="false" customHeight="true" outlineLevel="0" collapsed="false">
      <c r="A24" s="77" t="n">
        <v>3</v>
      </c>
      <c r="B24" s="77" t="s">
        <v>130</v>
      </c>
      <c r="C24" s="77" t="s">
        <v>312</v>
      </c>
      <c r="D24" s="78" t="s">
        <v>313</v>
      </c>
      <c r="E24" s="79" t="s">
        <v>314</v>
      </c>
      <c r="F24" s="77" t="s">
        <v>315</v>
      </c>
    </row>
    <row r="25" customFormat="false" ht="42" hidden="false" customHeight="true" outlineLevel="0" collapsed="false">
      <c r="A25" s="77" t="n">
        <v>4</v>
      </c>
      <c r="B25" s="77" t="s">
        <v>133</v>
      </c>
      <c r="C25" s="77" t="s">
        <v>316</v>
      </c>
      <c r="D25" s="78" t="s">
        <v>317</v>
      </c>
      <c r="E25" s="79" t="s">
        <v>318</v>
      </c>
      <c r="F25" s="77"/>
    </row>
    <row r="26" customFormat="false" ht="30" hidden="false" customHeight="true" outlineLevel="0" collapsed="false">
      <c r="A26" s="77" t="n">
        <v>5</v>
      </c>
      <c r="B26" s="77" t="s">
        <v>135</v>
      </c>
      <c r="C26" s="77" t="s">
        <v>319</v>
      </c>
      <c r="D26" s="78" t="s">
        <v>320</v>
      </c>
      <c r="E26" s="79" t="s">
        <v>321</v>
      </c>
      <c r="F26" s="77"/>
    </row>
    <row r="28" customFormat="false" ht="21.75" hidden="false" customHeight="true" outlineLevel="0" collapsed="false">
      <c r="A28" s="81" t="s">
        <v>322</v>
      </c>
      <c r="B28" s="81"/>
      <c r="C28" s="81"/>
      <c r="D28" s="81"/>
      <c r="E28" s="81"/>
      <c r="F28" s="81"/>
    </row>
    <row r="29" customFormat="false" ht="15" hidden="false" customHeight="false" outlineLevel="0" collapsed="false">
      <c r="A29" s="76" t="s">
        <v>14</v>
      </c>
      <c r="B29" s="76" t="s">
        <v>40</v>
      </c>
      <c r="C29" s="76" t="s">
        <v>266</v>
      </c>
      <c r="D29" s="76" t="s">
        <v>267</v>
      </c>
      <c r="E29" s="76" t="s">
        <v>268</v>
      </c>
      <c r="F29" s="76" t="s">
        <v>269</v>
      </c>
    </row>
    <row r="30" customFormat="false" ht="30" hidden="false" customHeight="true" outlineLevel="0" collapsed="false">
      <c r="A30" s="77" t="n">
        <v>1</v>
      </c>
      <c r="B30" s="77" t="s">
        <v>147</v>
      </c>
      <c r="C30" s="77" t="s">
        <v>297</v>
      </c>
      <c r="D30" s="78" t="s">
        <v>323</v>
      </c>
      <c r="E30" s="79"/>
      <c r="F30" s="77"/>
    </row>
    <row r="31" customFormat="false" ht="30" hidden="false" customHeight="true" outlineLevel="0" collapsed="false">
      <c r="A31" s="77" t="n">
        <v>2</v>
      </c>
      <c r="B31" s="77" t="s">
        <v>150</v>
      </c>
      <c r="C31" s="77" t="s">
        <v>312</v>
      </c>
      <c r="D31" s="78" t="s">
        <v>324</v>
      </c>
      <c r="E31" s="79" t="s">
        <v>325</v>
      </c>
      <c r="F31" s="77" t="s">
        <v>326</v>
      </c>
    </row>
    <row r="32" customFormat="false" ht="30" hidden="false" customHeight="true" outlineLevel="0" collapsed="false">
      <c r="A32" s="77" t="n">
        <v>3</v>
      </c>
      <c r="B32" s="77" t="s">
        <v>153</v>
      </c>
      <c r="C32" s="77" t="s">
        <v>327</v>
      </c>
      <c r="D32" s="78" t="s">
        <v>328</v>
      </c>
      <c r="E32" s="79"/>
      <c r="F32" s="77"/>
    </row>
    <row r="33" customFormat="false" ht="30" hidden="false" customHeight="true" outlineLevel="0" collapsed="false">
      <c r="A33" s="77" t="n">
        <v>4</v>
      </c>
      <c r="B33" s="77" t="s">
        <v>156</v>
      </c>
      <c r="C33" s="77" t="s">
        <v>316</v>
      </c>
      <c r="D33" s="78" t="s">
        <v>329</v>
      </c>
      <c r="E33" s="79" t="s">
        <v>330</v>
      </c>
      <c r="F33" s="77"/>
    </row>
    <row r="34" customFormat="false" ht="42" hidden="false" customHeight="true" outlineLevel="0" collapsed="false">
      <c r="A34" s="77" t="n">
        <v>5</v>
      </c>
      <c r="B34" s="77" t="s">
        <v>159</v>
      </c>
      <c r="C34" s="77" t="s">
        <v>319</v>
      </c>
      <c r="D34" s="78" t="s">
        <v>331</v>
      </c>
      <c r="E34" s="79" t="s">
        <v>332</v>
      </c>
      <c r="F34" s="77"/>
    </row>
    <row r="35" customFormat="false" ht="30" hidden="false" customHeight="true" outlineLevel="0" collapsed="false">
      <c r="A35" s="77" t="n">
        <v>6</v>
      </c>
      <c r="B35" s="77" t="s">
        <v>162</v>
      </c>
      <c r="C35" s="77" t="s">
        <v>333</v>
      </c>
      <c r="D35" s="78" t="s">
        <v>334</v>
      </c>
      <c r="E35" s="79"/>
      <c r="F35" s="77"/>
    </row>
    <row r="37" customFormat="false" ht="21.75" hidden="false" customHeight="true" outlineLevel="0" collapsed="false">
      <c r="A37" s="81" t="s">
        <v>335</v>
      </c>
      <c r="B37" s="81"/>
      <c r="C37" s="81"/>
      <c r="D37" s="81"/>
      <c r="E37" s="81"/>
      <c r="F37" s="81"/>
    </row>
    <row r="38" customFormat="false" ht="15" hidden="false" customHeight="false" outlineLevel="0" collapsed="false">
      <c r="A38" s="76" t="s">
        <v>14</v>
      </c>
      <c r="B38" s="76" t="s">
        <v>40</v>
      </c>
      <c r="C38" s="76" t="s">
        <v>266</v>
      </c>
      <c r="D38" s="76" t="s">
        <v>267</v>
      </c>
      <c r="E38" s="76" t="s">
        <v>268</v>
      </c>
      <c r="F38" s="76" t="s">
        <v>269</v>
      </c>
    </row>
    <row r="39" customFormat="false" ht="30" hidden="false" customHeight="true" outlineLevel="0" collapsed="false">
      <c r="A39" s="77" t="n">
        <v>1</v>
      </c>
      <c r="B39" s="77" t="s">
        <v>188</v>
      </c>
      <c r="C39" s="77" t="s">
        <v>293</v>
      </c>
      <c r="D39" s="78" t="s">
        <v>336</v>
      </c>
      <c r="E39" s="79"/>
      <c r="F39" s="77" t="s">
        <v>337</v>
      </c>
    </row>
    <row r="40" customFormat="false" ht="30" hidden="false" customHeight="true" outlineLevel="0" collapsed="false">
      <c r="A40" s="77" t="n">
        <v>2</v>
      </c>
      <c r="B40" s="77" t="s">
        <v>193</v>
      </c>
      <c r="C40" s="77" t="s">
        <v>297</v>
      </c>
      <c r="D40" s="78" t="s">
        <v>338</v>
      </c>
      <c r="E40" s="79" t="s">
        <v>339</v>
      </c>
      <c r="F40" s="77"/>
    </row>
    <row r="41" customFormat="false" ht="30" hidden="false" customHeight="true" outlineLevel="0" collapsed="false">
      <c r="A41" s="77" t="n">
        <v>3</v>
      </c>
      <c r="B41" s="77" t="s">
        <v>197</v>
      </c>
      <c r="C41" s="77" t="s">
        <v>312</v>
      </c>
      <c r="D41" s="78" t="s">
        <v>340</v>
      </c>
      <c r="E41" s="79"/>
      <c r="F41" s="77"/>
    </row>
    <row r="42" customFormat="false" ht="30" hidden="false" customHeight="true" outlineLevel="0" collapsed="false">
      <c r="A42" s="77" t="n">
        <v>4</v>
      </c>
      <c r="B42" s="77" t="s">
        <v>201</v>
      </c>
      <c r="C42" s="77" t="s">
        <v>316</v>
      </c>
      <c r="D42" s="78" t="s">
        <v>341</v>
      </c>
      <c r="E42" s="79" t="s">
        <v>342</v>
      </c>
      <c r="F42" s="77"/>
    </row>
    <row r="43" customFormat="false" ht="30" hidden="false" customHeight="true" outlineLevel="0" collapsed="false">
      <c r="A43" s="77" t="n">
        <v>5</v>
      </c>
      <c r="B43" s="77" t="s">
        <v>205</v>
      </c>
      <c r="C43" s="77" t="s">
        <v>319</v>
      </c>
      <c r="D43" s="78" t="s">
        <v>343</v>
      </c>
      <c r="E43" s="79"/>
      <c r="F43" s="77"/>
    </row>
    <row r="45" customFormat="false" ht="21.75" hidden="false" customHeight="true" outlineLevel="0" collapsed="false">
      <c r="A45" s="82" t="s">
        <v>344</v>
      </c>
      <c r="B45" s="82"/>
      <c r="C45" s="82"/>
      <c r="D45" s="82"/>
      <c r="E45" s="82"/>
      <c r="F45" s="82"/>
    </row>
    <row r="46" customFormat="false" ht="15" hidden="false" customHeight="false" outlineLevel="0" collapsed="false">
      <c r="A46" s="76" t="s">
        <v>14</v>
      </c>
      <c r="B46" s="76" t="s">
        <v>40</v>
      </c>
      <c r="C46" s="76" t="s">
        <v>266</v>
      </c>
      <c r="D46" s="76" t="s">
        <v>267</v>
      </c>
      <c r="E46" s="76" t="s">
        <v>268</v>
      </c>
      <c r="F46" s="76" t="s">
        <v>269</v>
      </c>
    </row>
    <row r="47" customFormat="false" ht="30" hidden="false" customHeight="true" outlineLevel="0" collapsed="false">
      <c r="A47" s="77" t="n">
        <v>1</v>
      </c>
      <c r="B47" s="77" t="s">
        <v>243</v>
      </c>
      <c r="C47" s="77" t="s">
        <v>345</v>
      </c>
      <c r="D47" s="78" t="s">
        <v>346</v>
      </c>
      <c r="E47" s="79" t="s">
        <v>347</v>
      </c>
      <c r="F47" s="77"/>
    </row>
    <row r="48" customFormat="false" ht="30" hidden="false" customHeight="true" outlineLevel="0" collapsed="false">
      <c r="A48" s="77" t="n">
        <v>2</v>
      </c>
      <c r="B48" s="77" t="s">
        <v>245</v>
      </c>
      <c r="C48" s="77" t="s">
        <v>309</v>
      </c>
      <c r="D48" s="78" t="s">
        <v>348</v>
      </c>
      <c r="E48" s="79"/>
      <c r="F48" s="77"/>
    </row>
    <row r="49" customFormat="false" ht="30" hidden="false" customHeight="true" outlineLevel="0" collapsed="false">
      <c r="A49" s="77" t="n">
        <v>3</v>
      </c>
      <c r="B49" s="77" t="s">
        <v>247</v>
      </c>
      <c r="C49" s="77" t="s">
        <v>327</v>
      </c>
      <c r="D49" s="78" t="s">
        <v>349</v>
      </c>
      <c r="E49" s="79"/>
      <c r="F49" s="77"/>
    </row>
    <row r="50" customFormat="false" ht="30" hidden="false" customHeight="true" outlineLevel="0" collapsed="false">
      <c r="A50" s="77" t="n">
        <v>4</v>
      </c>
      <c r="B50" s="77" t="s">
        <v>249</v>
      </c>
      <c r="C50" s="77" t="s">
        <v>316</v>
      </c>
      <c r="D50" s="78" t="s">
        <v>350</v>
      </c>
      <c r="E50" s="79"/>
      <c r="F50" s="77"/>
    </row>
    <row r="51" customFormat="false" ht="30" hidden="false" customHeight="true" outlineLevel="0" collapsed="false">
      <c r="A51" s="77" t="n">
        <v>5</v>
      </c>
      <c r="B51" s="77" t="s">
        <v>251</v>
      </c>
      <c r="C51" s="77" t="s">
        <v>319</v>
      </c>
      <c r="D51" s="78" t="s">
        <v>351</v>
      </c>
      <c r="E51" s="79" t="s">
        <v>352</v>
      </c>
      <c r="F51" s="77" t="s">
        <v>353</v>
      </c>
    </row>
  </sheetData>
  <mergeCells count="7">
    <mergeCell ref="A1:F1"/>
    <mergeCell ref="A4:F4"/>
    <mergeCell ref="A13:F13"/>
    <mergeCell ref="A20:F20"/>
    <mergeCell ref="A28:F28"/>
    <mergeCell ref="A37:F37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2026-09-25T07:00:25Z</dcterms:created>
  <dc:creator>openpyxl</dc:creator>
  <dc:description/>
  <dc:language>en-US</dc:language>
  <cp:lastModifiedBy/>
  <dcterms:modified xsi:type="dcterms:W3CDTF">2026-09-25T07:00:25Z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