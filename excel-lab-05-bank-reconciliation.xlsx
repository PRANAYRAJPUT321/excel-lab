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1 Two books, two balances" sheetId="2" state="visible" r:id="rId4"/>
    <sheet name="L2 Match by reference" sheetId="3" state="visible" r:id="rId5"/>
    <sheet name="L3 The bank's own entries" sheetId="4" state="visible" r:id="rId6"/>
    <sheet name="L4 Amounts that don't agree" sheetId="5" state="visible" r:id="rId7"/>
    <sheet name="L5 The reconciliation statement" sheetId="6" state="visible" r:id="rId8"/>
    <sheet name="L6 Boss round — automatic recon" sheetId="7" state="visible" r:id="rId9"/>
    <sheet name="Solu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<sst xmlns="http://schemas.openxmlformats.org/spreadsheetml/2006/main" count="1185" uniqueCount="315">
  <si>
    <t xml:space="preserve">EXCEL LAB  ·  05 BANK RECONCILIATION</t>
  </si>
  <si>
    <t xml:space="preserve">A real month of cash book and bank statement side by side: match by reference, find timing differences, catch wrong amounts, and build a reconciliation statement that proves itself to zero.</t>
  </si>
  <si>
    <t xml:space="preserve">HOW TO USE THIS WORKBOOK</t>
  </si>
  <si>
    <t xml:space="preserve">Work through the lessons in order — each one is harder than the last (★ to ★★★★★).</t>
  </si>
  <si>
    <t xml:space="preserve">Read the Concept box at the top of each lesson, then look at the data.</t>
  </si>
  <si>
    <t xml:space="preserve">Type a FORMULA in each yellow cell. The Check column marks it ✓ or ✗ instantly.</t>
  </si>
  <si>
    <t xml:space="preserve">Blue cells are inputs. Change them and watch every answer update — that is how you know your formula is really right.</t>
  </si>
  <si>
    <t xml:space="preserve">Stuck? Read the Hint. Still stuck? The Solutions sheet shows the model answer and other ways to do it.</t>
  </si>
  <si>
    <t xml:space="preserve">COLOUR CODE</t>
  </si>
  <si>
    <t xml:space="preserve">Yellow — your answer goes here (always a formula)</t>
  </si>
  <si>
    <t xml:space="preserve">Blue — an input you can change</t>
  </si>
  <si>
    <t xml:space="preserve">✓ Correct — marked automatically</t>
  </si>
  <si>
    <t xml:space="preserve">✗ Check again — the result does not match</t>
  </si>
  <si>
    <t xml:space="preserve">✎ You typed a value — replace it with a formula</t>
  </si>
  <si>
    <t xml:space="preserve">#</t>
  </si>
  <si>
    <t xml:space="preserve">Lesson</t>
  </si>
  <si>
    <t xml:space="preserve">Difficulty</t>
  </si>
  <si>
    <t xml:space="preserve">Tasks</t>
  </si>
  <si>
    <t xml:space="preserve">Solved</t>
  </si>
  <si>
    <t xml:space="preserve">Progress</t>
  </si>
  <si>
    <t xml:space="preserve">L1 Two books, two balances</t>
  </si>
  <si>
    <t xml:space="preserve">★★☆☆☆</t>
  </si>
  <si>
    <t xml:space="preserve">L2 Match by reference</t>
  </si>
  <si>
    <t xml:space="preserve">★★★☆☆</t>
  </si>
  <si>
    <t xml:space="preserve">L3 The bank's own entries</t>
  </si>
  <si>
    <t xml:space="preserve">L4 Amounts that don't agree</t>
  </si>
  <si>
    <t xml:space="preserve">★★★★☆</t>
  </si>
  <si>
    <t xml:space="preserve">L5 The reconciliation statement</t>
  </si>
  <si>
    <t xml:space="preserve">L6 Boss round — automatic recon</t>
  </si>
  <si>
    <t xml:space="preserve">★★★★★</t>
  </si>
  <si>
    <t xml:space="preserve">OVERALL</t>
  </si>
  <si>
    <t xml:space="preserve">Excel Lab — created by Pranay  ·  excel-lab-by-pranay.vercel.app  ·  free for every student</t>
  </si>
  <si>
    <t xml:space="preserve">LESSON 1  ·  TWO BOOKS, TWO BALANCES</t>
  </si>
  <si>
    <t xml:space="preserve">★★☆☆☆   Total both books and see the gap you are about to explain.</t>
  </si>
  <si>
    <t xml:space="preserve">CONCEPT  ·  Your cash book and the bank statement almost never agree on the last day of the month — and that is normal. Amounts are signed: money in is positive, money out is negative, so SUM gives the net movement. Closing balance = opening balance + net movement. Find both closing balances first; the difference is what the reconciliation has to explain.</t>
  </si>
  <si>
    <t xml:space="preserve">Opening balance</t>
  </si>
  <si>
    <t xml:space="preserve">Ref</t>
  </si>
  <si>
    <t xml:space="preserve">Date</t>
  </si>
  <si>
    <t xml:space="preserve">Particulars</t>
  </si>
  <si>
    <t xml:space="preserve">Amount</t>
  </si>
  <si>
    <t xml:space="preserve">Task</t>
  </si>
  <si>
    <t xml:space="preserve">Your answer</t>
  </si>
  <si>
    <t xml:space="preserve">Check</t>
  </si>
  <si>
    <t xml:space="preserve">Hint</t>
  </si>
  <si>
    <t xml:space="preserve">DEP-7163</t>
  </si>
  <si>
    <t xml:space="preserve">Received from ABC Traders</t>
  </si>
  <si>
    <t xml:space="preserve">DEP-7122</t>
  </si>
  <si>
    <t xml:space="preserve">Deposit - Shree Enterprises</t>
  </si>
  <si>
    <t xml:space="preserve">Net movement as per the cash book (SUM the cash book Amount column).</t>
  </si>
  <si>
    <t xml:space="preserve">One SUM over the whole Amount column of the left table.</t>
  </si>
  <si>
    <t xml:space="preserve">CHQ-4151</t>
  </si>
  <si>
    <t xml:space="preserve">Cheque issued to Sagar Metals</t>
  </si>
  <si>
    <t xml:space="preserve">DEP-7110</t>
  </si>
  <si>
    <t xml:space="preserve">Deposit - Nandini Foods</t>
  </si>
  <si>
    <t xml:space="preserve">Closing balance as per the cash book = opening balance (B6) + net movement.</t>
  </si>
  <si>
    <t xml:space="preserve">=$B$6+SUM(D9:D44)</t>
  </si>
  <si>
    <t xml:space="preserve">CHQ-4152</t>
  </si>
  <si>
    <t xml:space="preserve">Cheque issued to Patel &amp; Co</t>
  </si>
  <si>
    <t xml:space="preserve">DEP-7108</t>
  </si>
  <si>
    <t xml:space="preserve">Deposit - Kiran Agencies</t>
  </si>
  <si>
    <t xml:space="preserve">Net movement as per the bank statement.</t>
  </si>
  <si>
    <t xml:space="preserve">SUM the Amount column of the right-hand table.</t>
  </si>
  <si>
    <t xml:space="preserve">DEP-7114</t>
  </si>
  <si>
    <t xml:space="preserve">Received from Patel &amp; Co</t>
  </si>
  <si>
    <t xml:space="preserve">Deposit - Patel &amp; Co</t>
  </si>
  <si>
    <t xml:space="preserve">Closing balance as per the bank statement.</t>
  </si>
  <si>
    <t xml:space="preserve">Same shape as the cash book closing balance.</t>
  </si>
  <si>
    <t xml:space="preserve">CHQ-4154</t>
  </si>
  <si>
    <t xml:space="preserve">Cheque issued to Kiran Agencies</t>
  </si>
  <si>
    <t xml:space="preserve">DEP-7112</t>
  </si>
  <si>
    <t xml:space="preserve">Deposit - Bharat Electricals</t>
  </si>
  <si>
    <t xml:space="preserve">The difference: bank closing balance minus cash book closing balance.</t>
  </si>
  <si>
    <t xml:space="preserve">The opening balances cancel out, so it is just one net movement minus the other.</t>
  </si>
  <si>
    <t xml:space="preserve">DEP-7118</t>
  </si>
  <si>
    <t xml:space="preserve">Received from Vaibhav Textiles</t>
  </si>
  <si>
    <t xml:space="preserve">CHQ-4105</t>
  </si>
  <si>
    <t xml:space="preserve">Cheque paid - Shree Enterprises</t>
  </si>
  <si>
    <t xml:space="preserve">How many entries are in the cash book?</t>
  </si>
  <si>
    <t xml:space="preserve">COUNTA counts filled cells.</t>
  </si>
  <si>
    <t xml:space="preserve">Received from Nandini Foods</t>
  </si>
  <si>
    <t xml:space="preserve">DEP-7102</t>
  </si>
  <si>
    <t xml:space="preserve">Deposit - Nova Industries</t>
  </si>
  <si>
    <t xml:space="preserve">How many entries are on the bank statement?</t>
  </si>
  <si>
    <t xml:space="preserve">Same idea on the other table.</t>
  </si>
  <si>
    <t xml:space="preserve">Cheque issued to Shree Enterprises</t>
  </si>
  <si>
    <t xml:space="preserve">BNK-004</t>
  </si>
  <si>
    <t xml:space="preserve">NEFT direct credit - Zenith Software</t>
  </si>
  <si>
    <t xml:space="preserve">CHQ-4119</t>
  </si>
  <si>
    <t xml:space="preserve">DEP-7142</t>
  </si>
  <si>
    <t xml:space="preserve">Deposit - Orbit Systems</t>
  </si>
  <si>
    <t xml:space="preserve">DEP-7124</t>
  </si>
  <si>
    <t xml:space="preserve">Received from Sagar Metals</t>
  </si>
  <si>
    <t xml:space="preserve">Received from Nova Industries</t>
  </si>
  <si>
    <t xml:space="preserve">BNK-001</t>
  </si>
  <si>
    <t xml:space="preserve">Bank charges - quarterly</t>
  </si>
  <si>
    <t xml:space="preserve">Received from Bharat Electricals</t>
  </si>
  <si>
    <t xml:space="preserve">CHQ-4109</t>
  </si>
  <si>
    <t xml:space="preserve">Cheque paid - Bharat Electricals</t>
  </si>
  <si>
    <t xml:space="preserve">DEP-7120</t>
  </si>
  <si>
    <t xml:space="preserve">CHQ-4155</t>
  </si>
  <si>
    <t xml:space="preserve">Cheque issued to Meera Pharma</t>
  </si>
  <si>
    <t xml:space="preserve">CHQ-4111</t>
  </si>
  <si>
    <t xml:space="preserve">Cheque paid - Deccan Supplies</t>
  </si>
  <si>
    <t xml:space="preserve">CHQ-4123</t>
  </si>
  <si>
    <t xml:space="preserve">Cheque issued to Nova Industries</t>
  </si>
  <si>
    <t xml:space="preserve">Deposit - Sagar Metals</t>
  </si>
  <si>
    <t xml:space="preserve">Received from Shree Enterprises</t>
  </si>
  <si>
    <t xml:space="preserve">BNK-006</t>
  </si>
  <si>
    <t xml:space="preserve">Cheque returned - insufficient funds</t>
  </si>
  <si>
    <t xml:space="preserve">CHQ-4107</t>
  </si>
  <si>
    <t xml:space="preserve">Cheque issued to Nandini Foods</t>
  </si>
  <si>
    <t xml:space="preserve">DEP-7104</t>
  </si>
  <si>
    <t xml:space="preserve">Deposit - Vaibhav Textiles</t>
  </si>
  <si>
    <t xml:space="preserve">CHQ-4121</t>
  </si>
  <si>
    <t xml:space="preserve">Cheque issued to Bharat Electricals</t>
  </si>
  <si>
    <t xml:space="preserve">CHQ-4131</t>
  </si>
  <si>
    <t xml:space="preserve">Cheque paid - Meera Pharma</t>
  </si>
  <si>
    <t xml:space="preserve">CHQ-4115</t>
  </si>
  <si>
    <t xml:space="preserve">BNK-005</t>
  </si>
  <si>
    <t xml:space="preserve">ECS debit - insurance premium</t>
  </si>
  <si>
    <t xml:space="preserve">CHQ-4103</t>
  </si>
  <si>
    <t xml:space="preserve">Cheque paid - Nova Industries</t>
  </si>
  <si>
    <t xml:space="preserve">DEP-7116</t>
  </si>
  <si>
    <t xml:space="preserve">Received from Meera Pharma</t>
  </si>
  <si>
    <t xml:space="preserve">CHQ-4113</t>
  </si>
  <si>
    <t xml:space="preserve">Cheque paid - ABC Traders</t>
  </si>
  <si>
    <t xml:space="preserve">CHQ-4153</t>
  </si>
  <si>
    <t xml:space="preserve">Cheque paid - Nandini Foods</t>
  </si>
  <si>
    <t xml:space="preserve">Cheque issued to Deccan Supplies</t>
  </si>
  <si>
    <t xml:space="preserve">CHQ-4117</t>
  </si>
  <si>
    <t xml:space="preserve">DEP-7106</t>
  </si>
  <si>
    <t xml:space="preserve">Deposit - Meera Pharma</t>
  </si>
  <si>
    <t xml:space="preserve">Received from Orbit Systems</t>
  </si>
  <si>
    <t xml:space="preserve">CHQ-4101</t>
  </si>
  <si>
    <t xml:space="preserve">BNK-002</t>
  </si>
  <si>
    <t xml:space="preserve">SMS alert charges</t>
  </si>
  <si>
    <t xml:space="preserve">Cheque issued to ABC Traders</t>
  </si>
  <si>
    <t xml:space="preserve">BNK-003</t>
  </si>
  <si>
    <t xml:space="preserve">Interest credited on balance</t>
  </si>
  <si>
    <t xml:space="preserve">DEP-7161</t>
  </si>
  <si>
    <t xml:space="preserve">Received from Deccan Supplies</t>
  </si>
  <si>
    <t xml:space="preserve">Cheque paid - Sagar Metals</t>
  </si>
  <si>
    <t xml:space="preserve">Received from Kiran Agencies</t>
  </si>
  <si>
    <t xml:space="preserve">DEP-7162</t>
  </si>
  <si>
    <t xml:space="preserve">LESSON 2  ·  MATCH BY REFERENCE</t>
  </si>
  <si>
    <t xml:space="preserve">★★★☆☆   Tick off every cash book entry that has reached the bank.</t>
  </si>
  <si>
    <t xml:space="preserve">CONCEPT  ·  COUNTIF(bank reference column, this reference) returns how many times your reference appears on the statement. Zero means it has not reached the bank yet. Wrap it in IF to turn the count into a readable label, and lock the bank range with $ so it does not slide as you fill down.</t>
  </si>
  <si>
    <t xml:space="preserve">In bank?</t>
  </si>
  <si>
    <t xml:space="preserve">Fill "In bank?": "Yes" if the reference appears on the bank statement, otherwise "No".</t>
  </si>
  <si>
    <t xml:space="preserve">→ fill column E</t>
  </si>
  <si>
    <t xml:space="preserve">=IF(COUNTIF($G$9:$G$40,A9)&gt;0,"Yes","No") — then fill down.</t>
  </si>
  <si>
    <t xml:space="preserve">How many cash book entries have NOT reached the bank?</t>
  </si>
  <si>
    <t xml:space="preserve">COUNTIF your new column for "No".</t>
  </si>
  <si>
    <t xml:space="preserve">Net value of those unmatched entries.</t>
  </si>
  <si>
    <t xml:space="preserve">SUMIF on the label you just created.</t>
  </si>
  <si>
    <t xml:space="preserve">Total of cheques issued but not yet presented (unmatched entries with a negative amount).</t>
  </si>
  <si>
    <t xml:space="preserve">SUMIFS with two conditions: In bank? = "No" AND Amount &lt; 0.</t>
  </si>
  <si>
    <t xml:space="preserve">Total of deposits in transit (unmatched entries with a positive amount).</t>
  </si>
  <si>
    <t xml:space="preserve">Same SUMIFS with the sign flipped.</t>
  </si>
  <si>
    <t xml:space="preserve">Check: unpresented cheques + deposits in transit must equal the net value of unmatched entries.</t>
  </si>
  <si>
    <t xml:space="preserve">Add your last two answers and subtract the one before them. It must be zero.</t>
  </si>
  <si>
    <t xml:space="preserve">LESSON 3  ·  THE BANK'S OWN ENTRIES</t>
  </si>
  <si>
    <t xml:space="preserve">★★★☆☆   Find what the bank did that you never recorded.</t>
  </si>
  <si>
    <t xml:space="preserve">CONCEPT  ·  Now run the match the other way. Bank charges, interest, ECS debits and direct credits appear on the statement first — you only learn about them when the statement arrives. These are not timing differences: they are entries missing from YOUR book, and they have to be posted before the balances can ever agree.</t>
  </si>
  <si>
    <t xml:space="preserve">In cash book?</t>
  </si>
  <si>
    <t xml:space="preserve">Fill "In cash book?" on the bank statement: "Yes" or "No".</t>
  </si>
  <si>
    <t xml:space="preserve">→ fill column J</t>
  </si>
  <si>
    <t xml:space="preserve">Same formula as before, but COUNTIF now looks at the cash book references.</t>
  </si>
  <si>
    <t xml:space="preserve">How many bank entries are missing from your cash book?</t>
  </si>
  <si>
    <t xml:space="preserve">COUNTIF for "No".</t>
  </si>
  <si>
    <t xml:space="preserve">Net value of those bank-only entries.</t>
  </si>
  <si>
    <t xml:space="preserve">SUMIF the label.</t>
  </si>
  <si>
    <t xml:space="preserve">Total of bank-only DEBITS (charges, ECS, returned cheque — the negative ones).</t>
  </si>
  <si>
    <t xml:space="preserve">SUMIFS: label = No AND amount &lt; 0.</t>
  </si>
  <si>
    <t xml:space="preserve">Total of bank-only CREDITS (interest and direct receipts).</t>
  </si>
  <si>
    <t xml:space="preserve">Same, amount &gt; 0.</t>
  </si>
  <si>
    <t xml:space="preserve">Which bank-only entry is the largest debit? Return its Particulars.</t>
  </si>
  <si>
    <t xml:space="preserve">MINIFS finds the most negative amount among the No rows; MATCH then finds its position.</t>
  </si>
  <si>
    <t xml:space="preserve">LESSON 4  ·  AMOUNTS THAT DON'T AGREE</t>
  </si>
  <si>
    <t xml:space="preserve">★★★★☆   Two references match but the money doesn't. Find them without reading 36 rows.</t>
  </si>
  <si>
    <t xml:space="preserve">CONCEPT  ·  The nastiest reconciling item is an entry that IS on both sides with the wrong amount — a transposed figure, or a collection charge the bank deducted. Pull the bank amount next to the book amount with a lookup, subtract, and look for non-zero rows. IFNA(...,0) keeps the unmatched rows from turning into #N/A.</t>
  </si>
  <si>
    <t xml:space="preserve">Bank amount</t>
  </si>
  <si>
    <t xml:space="preserve">Difference</t>
  </si>
  <si>
    <t xml:space="preserve">Fill Bank amount: the amount the bank shows for this reference, or 0 if the bank has no such entry.</t>
  </si>
  <si>
    <t xml:space="preserve">=IFNA(VLOOKUP(A9,$H$9:$K$40,4,0),0) — column 4 of the bank table is Amount.</t>
  </si>
  <si>
    <t xml:space="preserve">Fill Difference = cash book Amount minus Bank amount.</t>
  </si>
  <si>
    <t xml:space="preserve">→ fill column F</t>
  </si>
  <si>
    <t xml:space="preserve">=D9-E9</t>
  </si>
  <si>
    <t xml:space="preserve">How many references are on BOTH sides but with different amounts?</t>
  </si>
  <si>
    <t xml:space="preserve">Count rows where Bank amount is not zero and the difference is not zero.</t>
  </si>
  <si>
    <t xml:space="preserve">Net effect of those amount differences (bank minus book, for matched references only).</t>
  </si>
  <si>
    <t xml:space="preserve">Your Difference column is book − bank, so flip the sign and only count rows where a bank amount exists.</t>
  </si>
  <si>
    <t xml:space="preserve">Total of the cash book entries that matched the bank EXACTLY.</t>
  </si>
  <si>
    <t xml:space="preserve">Bank amount not zero AND Difference exactly 0.</t>
  </si>
  <si>
    <t xml:space="preserve">LESSON 5  ·  THE RECONCILIATION STATEMENT</t>
  </si>
  <si>
    <t xml:space="preserve">★★★★☆   Walk from the cash book balance to the bank balance, one adjustment at a time.</t>
  </si>
  <si>
    <t xml:space="preserve">CONCEPT  ·  A bank reconciliation statement is a bridge. Start at your cash book closing balance and apply four adjustments: add deposits in transit back out, add back unpresented cheques, post the bank's own entries, and correct the amount differences. If the bridge is right you land exactly on the bank statement balance — not near it, ON it. Build each line from the raw data, not from the row above, so one wrong step cannot poison the rest.</t>
  </si>
  <si>
    <t xml:space="preserve">Line 1 — Balance as per cash book.</t>
  </si>
  <si>
    <t xml:space="preserve">Opening balance + net movement, as in lesson 1.</t>
  </si>
  <si>
    <t xml:space="preserve">Line 2 — Less: deposits in transit (recorded by you, not yet credited by the bank). Enter as a NEGATIVE number.</t>
  </si>
  <si>
    <t xml:space="preserve">Take the deposits-in-transit total from lesson 2 and put a minus sign in front.</t>
  </si>
  <si>
    <t xml:space="preserve">Line 3 — Add: cheques issued but not presented. Enter as a POSITIVE number.</t>
  </si>
  <si>
    <t xml:space="preserve">The unpresented total is negative, so the minus sign makes it positive.</t>
  </si>
  <si>
    <t xml:space="preserve">Line 4 — Add: the bank's own entries not yet in your book (net — charges are negative, interest positive).</t>
  </si>
  <si>
    <t xml:space="preserve">The bank-only total from lesson 3, signed.</t>
  </si>
  <si>
    <t xml:space="preserve">Line 5 — Add: net amount differences (bank amount minus book amount on matched references).</t>
  </si>
  <si>
    <t xml:space="preserve">SUMIF with a whole column as the criteria returns one matched amount per row — subtract the book amount and add it all up.</t>
  </si>
  <si>
    <t xml:space="preserve">Line 6 — Reconciled balance: add lines 1 to 5.</t>
  </si>
  <si>
    <t xml:space="preserve">=SUM(M9:M13)</t>
  </si>
  <si>
    <t xml:space="preserve">Line 7 — Proof: your reconciled balance minus the bank statement closing balance. It must be exactly 0.</t>
  </si>
  <si>
    <t xml:space="preserve">Line 6 minus (opening balance + SUM of the bank Amount column).</t>
  </si>
  <si>
    <t xml:space="preserve">LESSON 6  ·  BOSS ROUND — AUTOMATIC RECONCILIATION</t>
  </si>
  <si>
    <t xml:space="preserve">★★★★★   One formula that classifies every line. This is the version you actually use at work.</t>
  </si>
  <si>
    <t xml:space="preserve">CONCEPT  ·  Three outcomes in one nested test: not on the statement at all, on it with a different amount, or a clean match. IFS reads top to bottom and stops at the first TRUE, so order the tests from most specific to most general. SUMIF(bankRefs, thisRef, bankAmounts) fetches the bank amount without any error handling — a missing reference simply sums to zero.</t>
  </si>
  <si>
    <t xml:space="preserve">Status</t>
  </si>
  <si>
    <t xml:space="preserve">Fill Status: "Not in bank" if the reference is absent, "Amount differs" if it is present with a different amount, otherwise "Matched".</t>
  </si>
  <si>
    <t xml:space="preserve">IFS(test1,result1,test2,result2,TRUE,fallback). Test "missing" first — you cannot compare an amount that is not there.</t>
  </si>
  <si>
    <t xml:space="preserve">How many lines are "Amount differs"?</t>
  </si>
  <si>
    <t xml:space="preserve">COUNTIF on your Status column.</t>
  </si>
  <si>
    <t xml:space="preserve">Net value of every line that is "Not in bank".</t>
  </si>
  <si>
    <t xml:space="preserve">SUMIF on the label.</t>
  </si>
  <si>
    <t xml:space="preserve">The reference of the largest unpresented cheque (the most negative "Not in bank" line).</t>
  </si>
  <si>
    <t xml:space="preserve">MINIFS, then MATCH, then INDEX.</t>
  </si>
  <si>
    <t xml:space="preserve">Final proof: cash book closing + unmatched reversal + bank-only entries + amount differences − bank closing. Must be 0.</t>
  </si>
  <si>
    <t xml:space="preserve">Every piece is something you have already built. Chain them in one cell and watch it collapse to zero.</t>
  </si>
  <si>
    <t xml:space="preserve">SOLUTIONS &amp; OTHER WAYS — open only after you have tried</t>
  </si>
  <si>
    <t xml:space="preserve">Model answers are shapes, not the only answer. If your formula gives the same result, it is right — compare the logic.</t>
  </si>
  <si>
    <t xml:space="preserve">L1 Two books, two balances   ★★</t>
  </si>
  <si>
    <t xml:space="preserve">Answer cell</t>
  </si>
  <si>
    <t xml:space="preserve">Model formula</t>
  </si>
  <si>
    <t xml:space="preserve">Other ways</t>
  </si>
  <si>
    <t xml:space="preserve">Why it works</t>
  </si>
  <si>
    <t xml:space="preserve">M9</t>
  </si>
  <si>
    <t xml:space="preserve">=SUM($D$9:$D$42)</t>
  </si>
  <si>
    <t xml:space="preserve">=SUMPRODUCT(D9:D44)</t>
  </si>
  <si>
    <t xml:space="preserve">Because payments are already negative, one SUM gives receipts minus payments.</t>
  </si>
  <si>
    <t xml:space="preserve">M10</t>
  </si>
  <si>
    <t xml:space="preserve">=$B$6+SUM($D$9:$D$42)</t>
  </si>
  <si>
    <t xml:space="preserve">The opening balance is an input — change it and every answer below must move.</t>
  </si>
  <si>
    <t xml:space="preserve">M11</t>
  </si>
  <si>
    <t xml:space="preserve">=SUM($I$9:$I$40)</t>
  </si>
  <si>
    <t xml:space="preserve">M12</t>
  </si>
  <si>
    <t xml:space="preserve">=$B$6+SUM($I$9:$I$40)</t>
  </si>
  <si>
    <t xml:space="preserve">M13</t>
  </si>
  <si>
    <t xml:space="preserve">=SUM($I$9:$I$40)-SUM($D$9:$D$42)</t>
  </si>
  <si>
    <t xml:space="preserve">This is the number the whole reconciliation has to explain, rupee for rupee.</t>
  </si>
  <si>
    <t xml:space="preserve">M14</t>
  </si>
  <si>
    <t xml:space="preserve">=COUNTA($A$9:$A$42)</t>
  </si>
  <si>
    <t xml:space="preserve">=ROWS(A9:A44)</t>
  </si>
  <si>
    <t xml:space="preserve">M15</t>
  </si>
  <si>
    <t xml:space="preserve">=COUNTA($F$9:$F$40)</t>
  </si>
  <si>
    <t xml:space="preserve">L2 Match by reference   ★★★</t>
  </si>
  <si>
    <t xml:space="preserve">column E</t>
  </si>
  <si>
    <t xml:space="preserve">=IF(COUNTIF($G$9:$G$40,A9)&gt;0,"Yes","No")   (row 9, then fill down)</t>
  </si>
  <si>
    <t xml:space="preserve">=IF(ISNA(MATCH(A9,bankRefs,0)),"No","Yes")
=IF(COUNTIF(bankRefs,A9),"Yes","No") — a non-zero count is already TRUE</t>
  </si>
  <si>
    <t xml:space="preserve">COUNTIF is the safest matcher: it never throws #N/A, it just returns 0.</t>
  </si>
  <si>
    <t xml:space="preserve">N10</t>
  </si>
  <si>
    <t xml:space="preserve">=COUNTIF($E$9:$E$42,"No")</t>
  </si>
  <si>
    <t xml:space="preserve">=SUMPRODUCT(--(COUNTIF(bankRefs,cbRefs)=0)) — no helper column at all</t>
  </si>
  <si>
    <t xml:space="preserve">N11</t>
  </si>
  <si>
    <t xml:space="preserve">=SUMIF($E$9:$E$42,"No",$D$9:$D$42)</t>
  </si>
  <si>
    <t xml:space="preserve">N12</t>
  </si>
  <si>
    <t xml:space="preserve">=SUMIFS($D$9:$D$42,$E$9:$E$42,"No",$D$9:$D$42,"&lt;0")</t>
  </si>
  <si>
    <t xml:space="preserve">=SUMPRODUCT((COUNTIF(bankRefs,cbRefs)=0)*(amt&lt;0)*amt)</t>
  </si>
  <si>
    <t xml:space="preserve">These are cheques you have written that the payee has not banked yet.</t>
  </si>
  <si>
    <t xml:space="preserve">N13</t>
  </si>
  <si>
    <t xml:space="preserve">=SUMIFS($D$9:$D$42,$E$9:$E$42,"No",$D$9:$D$42,"&gt;0")</t>
  </si>
  <si>
    <t xml:space="preserve">Money you have received and recorded, but the bank has not credited yet.</t>
  </si>
  <si>
    <t xml:space="preserve">N14</t>
  </si>
  <si>
    <t xml:space="preserve">=SUMIFS($D$9:$D$42,$E$9:$E$42,"No",$D$9:$D$42,"&lt;0")+SUMIFS($D$9:$D$42,$E$9:$E$42,"No",$D$9:$D$42,"&gt;0")-SUMIF($E$9:$E$42,"No",$D$9:$D$42)</t>
  </si>
  <si>
    <t xml:space="preserve">Splitting a total two ways and adding it back is the cheapest audit you will ever run.</t>
  </si>
  <si>
    <t xml:space="preserve">L3 The bank's own entries   ★★★</t>
  </si>
  <si>
    <t xml:space="preserve">column J</t>
  </si>
  <si>
    <t xml:space="preserve">=IF(COUNTIF($A$9:$A$42,F9)&gt;0,"Yes","No")   (row 9, then fill down)</t>
  </si>
  <si>
    <t xml:space="preserve">=COUNTIF($J$9:$J$40,"No")</t>
  </si>
  <si>
    <t xml:space="preserve">=SUMIF($J$9:$J$40,"No",$I$9:$I$40)</t>
  </si>
  <si>
    <t xml:space="preserve">Post these into the cash book and your book balance changes — the bank's does not.</t>
  </si>
  <si>
    <t xml:space="preserve">=SUMIFS($I$9:$I$40,$J$9:$J$40,"No",$I$9:$I$40,"&lt;0")</t>
  </si>
  <si>
    <t xml:space="preserve">=SUMIFS($I$9:$I$40,$J$9:$J$40,"No",$I$9:$I$40,"&gt;0")</t>
  </si>
  <si>
    <t xml:space="preserve">=INDEX($H$9:$H$40,MATCH(MINIFS($I$9:$I$40,$J$9:$J$40,"No"),$I$9:$I$40,0))</t>
  </si>
  <si>
    <t xml:space="preserve">=INDEX(Particulars,MATCH(MIN(IF(flag="No",Amount)),Amount,0)) entered with Ctrl+Shift+Enter</t>
  </si>
  <si>
    <t xml:space="preserve">L4 Amounts that don't agree   ★★★★</t>
  </si>
  <si>
    <t xml:space="preserve">=IFNA(VLOOKUP(A9,$H$9:$K$40,4,0),0)   (row 9, then fill down)</t>
  </si>
  <si>
    <t xml:space="preserve">=IFERROR(VLOOKUP(A9,bankTable,4,0),0)
=SUMIF(bankRefs,A9,bankAmts) — returns 0 when nothing matches, no error handling needed
=IFNA(XLOOKUP(A9,bankRefs,bankAmts),0)</t>
  </si>
  <si>
    <t xml:space="preserve">SUMIF as a lookup is a favourite trick: unique keys make the sum equal the value, and a miss is simply 0.</t>
  </si>
  <si>
    <t xml:space="preserve">column F</t>
  </si>
  <si>
    <t xml:space="preserve">=D9-E9   (row 9, then fill down)</t>
  </si>
  <si>
    <t xml:space="preserve">O11</t>
  </si>
  <si>
    <t xml:space="preserve">=SUMPRODUCT(($E$9:$E$42&lt;&gt;0)*(ABS($F$9:$F$42)&gt;0.5))</t>
  </si>
  <si>
    <t xml:space="preserve">=SUMPRODUCT((COUNTIF(bankRefs,cbRefs)&gt;0)*(ABS(cbAmt-SUMIF(bankRefs,cbRefs,bankAmts))&gt;0.5)) — no helper columns</t>
  </si>
  <si>
    <t xml:space="preserve">A reference that exists on both sides is not a timing difference; somebody keyed a wrong number.</t>
  </si>
  <si>
    <t xml:space="preserve">O12</t>
  </si>
  <si>
    <t xml:space="preserve">=-SUMIFS($F$9:$F$42,$E$9:$E$42,"&lt;&gt;0")</t>
  </si>
  <si>
    <t xml:space="preserve">=SUMPRODUCT((COUNTIF(bankRefs,cbRefs)&gt;0)*(SUMIF(bankRefs,cbRefs,bankAmts)-cbAmt))</t>
  </si>
  <si>
    <t xml:space="preserve">O13</t>
  </si>
  <si>
    <t xml:space="preserve">=SUMIFS($D$9:$D$42,$E$9:$E$42,"&lt;&gt;0",$F$9:$F$42,0)</t>
  </si>
  <si>
    <t xml:space="preserve">L5 The reconciliation statement   ★★★★</t>
  </si>
  <si>
    <t xml:space="preserve">=-SUMPRODUCT((COUNTIF($F$9:$F$40,$A$9:$A$42)=0)*($D$9:$D$42&gt;0)*$D$9:$D$42)</t>
  </si>
  <si>
    <t xml:space="preserve">The bank does not know about them yet, so remove them on the way to the bank's view.</t>
  </si>
  <si>
    <t xml:space="preserve">=-SUMPRODUCT((COUNTIF($F$9:$F$40,$A$9:$A$42)=0)*($D$9:$D$42&lt;0)*$D$9:$D$42)</t>
  </si>
  <si>
    <t xml:space="preserve">You have already deducted them; the bank has not.</t>
  </si>
  <si>
    <t xml:space="preserve">=SUMPRODUCT((COUNTIF($A$9:$A$42,$F$9:$F$40)=0)*$I$9:$I$40)</t>
  </si>
  <si>
    <t xml:space="preserve">=SUMPRODUCT((COUNTIF($F$9:$F$40,$A$9:$A$42)&gt;0)*(SUMIF($F$9:$F$40,$A$9:$A$42,$I$9:$I$40)-$D$9:$D$42))</t>
  </si>
  <si>
    <t xml:space="preserve">Only now are you allowed to look at the bank statement.</t>
  </si>
  <si>
    <t xml:space="preserve">=M14-($B$6+SUM($I$9:$I$40))</t>
  </si>
  <si>
    <t xml:space="preserve">A reconciliation that lands on zero is finished. One that lands on 'close enough' is not a reconciliation.</t>
  </si>
  <si>
    <t xml:space="preserve">L6 Boss round — automatic recon   ★★★★★</t>
  </si>
  <si>
    <t xml:space="preserve">=IFS(COUNTIF(bankRefs,A9)=0,"Not in bank",ABS(D9-SUMIF(bankRefs,A9,bankAmts))&gt;0.5,"Amount differs",TRUE,"Matched")</t>
  </si>
  <si>
    <t xml:space="preserve">Nested IF: =IF(COUNTIF(...)=0,"Not in bank",IF(ABS(...)&gt;0.5,"Amount differs","Matched"))
=SWITCH(TRUE,COUNTIF(...)=0,"Not in bank",ABS(...)&gt;0.5,"Amount differs","Matched")</t>
  </si>
  <si>
    <t xml:space="preserve">Never compare before you have checked existence — that is how #N/A gets into a board pack.</t>
  </si>
  <si>
    <t xml:space="preserve">=COUNTIF($E$9:$E$42,"Amount differs")</t>
  </si>
  <si>
    <t xml:space="preserve">=SUMIF($E$9:$E$42,"Not in bank",$D$9:$D$42)</t>
  </si>
  <si>
    <t xml:space="preserve">=INDEX($A$9:$A$42,MATCH(MINIFS($D$9:$D$42,$E$9:$E$42,"Not in bank"),$D$9:$D$42,0))</t>
  </si>
  <si>
    <t xml:space="preserve">=$B$6+SUM($D$9:$D$42)-SUMIF($E$9:$E$42,"Not in bank",$D$9:$D$42)+SUMPRODUCT((COUNTIF($A$9:$A$42,$G$9:$G$40)=0)*$J$9:$J$40)+SUMPRODUCT((COUNTIF($G$9:$G$40,$A$9:$A$42)&gt;0)*(SUMIF($G$9:$G$40,$A$9:$A$42,$J$9:$J$40)-$D$9:$D$42))-($B$6+SUM($J$9:$J$40))</t>
  </si>
  <si>
    <t xml:space="preserve">When one cell proves the whole month, you can reconcile in minutes instead of an afternoon.</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</si>
</sst>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dd\-mmm\-yyyy"/>
    <numFmt numFmtId="169" formatCode="General"/>
  </numFmts>
  <fonts count="2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1E293B"/>
      <name val="Arial"/>
      <family val="0"/>
      <charset val="1"/>
    </font>
    <font>
      <b val="true"/>
      <sz val="11"/>
      <color rgb="FF6442B1"/>
      <name val="Arial"/>
      <family val="0"/>
      <charset val="1"/>
    </font>
    <font>
      <b val="true"/>
      <sz val="10"/>
      <color rgb="FF8B5CF6"/>
      <name val="Arial"/>
      <family val="0"/>
      <charset val="1"/>
    </font>
    <font>
      <b val="true"/>
      <sz val="10"/>
      <color rgb="FFFFFFFF"/>
      <name val="Arial"/>
      <family val="0"/>
      <charset val="1"/>
    </font>
    <font>
      <b val="true"/>
      <sz val="10"/>
      <color rgb="FF1E293B"/>
      <name val="Arial"/>
      <family val="0"/>
      <charset val="1"/>
    </font>
    <font>
      <b val="true"/>
      <sz val="10"/>
      <color rgb="FF1D4ED8"/>
      <name val="Arial"/>
      <family val="0"/>
      <charset val="1"/>
    </font>
    <font>
      <b val="true"/>
      <sz val="10"/>
      <color rgb="FFD97706"/>
      <name val="Arial"/>
      <family val="0"/>
      <charset val="1"/>
    </font>
    <font>
      <b val="true"/>
      <sz val="9"/>
      <color rgb="FF64748B"/>
      <name val="Arial"/>
      <family val="0"/>
      <charset val="1"/>
    </font>
    <font>
      <b val="true"/>
      <sz val="15"/>
      <color rgb="FFFFFFFF"/>
      <name val="Arial"/>
      <family val="0"/>
      <charset val="1"/>
    </font>
    <font>
      <b val="true"/>
      <sz val="10"/>
      <color rgb="FF0E8477"/>
      <name val="Arial"/>
      <family val="0"/>
      <charset val="1"/>
    </font>
    <font>
      <b val="true"/>
      <sz val="10"/>
      <color rgb="FF0000FF"/>
      <name val="Arial"/>
      <family val="0"/>
      <charset val="1"/>
    </font>
    <font>
      <b val="true"/>
      <sz val="11"/>
      <color rgb="FF1E293B"/>
      <name val="Arial"/>
      <family val="0"/>
      <charset val="1"/>
    </font>
    <font>
      <i val="true"/>
      <sz val="9"/>
      <color rgb="FF64748B"/>
      <name val="Arial"/>
      <family val="0"/>
      <charset val="1"/>
    </font>
    <font>
      <b val="true"/>
      <sz val="10"/>
      <color rgb="FF2A5DB1"/>
      <name val="Arial"/>
      <family val="0"/>
      <charset val="1"/>
    </font>
    <font>
      <b val="true"/>
      <sz val="9"/>
      <color rgb="FF92400E"/>
      <name val="Arial"/>
      <family val="0"/>
      <charset val="1"/>
    </font>
    <font>
      <b val="true"/>
      <sz val="10"/>
      <color rgb="FF6442B1"/>
      <name val="Arial"/>
      <family val="0"/>
      <charset val="1"/>
    </font>
    <font>
      <b val="true"/>
      <sz val="10"/>
      <color rgb="FFA21433"/>
      <name val="Arial"/>
      <family val="0"/>
      <charset val="1"/>
    </font>
    <font>
      <b val="true"/>
      <sz val="14"/>
      <color rgb="FFFFFFFF"/>
      <name val="Arial"/>
      <family val="0"/>
      <charset val="1"/>
    </font>
    <font>
      <b val="true"/>
      <sz val="11"/>
      <color rgb="FFFFFFFF"/>
      <name val="Arial"/>
      <family val="0"/>
      <charset val="1"/>
    </font>
    <font>
      <b val="true"/>
      <sz val="10"/>
      <color rgb="FF1E293B"/>
      <name val="Consolas"/>
      <family val="0"/>
      <charset val="1"/>
    </font>
    <font>
      <sz val="10"/>
      <color rgb="FF1E293B"/>
      <name val="Consolas"/>
      <family val="0"/>
      <charset val="1"/>
    </font>
  </fonts>
  <fills count="23">
    <fill>
      <patternFill patternType="none"/>
    </fill>
    <fill>
      <patternFill patternType="gray125"/>
    </fill>
    <fill>
      <patternFill patternType="solid">
        <fgColor rgb="FF8B5CF6"/>
        <bgColor rgb="FF6442B1"/>
      </patternFill>
    </fill>
    <fill>
      <patternFill patternType="solid">
        <fgColor rgb="FFFFF3B0"/>
        <bgColor rgb="FFFEF3C7"/>
      </patternFill>
    </fill>
    <fill>
      <patternFill patternType="solid">
        <fgColor rgb="FFDBEAFE"/>
        <bgColor rgb="FFEBF2FE"/>
      </patternFill>
    </fill>
    <fill>
      <patternFill patternType="solid">
        <fgColor rgb="FFD1FAE5"/>
        <bgColor rgb="FFE7F7F6"/>
      </patternFill>
    </fill>
    <fill>
      <patternFill patternType="solid">
        <fgColor rgb="FFFEE2E2"/>
        <bgColor rgb="FFFCE8EC"/>
      </patternFill>
    </fill>
    <fill>
      <patternFill patternType="solid">
        <fgColor rgb="FFFEF3C7"/>
        <bgColor rgb="FFFFF3B0"/>
      </patternFill>
    </fill>
    <fill>
      <patternFill patternType="solid">
        <fgColor rgb="FF6442B1"/>
        <bgColor rgb="FF8B5CF6"/>
      </patternFill>
    </fill>
    <fill>
      <patternFill patternType="solid">
        <fgColor rgb="FF14B8A6"/>
        <bgColor rgb="FF00CCFF"/>
      </patternFill>
    </fill>
    <fill>
      <patternFill patternType="solid">
        <fgColor rgb="FFE7F7F6"/>
        <bgColor rgb="FFEBF2FE"/>
      </patternFill>
    </fill>
    <fill>
      <patternFill patternType="solid">
        <fgColor rgb="FF0F172A"/>
        <bgColor rgb="FF1E293B"/>
      </patternFill>
    </fill>
    <fill>
      <patternFill patternType="solid">
        <fgColor rgb="FF0E8477"/>
        <bgColor rgb="FF339966"/>
      </patternFill>
    </fill>
    <fill>
      <patternFill patternType="solid">
        <fgColor rgb="FFF8FAFC"/>
        <bgColor rgb="FFFFFFFF"/>
      </patternFill>
    </fill>
    <fill>
      <patternFill patternType="solid">
        <fgColor rgb="FF3B82F6"/>
        <bgColor rgb="FF2A5DB1"/>
      </patternFill>
    </fill>
    <fill>
      <patternFill patternType="solid">
        <fgColor rgb="FFEBF2FE"/>
        <bgColor rgb="FFF1F5F9"/>
      </patternFill>
    </fill>
    <fill>
      <patternFill patternType="solid">
        <fgColor rgb="FFF59E0B"/>
        <bgColor rgb="FFD97706"/>
      </patternFill>
    </fill>
    <fill>
      <patternFill patternType="solid">
        <fgColor rgb="FF2A5DB1"/>
        <bgColor rgb="FF1D4ED8"/>
      </patternFill>
    </fill>
    <fill>
      <patternFill patternType="solid">
        <fgColor rgb="FFF3EEFE"/>
        <bgColor rgb="FFEBF2FE"/>
      </patternFill>
    </fill>
    <fill>
      <patternFill patternType="solid">
        <fgColor rgb="FFE11D48"/>
        <bgColor rgb="FFA21433"/>
      </patternFill>
    </fill>
    <fill>
      <patternFill patternType="solid">
        <fgColor rgb="FFFCE8EC"/>
        <bgColor rgb="FFFEE2E2"/>
      </patternFill>
    </fill>
    <fill>
      <patternFill patternType="solid">
        <fgColor rgb="FFA21433"/>
        <bgColor rgb="FF991B1B"/>
      </patternFill>
    </fill>
    <fill>
      <patternFill patternType="solid">
        <fgColor rgb="FF334155"/>
        <bgColor rgb="FF1E293B"/>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F59E0B"/>
      </left>
      <right style="medium">
        <color rgb="FFF59E0B"/>
      </right>
      <top style="medium">
        <color rgb="FFF59E0B"/>
      </top>
      <bottom style="medium">
        <color rgb="FFF59E0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5" fillId="10" borderId="0" xfId="0" applyFont="true" applyBorder="true" applyAlignment="true" applyProtection="false">
      <alignment horizontal="general" vertical="top" textRotation="0" wrapText="true" indent="1"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7" fontId="16" fillId="3"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5" fillId="13" borderId="1" xfId="0" applyFont="true" applyBorder="true" applyAlignment="false" applyProtection="false">
      <alignment horizontal="general" vertical="bottom" textRotation="0" wrapText="false" indent="0" shrinkToFit="false"/>
      <protection locked="true" hidden="false"/>
    </xf>
    <xf numFmtId="168" fontId="5" fillId="13" borderId="1" xfId="0" applyFont="true" applyBorder="true" applyAlignment="false" applyProtection="false">
      <alignment horizontal="general" vertical="bottom" textRotation="0" wrapText="false" indent="0" shrinkToFit="false"/>
      <protection locked="true" hidden="false"/>
    </xf>
    <xf numFmtId="167" fontId="5" fillId="13" borderId="1" xfId="0" applyFont="true" applyBorder="true" applyAlignment="false" applyProtection="false">
      <alignment horizontal="general" vertical="bottom" textRotation="0" wrapText="false" indent="0" shrinkToFit="false"/>
      <protection locked="true" hidden="false"/>
    </xf>
    <xf numFmtId="165" fontId="16" fillId="3"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3" fillId="14" borderId="0" xfId="0" applyFont="true" applyBorder="true" applyAlignment="true" applyProtection="false">
      <alignment horizontal="general"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5" fillId="15" borderId="0" xfId="0" applyFont="true" applyBorder="true" applyAlignment="true" applyProtection="false">
      <alignment horizontal="general" vertical="top" textRotation="0" wrapText="true" indent="1" shrinkToFit="false"/>
      <protection locked="true" hidden="false"/>
    </xf>
    <xf numFmtId="164" fontId="9" fillId="16" borderId="1" xfId="0" applyFont="true" applyBorder="true" applyAlignment="true" applyProtection="false">
      <alignment horizontal="center" vertical="center" textRotation="0" wrapText="true" indent="0" shrinkToFit="false"/>
      <protection locked="true" hidden="false"/>
    </xf>
    <xf numFmtId="164" fontId="8" fillId="17"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5" fillId="18" borderId="0" xfId="0" applyFont="true" applyBorder="true" applyAlignment="true" applyProtection="false">
      <alignment horizontal="general" vertical="top" textRotation="0" wrapText="true" indent="1"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3" fillId="19"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true" applyProtection="false">
      <alignment horizontal="general" vertical="center" textRotation="0" wrapText="false" indent="1" shrinkToFit="false"/>
      <protection locked="true" hidden="false"/>
    </xf>
    <xf numFmtId="164" fontId="5" fillId="20" borderId="0" xfId="0" applyFont="true" applyBorder="true" applyAlignment="true" applyProtection="false">
      <alignment horizontal="general" vertical="top" textRotation="0" wrapText="true" indent="1"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4" fontId="22" fillId="11" borderId="0" xfId="0" applyFont="true" applyBorder="true" applyAlignment="true" applyProtection="false">
      <alignment horizontal="general" vertical="center" textRotation="0" wrapText="fals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3" fillId="9" borderId="0" xfId="0" applyFont="true" applyBorder="true" applyAlignment="true" applyProtection="false">
      <alignment horizontal="general" vertical="center" textRotation="0" wrapText="false" indent="1"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3" fillId="14" borderId="0" xfId="0" applyFont="true" applyBorder="true" applyAlignment="true" applyProtection="false">
      <alignment horizontal="general" vertical="center" textRotation="0" wrapText="false" indent="1" shrinkToFit="false"/>
      <protection locked="true" hidden="false"/>
    </xf>
    <xf numFmtId="164" fontId="23" fillId="2" borderId="0" xfId="0" applyFont="true" applyBorder="true" applyAlignment="true" applyProtection="false">
      <alignment horizontal="general" vertical="center" textRotation="0" wrapText="false" indent="1" shrinkToFit="false"/>
      <protection locked="true" hidden="false"/>
    </xf>
    <xf numFmtId="164" fontId="23" fillId="19"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65F46"/>
      </font>
      <fill>
        <patternFill>
          <bgColor rgb="FFD1FAE5"/>
        </patternFill>
      </fill>
    </dxf>
    <dxf>
      <font>
        <name val="Arial"/>
        <charset val="1"/>
        <family val="0"/>
        <b val="1"/>
        <color rgb="FF991B1B"/>
      </font>
      <fill>
        <patternFill>
          <bgColor rgb="FFFEE2E2"/>
        </patternFill>
      </fill>
    </dxf>
    <dxf>
      <font>
        <name val="Arial"/>
        <charset val="1"/>
        <family val="0"/>
        <b val="1"/>
        <color rgb="FF92400E"/>
      </font>
      <fill>
        <patternFill>
          <bgColor rgb="FFFEF3C7"/>
        </patternFill>
      </fill>
    </dxf>
    <dxf>
      <font>
        <name val="Arial"/>
        <charset val="1"/>
        <family val="0"/>
        <b val="1"/>
        <color rgb="FF64748B"/>
      </font>
      <fill>
        <patternFill>
          <bgColor rgb="FFF1F5F9"/>
        </patternFill>
      </fill>
    </dxf>
  </dxfs>
  <colors>
    <indexedColors>
      <rgbColor rgb="FF000000"/>
      <rgbColor rgb="FFFFFFFF"/>
      <rgbColor rgb="FFE11D48"/>
      <rgbColor rgb="FF00FF00"/>
      <rgbColor rgb="FF0000FF"/>
      <rgbColor rgb="FFF8FAFC"/>
      <rgbColor rgb="FFFF00FF"/>
      <rgbColor rgb="FF00FFFF"/>
      <rgbColor rgb="FF991B1B"/>
      <rgbColor rgb="FF008000"/>
      <rgbColor rgb="FF000080"/>
      <rgbColor rgb="FF808000"/>
      <rgbColor rgb="FF800080"/>
      <rgbColor rgb="FF0E8477"/>
      <rgbColor rgb="FFFCE8EC"/>
      <rgbColor rgb="FF808080"/>
      <rgbColor rgb="FF8B5CF6"/>
      <rgbColor rgb="FF6442B1"/>
      <rgbColor rgb="FFFEF3C7"/>
      <rgbColor rgb="FFE7F7F6"/>
      <rgbColor rgb="FF660066"/>
      <rgbColor rgb="FFFF8080"/>
      <rgbColor rgb="FF1D4ED8"/>
      <rgbColor rgb="FFCBD5E1"/>
      <rgbColor rgb="FF000080"/>
      <rgbColor rgb="FFFF00FF"/>
      <rgbColor rgb="FFFFFF00"/>
      <rgbColor rgb="FF00FFFF"/>
      <rgbColor rgb="FF800080"/>
      <rgbColor rgb="FFA21433"/>
      <rgbColor rgb="FF065F46"/>
      <rgbColor rgb="FF0000FF"/>
      <rgbColor rgb="FF00CCFF"/>
      <rgbColor rgb="FFDBEAFE"/>
      <rgbColor rgb="FFD1FAE5"/>
      <rgbColor rgb="FFFFF3B0"/>
      <rgbColor rgb="FFEBF2FE"/>
      <rgbColor rgb="FFF3EEFE"/>
      <rgbColor rgb="FFF1F5F9"/>
      <rgbColor rgb="FFFEE2E2"/>
      <rgbColor rgb="FF3B82F6"/>
      <rgbColor rgb="FF14B8A6"/>
      <rgbColor rgb="FF99CC00"/>
      <rgbColor rgb="FFFFCC00"/>
      <rgbColor rgb="FFF59E0B"/>
      <rgbColor rgb="FFD97706"/>
      <rgbColor rgb="FF64748B"/>
      <rgbColor rgb="FF969696"/>
      <rgbColor rgb="FF2A5DB1"/>
      <rgbColor rgb="FF339966"/>
      <rgbColor rgb="FF0F172A"/>
      <rgbColor rgb="FF333300"/>
      <rgbColor rgb="FF92400E"/>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cel-lab-05-bank-reconciliation.xlsx" TargetMode="External"/><Relationship Id="rId2" Type="http://schemas.openxmlformats.org/officeDocument/2006/relationships/hyperlink" Target="excel-lab-05-bank-reconciliation.xlsx" TargetMode="External"/><Relationship Id="rId3" Type="http://schemas.openxmlformats.org/officeDocument/2006/relationships/hyperlink" Target="excel-lab-05-bank-reconciliation.xlsx" TargetMode="External"/><Relationship Id="rId4" Type="http://schemas.openxmlformats.org/officeDocument/2006/relationships/hyperlink" Target="excel-lab-05-bank-reconciliation.xlsx" TargetMode="External"/><Relationship Id="rId5" Type="http://schemas.openxmlformats.org/officeDocument/2006/relationships/hyperlink" Target="excel-lab-05-bank-reconciliation.xlsx" TargetMode="External"/><Relationship Id="rId6" Type="http://schemas.openxmlformats.org/officeDocument/2006/relationships/hyperlink" Target="excel-lab-05-bank-reconciliat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5" min="4" style="0" width="10"/>
    <col collapsed="false" customWidth="true" hidden="false" outlineLevel="0" max="6" min="6" style="0" width="16"/>
    <col collapsed="false" customWidth="true" hidden="false" outlineLevel="0" max="8" min="7" style="0" width="4"/>
  </cols>
  <sheetData>
    <row r="1" customFormat="false" ht="43.5" hidden="false" customHeight="true" outlineLevel="0" collapsed="false">
      <c r="A1" s="1" t="s">
        <v>0</v>
      </c>
      <c r="B1" s="1"/>
      <c r="C1" s="1"/>
      <c r="D1" s="1"/>
      <c r="E1" s="1"/>
      <c r="F1" s="1"/>
    </row>
    <row r="2" customFormat="false" ht="43.5" hidden="false" customHeight="true" outlineLevel="0" collapsed="false">
      <c r="A2" s="2" t="s">
        <v>1</v>
      </c>
      <c r="B2" s="2"/>
      <c r="C2" s="2"/>
      <c r="D2" s="2"/>
      <c r="E2" s="2"/>
      <c r="F2" s="2"/>
    </row>
    <row r="4" customFormat="false" ht="15" hidden="false" customHeight="false" outlineLevel="0" collapsed="false">
      <c r="A4" s="3" t="s">
        <v>2</v>
      </c>
    </row>
    <row r="5" customFormat="false" ht="27.75" hidden="false" customHeight="true" outlineLevel="0" collapsed="false">
      <c r="A5" s="4" t="n">
        <v>1</v>
      </c>
      <c r="B5" s="5" t="s">
        <v>3</v>
      </c>
      <c r="C5" s="5"/>
      <c r="D5" s="5"/>
      <c r="E5" s="5"/>
      <c r="F5" s="5"/>
    </row>
    <row r="6" customFormat="false" ht="27.75" hidden="false" customHeight="true" outlineLevel="0" collapsed="false">
      <c r="A6" s="4" t="n">
        <v>2</v>
      </c>
      <c r="B6" s="5" t="s">
        <v>4</v>
      </c>
      <c r="C6" s="5"/>
      <c r="D6" s="5"/>
      <c r="E6" s="5"/>
      <c r="F6" s="5"/>
    </row>
    <row r="7" customFormat="false" ht="27.75" hidden="false" customHeight="true" outlineLevel="0" collapsed="false">
      <c r="A7" s="4" t="n">
        <v>3</v>
      </c>
      <c r="B7" s="5" t="s">
        <v>5</v>
      </c>
      <c r="C7" s="5"/>
      <c r="D7" s="5"/>
      <c r="E7" s="5"/>
      <c r="F7" s="5"/>
    </row>
    <row r="8" customFormat="false" ht="27.75" hidden="false" customHeight="true" outlineLevel="0" collapsed="false">
      <c r="A8" s="4" t="n">
        <v>4</v>
      </c>
      <c r="B8" s="5" t="s">
        <v>6</v>
      </c>
      <c r="C8" s="5"/>
      <c r="D8" s="5"/>
      <c r="E8" s="5"/>
      <c r="F8" s="5"/>
    </row>
    <row r="9" customFormat="false" ht="27.75" hidden="false" customHeight="true" outlineLevel="0" collapsed="false">
      <c r="A9" s="4" t="n">
        <v>5</v>
      </c>
      <c r="B9" s="5" t="s">
        <v>7</v>
      </c>
      <c r="C9" s="5"/>
      <c r="D9" s="5"/>
      <c r="E9" s="5"/>
      <c r="F9" s="5"/>
    </row>
    <row r="11" customFormat="false" ht="15" hidden="false" customHeight="false" outlineLevel="0" collapsed="false">
      <c r="A11" s="3" t="s">
        <v>8</v>
      </c>
    </row>
    <row r="12" customFormat="false" ht="19.5" hidden="false" customHeight="true" outlineLevel="0" collapsed="false">
      <c r="A12" s="6"/>
      <c r="B12" s="7" t="s">
        <v>9</v>
      </c>
      <c r="C12" s="7"/>
      <c r="D12" s="7"/>
      <c r="E12" s="7"/>
      <c r="F12" s="7"/>
    </row>
    <row r="13" customFormat="false" ht="19.5" hidden="false" customHeight="true" outlineLevel="0" collapsed="false">
      <c r="A13" s="8"/>
      <c r="B13" s="7" t="s">
        <v>10</v>
      </c>
      <c r="C13" s="7"/>
      <c r="D13" s="7"/>
      <c r="E13" s="7"/>
      <c r="F13" s="7"/>
    </row>
    <row r="14" customFormat="false" ht="19.5" hidden="false" customHeight="true" outlineLevel="0" collapsed="false">
      <c r="A14" s="9"/>
      <c r="B14" s="7" t="s">
        <v>11</v>
      </c>
      <c r="C14" s="7"/>
      <c r="D14" s="7"/>
      <c r="E14" s="7"/>
      <c r="F14" s="7"/>
    </row>
    <row r="15" customFormat="false" ht="19.5" hidden="false" customHeight="true" outlineLevel="0" collapsed="false">
      <c r="A15" s="10"/>
      <c r="B15" s="7" t="s">
        <v>12</v>
      </c>
      <c r="C15" s="7"/>
      <c r="D15" s="7"/>
      <c r="E15" s="7"/>
      <c r="F15" s="7"/>
    </row>
    <row r="16" customFormat="false" ht="19.5" hidden="false" customHeight="true" outlineLevel="0" collapsed="false">
      <c r="A16" s="11"/>
      <c r="B16" s="7" t="s">
        <v>13</v>
      </c>
      <c r="C16" s="7"/>
      <c r="D16" s="7"/>
      <c r="E16" s="7"/>
      <c r="F16" s="7"/>
    </row>
    <row r="18" customFormat="false" ht="21.75" hidden="false" customHeight="true" outlineLevel="0" collapsed="false">
      <c r="A18" s="12" t="s">
        <v>14</v>
      </c>
      <c r="B18" s="12" t="s">
        <v>15</v>
      </c>
      <c r="C18" s="12" t="s">
        <v>16</v>
      </c>
      <c r="D18" s="12" t="s">
        <v>17</v>
      </c>
      <c r="E18" s="12" t="s">
        <v>18</v>
      </c>
      <c r="F18" s="12" t="s">
        <v>19</v>
      </c>
    </row>
    <row r="19" customFormat="false" ht="19.5" hidden="false" customHeight="true" outlineLevel="0" collapsed="false">
      <c r="A19" s="13" t="n">
        <v>1</v>
      </c>
      <c r="B19" s="14" t="s">
        <v>20</v>
      </c>
      <c r="C19" s="15" t="s">
        <v>21</v>
      </c>
      <c r="D19" s="16" t="n">
        <v>7</v>
      </c>
      <c r="E19" s="13" t="n">
        <f aca="false">COUNTIF('L1 Two books, two balances'!N9:N15,"✓*")</f>
        <v>0</v>
      </c>
      <c r="F19" s="17" t="n">
        <f aca="false">IFERROR(E19/D19,0)</f>
        <v>0</v>
      </c>
    </row>
    <row r="20" customFormat="false" ht="19.5" hidden="false" customHeight="true" outlineLevel="0" collapsed="false">
      <c r="A20" s="13" t="n">
        <v>2</v>
      </c>
      <c r="B20" s="14" t="s">
        <v>22</v>
      </c>
      <c r="C20" s="15" t="s">
        <v>23</v>
      </c>
      <c r="D20" s="16" t="n">
        <v>6</v>
      </c>
      <c r="E20" s="13" t="n">
        <f aca="false">COUNTIF('L2 Match by reference'!O9:O14,"✓*")</f>
        <v>0</v>
      </c>
      <c r="F20" s="17" t="n">
        <f aca="false">IFERROR(E20/D20,0)</f>
        <v>0</v>
      </c>
    </row>
    <row r="21" customFormat="false" ht="19.5" hidden="false" customHeight="true" outlineLevel="0" collapsed="false">
      <c r="A21" s="13" t="n">
        <v>3</v>
      </c>
      <c r="B21" s="14" t="s">
        <v>24</v>
      </c>
      <c r="C21" s="15" t="s">
        <v>23</v>
      </c>
      <c r="D21" s="16" t="n">
        <v>6</v>
      </c>
      <c r="E21" s="13" t="n">
        <f aca="false">COUNTIF('L3 The bank''s own entries'!O9:O14,"✓*")</f>
        <v>0</v>
      </c>
      <c r="F21" s="17" t="n">
        <f aca="false">IFERROR(E21/D21,0)</f>
        <v>0</v>
      </c>
    </row>
    <row r="22" customFormat="false" ht="19.5" hidden="false" customHeight="true" outlineLevel="0" collapsed="false">
      <c r="A22" s="13" t="n">
        <v>4</v>
      </c>
      <c r="B22" s="14" t="s">
        <v>25</v>
      </c>
      <c r="C22" s="15" t="s">
        <v>26</v>
      </c>
      <c r="D22" s="16" t="n">
        <v>5</v>
      </c>
      <c r="E22" s="13" t="n">
        <f aca="false">COUNTIF('L4 Amounts that don''t agree'!P9:P13,"✓*")</f>
        <v>0</v>
      </c>
      <c r="F22" s="17" t="n">
        <f aca="false">IFERROR(E22/D22,0)</f>
        <v>0</v>
      </c>
    </row>
    <row r="23" customFormat="false" ht="19.5" hidden="false" customHeight="true" outlineLevel="0" collapsed="false">
      <c r="A23" s="13" t="n">
        <v>5</v>
      </c>
      <c r="B23" s="14" t="s">
        <v>27</v>
      </c>
      <c r="C23" s="15" t="s">
        <v>26</v>
      </c>
      <c r="D23" s="16" t="n">
        <v>7</v>
      </c>
      <c r="E23" s="13" t="n">
        <f aca="false">COUNTIF('L5 The reconciliation statement'!N9:N15,"✓*")</f>
        <v>0</v>
      </c>
      <c r="F23" s="17" t="n">
        <f aca="false">IFERROR(E23/D23,0)</f>
        <v>0</v>
      </c>
    </row>
    <row r="24" customFormat="false" ht="19.5" hidden="false" customHeight="true" outlineLevel="0" collapsed="false">
      <c r="A24" s="13" t="n">
        <v>6</v>
      </c>
      <c r="B24" s="14" t="s">
        <v>28</v>
      </c>
      <c r="C24" s="15" t="s">
        <v>29</v>
      </c>
      <c r="D24" s="16" t="n">
        <v>5</v>
      </c>
      <c r="E24" s="13" t="n">
        <f aca="false">COUNTIF('L6 Boss round — automatic recon'!O9:O13,"✓*")</f>
        <v>0</v>
      </c>
      <c r="F24" s="17" t="n">
        <f aca="false">IFERROR(E24/D24,0)</f>
        <v>0</v>
      </c>
    </row>
    <row r="25" customFormat="false" ht="15" hidden="false" customHeight="false" outlineLevel="0" collapsed="false">
      <c r="B25" s="18" t="s">
        <v>30</v>
      </c>
      <c r="D25" s="13" t="n">
        <f aca="false">SUM(D19:D24)</f>
        <v>36</v>
      </c>
      <c r="E25" s="13" t="n">
        <f aca="false">SUM(E19:E24)</f>
        <v>0</v>
      </c>
      <c r="F25" s="19" t="n">
        <f aca="false">IFERROR(E25/D25,0)</f>
        <v>0</v>
      </c>
    </row>
    <row r="27" customFormat="false" ht="15" hidden="false" customHeight="false" outlineLevel="0" collapsed="false">
      <c r="A27" s="20" t="s">
        <v>31</v>
      </c>
      <c r="B27" s="20"/>
      <c r="C27" s="20"/>
      <c r="D27" s="20"/>
      <c r="E27" s="20"/>
      <c r="F27" s="20"/>
    </row>
  </sheetData>
  <mergeCells count="13">
    <mergeCell ref="A1:F1"/>
    <mergeCell ref="A2:F2"/>
    <mergeCell ref="B5:F5"/>
    <mergeCell ref="B6:F6"/>
    <mergeCell ref="B7:F7"/>
    <mergeCell ref="B8:F8"/>
    <mergeCell ref="B9:F9"/>
    <mergeCell ref="B12:F12"/>
    <mergeCell ref="B13:F13"/>
    <mergeCell ref="B14:F14"/>
    <mergeCell ref="B15:F15"/>
    <mergeCell ref="B16:F16"/>
    <mergeCell ref="A27:F27"/>
  </mergeCells>
  <conditionalFormatting sqref="F19:F25">
    <cfRule type="dataBar" priority="2">
      <dataBar showValue="1" minLength="10" maxLength="90">
        <cfvo type="num" val="0"/>
        <cfvo type="num" val="1"/>
        <color rgb="FF8B5CF6"/>
      </dataBar>
      <extLst>
        <ext xmlns:x14="http://schemas.microsoft.com/office/spreadsheetml/2009/9/main" uri="{B025F937-C7B1-47D3-B67F-A62EFF666E3E}">
          <x14:id>{A3FD1CA3-C62D-4596-9D9A-9F6C2ABE3EAD}</x14:id>
        </ext>
      </extLst>
    </cfRule>
  </conditionalFormatting>
  <hyperlinks>
    <hyperlink ref="B19" r:id="rId1" location="'L1%20Two%20books,%20two%20balances'!A1" display="L1 Two books, two balances"/>
    <hyperlink ref="B20" r:id="rId2" location="'L2%20Match%20by%20reference'!A1" display="L2 Match by reference"/>
    <hyperlink ref="B21" r:id="rId3" location="'L3%20The%20bank''s%20own%20entries'!A1" display="L3 The bank's own entries"/>
    <hyperlink ref="B22" r:id="rId4" location="'L4%20Amounts%20that%20don''t%20agree'!A1" display="L4 Amounts that don't agree"/>
    <hyperlink ref="B23" r:id="rId5" location="'L5%20The%20reconciliation%20statement'!A1" display="L5 The reconciliation statement"/>
    <hyperlink ref="B24" r:id="rId6" location="'L6%20Boss%20round%20—%20automatic%20recon'!A1" display="L6 Boss round — automatic rec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3FD1CA3-C62D-4596-9D9A-9F6C2ABE3EAD}">
            <x14:dataBar minLength="10" maxLength="90" axisPosition="none" gradient="true">
              <x14:cfvo type="num">
                <xm:f>0</xm:f>
              </x14:cfvo>
              <x14:cfvo type="num">
                <xm:f>1</xm:f>
              </x14:cfvo>
              <x14:negativeFillColor rgb="FF8B5CF6"/>
              <x14:axisColor rgb="FF000000"/>
            </x14:dataBar>
          </x14:cfRule>
          <xm:sqref>F19:F25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6" min="6" style="0" width="11"/>
    <col collapsed="false" customWidth="true" hidden="false" outlineLevel="0" max="7" min="7" style="0" width="12"/>
    <col collapsed="false" customWidth="true" hidden="false" outlineLevel="0" max="8" min="8" style="0" width="30"/>
    <col collapsed="false" customWidth="true" hidden="false" outlineLevel="0" max="9" min="9" style="0" width="13"/>
    <col collapsed="false" customWidth="true" hidden="false" outlineLevel="0" max="10" min="10" style="0" width="3"/>
    <col collapsed="false" customWidth="true" hidden="false" outlineLevel="0" max="11" min="11" style="0" width="5"/>
    <col collapsed="false" customWidth="true" hidden="false" outlineLevel="0" max="12" min="12" style="0" width="46"/>
    <col collapsed="false" customWidth="true" hidden="false" outlineLevel="0" max="13" min="13" style="0" width="18"/>
    <col collapsed="false" customWidth="true" hidden="false" outlineLevel="0" max="14" min="14" style="0" width="17"/>
    <col collapsed="false" customWidth="true" hidden="false" outlineLevel="0" max="15" min="15" style="0" width="38"/>
    <col collapsed="false" customWidth="true" hidden="true" outlineLevel="0" max="17" min="16" style="0" width="13"/>
  </cols>
  <sheetData>
    <row r="1" customFormat="false" ht="31.5" hidden="false" customHeight="true" outlineLevel="0" collapsed="false">
      <c r="A1" s="21" t="s">
        <v>32</v>
      </c>
      <c r="B1" s="21"/>
      <c r="C1" s="21"/>
      <c r="D1" s="21"/>
      <c r="E1" s="21"/>
      <c r="F1" s="21"/>
      <c r="G1" s="21"/>
      <c r="H1" s="21"/>
      <c r="I1" s="21"/>
      <c r="J1" s="21"/>
      <c r="K1" s="21"/>
      <c r="L1" s="21"/>
      <c r="M1" s="21"/>
      <c r="N1" s="21"/>
      <c r="O1" s="21"/>
    </row>
    <row r="2" customFormat="false" ht="19.5" hidden="false" customHeight="true" outlineLevel="0" collapsed="false">
      <c r="A2" s="22" t="s">
        <v>33</v>
      </c>
      <c r="B2" s="22"/>
      <c r="C2" s="22"/>
      <c r="D2" s="22"/>
      <c r="E2" s="22"/>
      <c r="F2" s="22"/>
      <c r="G2" s="22"/>
      <c r="H2" s="22"/>
      <c r="I2" s="22"/>
      <c r="J2" s="22"/>
      <c r="K2" s="22"/>
      <c r="L2" s="22"/>
      <c r="M2" s="22"/>
      <c r="N2" s="22"/>
      <c r="O2" s="22"/>
    </row>
    <row r="3" customFormat="false" ht="18.75" hidden="false" customHeight="true" outlineLevel="0" collapsed="false">
      <c r="A3" s="23" t="s">
        <v>34</v>
      </c>
      <c r="B3" s="23"/>
      <c r="C3" s="23"/>
      <c r="D3" s="23"/>
      <c r="E3" s="23"/>
      <c r="F3" s="23"/>
      <c r="G3" s="23"/>
      <c r="H3" s="23"/>
      <c r="I3" s="23"/>
      <c r="J3" s="23"/>
      <c r="K3" s="23"/>
      <c r="L3" s="23"/>
      <c r="M3" s="23"/>
      <c r="N3" s="23"/>
      <c r="O3" s="23"/>
    </row>
    <row r="4" customFormat="false" ht="18.75" hidden="false" customHeight="true" outlineLevel="0" collapsed="false">
      <c r="A4" s="23"/>
      <c r="B4" s="23"/>
      <c r="C4" s="23"/>
      <c r="D4" s="23"/>
      <c r="E4" s="23"/>
      <c r="F4" s="23"/>
      <c r="G4" s="23"/>
      <c r="H4" s="23"/>
      <c r="I4" s="23"/>
      <c r="J4" s="23"/>
      <c r="K4" s="23"/>
      <c r="L4" s="23"/>
      <c r="M4" s="23"/>
      <c r="N4" s="23"/>
      <c r="O4" s="23"/>
    </row>
    <row r="5" customFormat="false" ht="18.75" hidden="false" customHeight="true" outlineLevel="0" collapsed="false">
      <c r="A5" s="23"/>
      <c r="B5" s="23"/>
      <c r="C5" s="23"/>
      <c r="D5" s="23"/>
      <c r="E5" s="23"/>
      <c r="F5" s="23"/>
      <c r="G5" s="23"/>
      <c r="H5" s="23"/>
      <c r="I5" s="23"/>
      <c r="J5" s="23"/>
      <c r="K5" s="23"/>
      <c r="L5" s="23"/>
      <c r="M5" s="23"/>
      <c r="N5" s="23"/>
      <c r="O5" s="23"/>
    </row>
    <row r="6" customFormat="false" ht="19.5" hidden="false" customHeight="true" outlineLevel="0" collapsed="false">
      <c r="A6" s="24" t="s">
        <v>35</v>
      </c>
      <c r="B6" s="25" t="n">
        <v>842500</v>
      </c>
    </row>
    <row r="8" customFormat="false" ht="24" hidden="false" customHeight="true" outlineLevel="0" collapsed="false">
      <c r="A8" s="26" t="s">
        <v>36</v>
      </c>
      <c r="B8" s="26" t="s">
        <v>37</v>
      </c>
      <c r="C8" s="26" t="s">
        <v>38</v>
      </c>
      <c r="D8" s="26" t="s">
        <v>39</v>
      </c>
      <c r="F8" s="26" t="s">
        <v>36</v>
      </c>
      <c r="G8" s="26" t="s">
        <v>37</v>
      </c>
      <c r="H8" s="26" t="s">
        <v>38</v>
      </c>
      <c r="I8" s="26" t="s">
        <v>39</v>
      </c>
      <c r="K8" s="27" t="s">
        <v>14</v>
      </c>
      <c r="L8" s="27" t="s">
        <v>40</v>
      </c>
      <c r="M8" s="27" t="s">
        <v>41</v>
      </c>
      <c r="N8" s="27" t="s">
        <v>42</v>
      </c>
      <c r="O8" s="27" t="s">
        <v>43</v>
      </c>
    </row>
    <row r="9" customFormat="false" ht="33.75" hidden="false" customHeight="true" outlineLevel="0" collapsed="false">
      <c r="A9" s="28" t="s">
        <v>44</v>
      </c>
      <c r="B9" s="29" t="n">
        <v>46112</v>
      </c>
      <c r="C9" s="28" t="s">
        <v>45</v>
      </c>
      <c r="D9" s="30" t="n">
        <v>29800</v>
      </c>
      <c r="F9" s="28" t="s">
        <v>46</v>
      </c>
      <c r="G9" s="29" t="n">
        <v>46105</v>
      </c>
      <c r="H9" s="28" t="s">
        <v>47</v>
      </c>
      <c r="I9" s="30" t="n">
        <v>25000</v>
      </c>
      <c r="K9" s="31" t="n">
        <v>1</v>
      </c>
      <c r="L9" s="32" t="s">
        <v>48</v>
      </c>
      <c r="M9" s="33"/>
      <c r="N9" s="34" t="str">
        <f aca="false">IF(ISBLANK(M9),"◯ Not attempted",IF(NOT(_xlfn.ISFORMULA(M9)),"✎ Use a formula",IF(ISNUMBER(M9),IF(ABS(M9-$P$9)&lt;0.005,"✓ Correct","✗ Check again"),"✗ Not a number")))</f>
        <v>◯ Not attempted</v>
      </c>
      <c r="O9" s="35" t="s">
        <v>49</v>
      </c>
      <c r="P9" s="0" t="n">
        <f aca="false">SUM($D$9:$D$42)</f>
        <v>-26450</v>
      </c>
    </row>
    <row r="10" customFormat="false" ht="33.75" hidden="false" customHeight="true" outlineLevel="0" collapsed="false">
      <c r="A10" s="36" t="s">
        <v>50</v>
      </c>
      <c r="B10" s="37" t="n">
        <v>46107</v>
      </c>
      <c r="C10" s="36" t="s">
        <v>51</v>
      </c>
      <c r="D10" s="38" t="n">
        <v>-96500</v>
      </c>
      <c r="F10" s="36" t="s">
        <v>52</v>
      </c>
      <c r="G10" s="37" t="n">
        <v>46108</v>
      </c>
      <c r="H10" s="36" t="s">
        <v>53</v>
      </c>
      <c r="I10" s="38" t="n">
        <v>189000</v>
      </c>
      <c r="K10" s="31" t="n">
        <v>2</v>
      </c>
      <c r="L10" s="32" t="s">
        <v>54</v>
      </c>
      <c r="M10" s="33"/>
      <c r="N10" s="34" t="str">
        <f aca="false">IF(ISBLANK(M10),"◯ Not attempted",IF(NOT(_xlfn.ISFORMULA(M10)),"✎ Use a formula",IF(ISNUMBER(M10),IF(ABS(M10-$P$10)&lt;0.005,"✓ Correct","✗ Check again"),"✗ Not a number")))</f>
        <v>◯ Not attempted</v>
      </c>
      <c r="O10" s="35" t="s">
        <v>55</v>
      </c>
      <c r="P10" s="0" t="n">
        <f aca="false">$B$6+SUM($D$9:$D$42)</f>
        <v>816050</v>
      </c>
    </row>
    <row r="11" customFormat="false" ht="33.75" hidden="false" customHeight="true" outlineLevel="0" collapsed="false">
      <c r="A11" s="28" t="s">
        <v>56</v>
      </c>
      <c r="B11" s="29" t="n">
        <v>46108</v>
      </c>
      <c r="C11" s="28" t="s">
        <v>57</v>
      </c>
      <c r="D11" s="30" t="n">
        <v>-41200</v>
      </c>
      <c r="F11" s="28" t="s">
        <v>58</v>
      </c>
      <c r="G11" s="29" t="n">
        <v>46086</v>
      </c>
      <c r="H11" s="28" t="s">
        <v>59</v>
      </c>
      <c r="I11" s="30" t="n">
        <v>75500</v>
      </c>
      <c r="K11" s="31" t="n">
        <v>3</v>
      </c>
      <c r="L11" s="32" t="s">
        <v>60</v>
      </c>
      <c r="M11" s="33"/>
      <c r="N11" s="34" t="str">
        <f aca="false">IF(ISBLANK(M11),"◯ Not attempted",IF(NOT(_xlfn.ISFORMULA(M11)),"✎ Use a formula",IF(ISNUMBER(M11),IF(ABS(M11-$P$11)&lt;0.005,"✓ Correct","✗ Check again"),"✗ Not a number")))</f>
        <v>◯ Not attempted</v>
      </c>
      <c r="O11" s="35" t="s">
        <v>61</v>
      </c>
      <c r="P11" s="0" t="n">
        <f aca="false">SUM($I$9:$I$40)</f>
        <v>143304</v>
      </c>
    </row>
    <row r="12" customFormat="false" ht="33.75" hidden="false" customHeight="true" outlineLevel="0" collapsed="false">
      <c r="A12" s="36" t="s">
        <v>62</v>
      </c>
      <c r="B12" s="37" t="n">
        <v>46095</v>
      </c>
      <c r="C12" s="36" t="s">
        <v>63</v>
      </c>
      <c r="D12" s="38" t="n">
        <v>225500</v>
      </c>
      <c r="F12" s="36" t="s">
        <v>62</v>
      </c>
      <c r="G12" s="37" t="n">
        <v>46097</v>
      </c>
      <c r="H12" s="36" t="s">
        <v>64</v>
      </c>
      <c r="I12" s="38" t="n">
        <v>225500</v>
      </c>
      <c r="K12" s="31" t="n">
        <v>4</v>
      </c>
      <c r="L12" s="32" t="s">
        <v>65</v>
      </c>
      <c r="M12" s="33"/>
      <c r="N12" s="34" t="str">
        <f aca="false">IF(ISBLANK(M12),"◯ Not attempted",IF(NOT(_xlfn.ISFORMULA(M12)),"✎ Use a formula",IF(ISNUMBER(M12),IF(ABS(M12-$P$12)&lt;0.005,"✓ Correct","✗ Check again"),"✗ Not a number")))</f>
        <v>◯ Not attempted</v>
      </c>
      <c r="O12" s="35" t="s">
        <v>66</v>
      </c>
      <c r="P12" s="0" t="n">
        <f aca="false">$B$6+SUM($I$9:$I$40)</f>
        <v>985804</v>
      </c>
    </row>
    <row r="13" customFormat="false" ht="33.75" hidden="false" customHeight="true" outlineLevel="0" collapsed="false">
      <c r="A13" s="28" t="s">
        <v>67</v>
      </c>
      <c r="B13" s="29" t="n">
        <v>46111</v>
      </c>
      <c r="C13" s="28" t="s">
        <v>68</v>
      </c>
      <c r="D13" s="30" t="n">
        <v>-23750</v>
      </c>
      <c r="F13" s="28" t="s">
        <v>69</v>
      </c>
      <c r="G13" s="29" t="n">
        <v>46087</v>
      </c>
      <c r="H13" s="28" t="s">
        <v>70</v>
      </c>
      <c r="I13" s="30" t="n">
        <v>97500</v>
      </c>
      <c r="K13" s="31" t="n">
        <v>5</v>
      </c>
      <c r="L13" s="32" t="s">
        <v>71</v>
      </c>
      <c r="M13" s="33"/>
      <c r="N13" s="34" t="str">
        <f aca="false">IF(ISBLANK(M13),"◯ Not attempted",IF(NOT(_xlfn.ISFORMULA(M13)),"✎ Use a formula",IF(ISNUMBER(M13),IF(ABS(M13-$P$13)&lt;0.005,"✓ Correct","✗ Check again"),"✗ Not a number")))</f>
        <v>◯ Not attempted</v>
      </c>
      <c r="O13" s="35" t="s">
        <v>72</v>
      </c>
      <c r="P13" s="0" t="n">
        <f aca="false">SUM($I$9:$I$40)-SUM($D$9:$D$42)</f>
        <v>169754</v>
      </c>
    </row>
    <row r="14" customFormat="false" ht="33.75" hidden="false" customHeight="true" outlineLevel="0" collapsed="false">
      <c r="A14" s="36" t="s">
        <v>73</v>
      </c>
      <c r="B14" s="37" t="n">
        <v>46106</v>
      </c>
      <c r="C14" s="36" t="s">
        <v>74</v>
      </c>
      <c r="D14" s="38" t="n">
        <v>226500</v>
      </c>
      <c r="F14" s="36" t="s">
        <v>75</v>
      </c>
      <c r="G14" s="37" t="n">
        <v>46099</v>
      </c>
      <c r="H14" s="36" t="s">
        <v>76</v>
      </c>
      <c r="I14" s="38" t="n">
        <v>-155500</v>
      </c>
      <c r="K14" s="31" t="n">
        <v>6</v>
      </c>
      <c r="L14" s="32" t="s">
        <v>77</v>
      </c>
      <c r="M14" s="39"/>
      <c r="N14" s="34" t="str">
        <f aca="false">IF(ISBLANK(M14),"◯ Not attempted",IF(NOT(_xlfn.ISFORMULA(M14)),"✎ Use a formula",IF(ISNUMBER(M14),IF(ABS(M14-$P$14)&lt;0.005,"✓ Correct","✗ Check again"),"✗ Not a number")))</f>
        <v>◯ Not attempted</v>
      </c>
      <c r="O14" s="35" t="s">
        <v>78</v>
      </c>
      <c r="P14" s="40" t="n">
        <f aca="false">COUNTA($A$9:$A$42)</f>
        <v>34</v>
      </c>
    </row>
    <row r="15" customFormat="false" ht="33.75" hidden="false" customHeight="true" outlineLevel="0" collapsed="false">
      <c r="A15" s="28" t="s">
        <v>52</v>
      </c>
      <c r="B15" s="29" t="n">
        <v>46105</v>
      </c>
      <c r="C15" s="28" t="s">
        <v>79</v>
      </c>
      <c r="D15" s="30" t="n">
        <v>189000</v>
      </c>
      <c r="F15" s="28" t="s">
        <v>80</v>
      </c>
      <c r="G15" s="29" t="n">
        <v>46106</v>
      </c>
      <c r="H15" s="28" t="s">
        <v>81</v>
      </c>
      <c r="I15" s="30" t="n">
        <v>90500</v>
      </c>
      <c r="K15" s="31" t="n">
        <v>7</v>
      </c>
      <c r="L15" s="32" t="s">
        <v>82</v>
      </c>
      <c r="M15" s="39"/>
      <c r="N15" s="34" t="str">
        <f aca="false">IF(ISBLANK(M15),"◯ Not attempted",IF(NOT(_xlfn.ISFORMULA(M15)),"✎ Use a formula",IF(ISNUMBER(M15),IF(ABS(M15-$P$15)&lt;0.005,"✓ Correct","✗ Check again"),"✗ Not a number")))</f>
        <v>◯ Not attempted</v>
      </c>
      <c r="O15" s="35" t="s">
        <v>83</v>
      </c>
      <c r="P15" s="40" t="n">
        <f aca="false">COUNTA($F$9:$F$40)</f>
        <v>32</v>
      </c>
    </row>
    <row r="16" customFormat="false" ht="15" hidden="false" customHeight="false" outlineLevel="0" collapsed="false">
      <c r="A16" s="36" t="s">
        <v>75</v>
      </c>
      <c r="B16" s="37" t="n">
        <v>46099</v>
      </c>
      <c r="C16" s="36" t="s">
        <v>84</v>
      </c>
      <c r="D16" s="38" t="n">
        <v>-155500</v>
      </c>
      <c r="F16" s="36" t="s">
        <v>85</v>
      </c>
      <c r="G16" s="37" t="n">
        <v>46103</v>
      </c>
      <c r="H16" s="36" t="s">
        <v>86</v>
      </c>
      <c r="I16" s="38" t="n">
        <v>68000</v>
      </c>
    </row>
    <row r="17" customFormat="false" ht="15" hidden="false" customHeight="false" outlineLevel="0" collapsed="false">
      <c r="A17" s="28" t="s">
        <v>87</v>
      </c>
      <c r="B17" s="29" t="n">
        <v>46091</v>
      </c>
      <c r="C17" s="28" t="s">
        <v>84</v>
      </c>
      <c r="D17" s="30" t="n">
        <v>-162500</v>
      </c>
      <c r="F17" s="28" t="s">
        <v>88</v>
      </c>
      <c r="G17" s="29" t="n">
        <v>46101</v>
      </c>
      <c r="H17" s="28" t="s">
        <v>89</v>
      </c>
      <c r="I17" s="30" t="n">
        <v>117410</v>
      </c>
    </row>
    <row r="18" customFormat="false" ht="15" hidden="false" customHeight="false" outlineLevel="0" collapsed="false">
      <c r="A18" s="36" t="s">
        <v>90</v>
      </c>
      <c r="B18" s="37" t="n">
        <v>46099</v>
      </c>
      <c r="C18" s="36" t="s">
        <v>91</v>
      </c>
      <c r="D18" s="38" t="n">
        <v>146000</v>
      </c>
      <c r="F18" s="36" t="s">
        <v>87</v>
      </c>
      <c r="G18" s="37" t="n">
        <v>46091</v>
      </c>
      <c r="H18" s="36" t="s">
        <v>76</v>
      </c>
      <c r="I18" s="38" t="n">
        <v>-162500</v>
      </c>
    </row>
    <row r="19" customFormat="false" ht="15" hidden="false" customHeight="false" outlineLevel="0" collapsed="false">
      <c r="A19" s="28" t="s">
        <v>80</v>
      </c>
      <c r="B19" s="29" t="n">
        <v>46104</v>
      </c>
      <c r="C19" s="28" t="s">
        <v>92</v>
      </c>
      <c r="D19" s="30" t="n">
        <v>90500</v>
      </c>
      <c r="F19" s="28" t="s">
        <v>93</v>
      </c>
      <c r="G19" s="29" t="n">
        <v>46112</v>
      </c>
      <c r="H19" s="28" t="s">
        <v>94</v>
      </c>
      <c r="I19" s="30" t="n">
        <v>-1180</v>
      </c>
    </row>
    <row r="20" customFormat="false" ht="15" hidden="false" customHeight="false" outlineLevel="0" collapsed="false">
      <c r="A20" s="36" t="s">
        <v>69</v>
      </c>
      <c r="B20" s="37" t="n">
        <v>46087</v>
      </c>
      <c r="C20" s="36" t="s">
        <v>95</v>
      </c>
      <c r="D20" s="38" t="n">
        <v>97500</v>
      </c>
      <c r="F20" s="36" t="s">
        <v>96</v>
      </c>
      <c r="G20" s="37" t="n">
        <v>46097</v>
      </c>
      <c r="H20" s="36" t="s">
        <v>97</v>
      </c>
      <c r="I20" s="38" t="n">
        <v>-199000</v>
      </c>
    </row>
    <row r="21" customFormat="false" ht="15" hidden="false" customHeight="false" outlineLevel="0" collapsed="false">
      <c r="A21" s="28" t="s">
        <v>98</v>
      </c>
      <c r="B21" s="29" t="n">
        <v>46094</v>
      </c>
      <c r="C21" s="28" t="s">
        <v>95</v>
      </c>
      <c r="D21" s="30" t="n">
        <v>88000</v>
      </c>
      <c r="F21" s="28" t="s">
        <v>98</v>
      </c>
      <c r="G21" s="29" t="n">
        <v>46098</v>
      </c>
      <c r="H21" s="28" t="s">
        <v>70</v>
      </c>
      <c r="I21" s="30" t="n">
        <v>88000</v>
      </c>
    </row>
    <row r="22" customFormat="false" ht="15" hidden="false" customHeight="false" outlineLevel="0" collapsed="false">
      <c r="A22" s="36" t="s">
        <v>99</v>
      </c>
      <c r="B22" s="37" t="n">
        <v>46112</v>
      </c>
      <c r="C22" s="36" t="s">
        <v>100</v>
      </c>
      <c r="D22" s="38" t="n">
        <v>-67400</v>
      </c>
      <c r="F22" s="36" t="s">
        <v>101</v>
      </c>
      <c r="G22" s="37" t="n">
        <v>46092</v>
      </c>
      <c r="H22" s="36" t="s">
        <v>102</v>
      </c>
      <c r="I22" s="38" t="n">
        <v>-80500</v>
      </c>
    </row>
    <row r="23" customFormat="false" ht="15" hidden="false" customHeight="false" outlineLevel="0" collapsed="false">
      <c r="A23" s="28" t="s">
        <v>103</v>
      </c>
      <c r="B23" s="29" t="n">
        <v>46090</v>
      </c>
      <c r="C23" s="28" t="s">
        <v>104</v>
      </c>
      <c r="D23" s="30" t="n">
        <v>-90500</v>
      </c>
      <c r="F23" s="28" t="s">
        <v>90</v>
      </c>
      <c r="G23" s="29" t="n">
        <v>46102</v>
      </c>
      <c r="H23" s="28" t="s">
        <v>105</v>
      </c>
      <c r="I23" s="30" t="n">
        <v>146000</v>
      </c>
    </row>
    <row r="24" customFormat="false" ht="15" hidden="false" customHeight="false" outlineLevel="0" collapsed="false">
      <c r="A24" s="36" t="s">
        <v>46</v>
      </c>
      <c r="B24" s="37" t="n">
        <v>46102</v>
      </c>
      <c r="C24" s="36" t="s">
        <v>106</v>
      </c>
      <c r="D24" s="38" t="n">
        <v>25000</v>
      </c>
      <c r="F24" s="36" t="s">
        <v>107</v>
      </c>
      <c r="G24" s="37" t="n">
        <v>46101</v>
      </c>
      <c r="H24" s="36" t="s">
        <v>108</v>
      </c>
      <c r="I24" s="38" t="n">
        <v>-25000</v>
      </c>
    </row>
    <row r="25" customFormat="false" ht="15" hidden="false" customHeight="false" outlineLevel="0" collapsed="false">
      <c r="A25" s="28" t="s">
        <v>109</v>
      </c>
      <c r="B25" s="29" t="n">
        <v>46085</v>
      </c>
      <c r="C25" s="28" t="s">
        <v>110</v>
      </c>
      <c r="D25" s="30" t="n">
        <v>-67500</v>
      </c>
      <c r="F25" s="28" t="s">
        <v>111</v>
      </c>
      <c r="G25" s="29" t="n">
        <v>46098</v>
      </c>
      <c r="H25" s="28" t="s">
        <v>112</v>
      </c>
      <c r="I25" s="30" t="n">
        <v>19000</v>
      </c>
    </row>
    <row r="26" customFormat="false" ht="15" hidden="false" customHeight="false" outlineLevel="0" collapsed="false">
      <c r="A26" s="36" t="s">
        <v>113</v>
      </c>
      <c r="B26" s="37" t="n">
        <v>46085</v>
      </c>
      <c r="C26" s="36" t="s">
        <v>114</v>
      </c>
      <c r="D26" s="38" t="n">
        <v>-149500</v>
      </c>
      <c r="F26" s="36" t="s">
        <v>115</v>
      </c>
      <c r="G26" s="37" t="n">
        <v>46092</v>
      </c>
      <c r="H26" s="36" t="s">
        <v>116</v>
      </c>
      <c r="I26" s="38" t="n">
        <v>-49500</v>
      </c>
    </row>
    <row r="27" customFormat="false" ht="15" hidden="false" customHeight="false" outlineLevel="0" collapsed="false">
      <c r="A27" s="28" t="s">
        <v>117</v>
      </c>
      <c r="B27" s="29" t="n">
        <v>46082</v>
      </c>
      <c r="C27" s="28" t="s">
        <v>51</v>
      </c>
      <c r="D27" s="30" t="n">
        <v>-75000</v>
      </c>
      <c r="F27" s="28" t="s">
        <v>118</v>
      </c>
      <c r="G27" s="29" t="n">
        <v>46096</v>
      </c>
      <c r="H27" s="28" t="s">
        <v>119</v>
      </c>
      <c r="I27" s="30" t="n">
        <v>-12500</v>
      </c>
    </row>
    <row r="28" customFormat="false" ht="15" hidden="false" customHeight="false" outlineLevel="0" collapsed="false">
      <c r="A28" s="36" t="s">
        <v>120</v>
      </c>
      <c r="B28" s="37" t="n">
        <v>46099</v>
      </c>
      <c r="C28" s="36" t="s">
        <v>84</v>
      </c>
      <c r="D28" s="38" t="n">
        <v>-140500</v>
      </c>
      <c r="F28" s="36" t="s">
        <v>103</v>
      </c>
      <c r="G28" s="37" t="n">
        <v>46091</v>
      </c>
      <c r="H28" s="36" t="s">
        <v>121</v>
      </c>
      <c r="I28" s="38" t="n">
        <v>-90500</v>
      </c>
    </row>
    <row r="29" customFormat="false" ht="15" hidden="false" customHeight="false" outlineLevel="0" collapsed="false">
      <c r="A29" s="28" t="s">
        <v>122</v>
      </c>
      <c r="B29" s="29" t="n">
        <v>46103</v>
      </c>
      <c r="C29" s="28" t="s">
        <v>123</v>
      </c>
      <c r="D29" s="30" t="n">
        <v>160000</v>
      </c>
      <c r="F29" s="28" t="s">
        <v>120</v>
      </c>
      <c r="G29" s="29" t="n">
        <v>46101</v>
      </c>
      <c r="H29" s="28" t="s">
        <v>76</v>
      </c>
      <c r="I29" s="30" t="n">
        <v>-140500</v>
      </c>
    </row>
    <row r="30" customFormat="false" ht="15" hidden="false" customHeight="false" outlineLevel="0" collapsed="false">
      <c r="A30" s="36" t="s">
        <v>111</v>
      </c>
      <c r="B30" s="37" t="n">
        <v>46095</v>
      </c>
      <c r="C30" s="36" t="s">
        <v>74</v>
      </c>
      <c r="D30" s="38" t="n">
        <v>19000</v>
      </c>
      <c r="F30" s="36" t="s">
        <v>124</v>
      </c>
      <c r="G30" s="37" t="n">
        <v>46109</v>
      </c>
      <c r="H30" s="36" t="s">
        <v>125</v>
      </c>
      <c r="I30" s="38" t="n">
        <v>-100000</v>
      </c>
    </row>
    <row r="31" customFormat="false" ht="15" hidden="false" customHeight="false" outlineLevel="0" collapsed="false">
      <c r="A31" s="28" t="s">
        <v>115</v>
      </c>
      <c r="B31" s="29" t="n">
        <v>46090</v>
      </c>
      <c r="C31" s="28" t="s">
        <v>100</v>
      </c>
      <c r="D31" s="30" t="n">
        <v>-45900</v>
      </c>
      <c r="F31" s="28" t="s">
        <v>73</v>
      </c>
      <c r="G31" s="29" t="n">
        <v>46108</v>
      </c>
      <c r="H31" s="28" t="s">
        <v>112</v>
      </c>
      <c r="I31" s="30" t="n">
        <v>226500</v>
      </c>
    </row>
    <row r="32" customFormat="false" ht="15" hidden="false" customHeight="false" outlineLevel="0" collapsed="false">
      <c r="A32" s="36" t="s">
        <v>126</v>
      </c>
      <c r="B32" s="37" t="n">
        <v>46109</v>
      </c>
      <c r="C32" s="36" t="s">
        <v>104</v>
      </c>
      <c r="D32" s="38" t="n">
        <v>-158000</v>
      </c>
      <c r="F32" s="36" t="s">
        <v>113</v>
      </c>
      <c r="G32" s="37" t="n">
        <v>46088</v>
      </c>
      <c r="H32" s="36" t="s">
        <v>97</v>
      </c>
      <c r="I32" s="38" t="n">
        <v>-149500</v>
      </c>
    </row>
    <row r="33" customFormat="false" ht="15" hidden="false" customHeight="false" outlineLevel="0" collapsed="false">
      <c r="A33" s="28" t="s">
        <v>96</v>
      </c>
      <c r="B33" s="29" t="n">
        <v>46095</v>
      </c>
      <c r="C33" s="28" t="s">
        <v>114</v>
      </c>
      <c r="D33" s="30" t="n">
        <v>-199000</v>
      </c>
      <c r="F33" s="28" t="s">
        <v>109</v>
      </c>
      <c r="G33" s="29" t="n">
        <v>46087</v>
      </c>
      <c r="H33" s="28" t="s">
        <v>127</v>
      </c>
      <c r="I33" s="30" t="n">
        <v>-67500</v>
      </c>
    </row>
    <row r="34" customFormat="false" ht="15" hidden="false" customHeight="false" outlineLevel="0" collapsed="false">
      <c r="A34" s="36" t="s">
        <v>101</v>
      </c>
      <c r="B34" s="37" t="n">
        <v>46091</v>
      </c>
      <c r="C34" s="36" t="s">
        <v>128</v>
      </c>
      <c r="D34" s="38" t="n">
        <v>-80500</v>
      </c>
      <c r="F34" s="36" t="s">
        <v>129</v>
      </c>
      <c r="G34" s="37" t="n">
        <v>46106</v>
      </c>
      <c r="H34" s="36" t="s">
        <v>127</v>
      </c>
      <c r="I34" s="38" t="n">
        <v>-233000</v>
      </c>
    </row>
    <row r="35" customFormat="false" ht="15" hidden="false" customHeight="false" outlineLevel="0" collapsed="false">
      <c r="A35" s="28" t="s">
        <v>130</v>
      </c>
      <c r="B35" s="29" t="n">
        <v>46092</v>
      </c>
      <c r="C35" s="28" t="s">
        <v>95</v>
      </c>
      <c r="D35" s="30" t="n">
        <v>195000</v>
      </c>
      <c r="F35" s="28" t="s">
        <v>122</v>
      </c>
      <c r="G35" s="29" t="n">
        <v>46106</v>
      </c>
      <c r="H35" s="28" t="s">
        <v>131</v>
      </c>
      <c r="I35" s="30" t="n">
        <v>160000</v>
      </c>
    </row>
    <row r="36" customFormat="false" ht="15" hidden="false" customHeight="false" outlineLevel="0" collapsed="false">
      <c r="A36" s="36" t="s">
        <v>88</v>
      </c>
      <c r="B36" s="37" t="n">
        <v>46099</v>
      </c>
      <c r="C36" s="36" t="s">
        <v>132</v>
      </c>
      <c r="D36" s="38" t="n">
        <v>118000</v>
      </c>
      <c r="F36" s="36" t="s">
        <v>133</v>
      </c>
      <c r="G36" s="37" t="n">
        <v>46092</v>
      </c>
      <c r="H36" s="36" t="s">
        <v>102</v>
      </c>
      <c r="I36" s="38" t="n">
        <v>-42000</v>
      </c>
    </row>
    <row r="37" customFormat="false" ht="15" hidden="false" customHeight="false" outlineLevel="0" collapsed="false">
      <c r="A37" s="28" t="s">
        <v>133</v>
      </c>
      <c r="B37" s="29" t="n">
        <v>46090</v>
      </c>
      <c r="C37" s="28" t="s">
        <v>128</v>
      </c>
      <c r="D37" s="30" t="n">
        <v>-42000</v>
      </c>
      <c r="F37" s="28" t="s">
        <v>134</v>
      </c>
      <c r="G37" s="29" t="n">
        <v>46112</v>
      </c>
      <c r="H37" s="28" t="s">
        <v>135</v>
      </c>
      <c r="I37" s="30" t="n">
        <v>-236</v>
      </c>
    </row>
    <row r="38" customFormat="false" ht="15" hidden="false" customHeight="false" outlineLevel="0" collapsed="false">
      <c r="A38" s="36" t="s">
        <v>124</v>
      </c>
      <c r="B38" s="37" t="n">
        <v>46105</v>
      </c>
      <c r="C38" s="36" t="s">
        <v>136</v>
      </c>
      <c r="D38" s="38" t="n">
        <v>-100000</v>
      </c>
      <c r="F38" s="36" t="s">
        <v>137</v>
      </c>
      <c r="G38" s="37" t="n">
        <v>46112</v>
      </c>
      <c r="H38" s="36" t="s">
        <v>138</v>
      </c>
      <c r="I38" s="38" t="n">
        <v>4310</v>
      </c>
    </row>
    <row r="39" customFormat="false" ht="15" hidden="false" customHeight="false" outlineLevel="0" collapsed="false">
      <c r="A39" s="28" t="s">
        <v>139</v>
      </c>
      <c r="B39" s="29" t="n">
        <v>46111</v>
      </c>
      <c r="C39" s="28" t="s">
        <v>140</v>
      </c>
      <c r="D39" s="30" t="n">
        <v>84000</v>
      </c>
      <c r="F39" s="28" t="s">
        <v>117</v>
      </c>
      <c r="G39" s="29" t="n">
        <v>46083</v>
      </c>
      <c r="H39" s="28" t="s">
        <v>141</v>
      </c>
      <c r="I39" s="30" t="n">
        <v>-75000</v>
      </c>
    </row>
    <row r="40" customFormat="false" ht="15" hidden="false" customHeight="false" outlineLevel="0" collapsed="false">
      <c r="A40" s="36" t="s">
        <v>129</v>
      </c>
      <c r="B40" s="37" t="n">
        <v>46102</v>
      </c>
      <c r="C40" s="36" t="s">
        <v>110</v>
      </c>
      <c r="D40" s="38" t="n">
        <v>-233000</v>
      </c>
      <c r="F40" s="36" t="s">
        <v>130</v>
      </c>
      <c r="G40" s="37" t="n">
        <v>46095</v>
      </c>
      <c r="H40" s="36" t="s">
        <v>70</v>
      </c>
      <c r="I40" s="38" t="n">
        <v>195000</v>
      </c>
    </row>
    <row r="41" customFormat="false" ht="15" hidden="false" customHeight="false" outlineLevel="0" collapsed="false">
      <c r="A41" s="28" t="s">
        <v>58</v>
      </c>
      <c r="B41" s="29" t="n">
        <v>46086</v>
      </c>
      <c r="C41" s="28" t="s">
        <v>142</v>
      </c>
      <c r="D41" s="30" t="n">
        <v>75500</v>
      </c>
    </row>
    <row r="42" customFormat="false" ht="15" hidden="false" customHeight="false" outlineLevel="0" collapsed="false">
      <c r="A42" s="36" t="s">
        <v>143</v>
      </c>
      <c r="B42" s="37" t="n">
        <v>46112</v>
      </c>
      <c r="C42" s="36" t="s">
        <v>79</v>
      </c>
      <c r="D42" s="38" t="n">
        <v>132500</v>
      </c>
    </row>
  </sheetData>
  <mergeCells count="3">
    <mergeCell ref="A1:O1"/>
    <mergeCell ref="A2:O2"/>
    <mergeCell ref="A3:O5"/>
  </mergeCells>
  <conditionalFormatting sqref="N9:N15">
    <cfRule type="expression" priority="2" aboveAverage="0" equalAverage="0" bottom="0" percent="0" rank="0" text="" dxfId="0">
      <formula>LEFT(N9,1)="✓"</formula>
    </cfRule>
    <cfRule type="expression" priority="3" aboveAverage="0" equalAverage="0" bottom="0" percent="0" rank="0" text="" dxfId="1">
      <formula>LEFT(N9,1)="✗"</formula>
    </cfRule>
    <cfRule type="expression" priority="4" aboveAverage="0" equalAverage="0" bottom="0" percent="0" rank="0" text="" dxfId="2">
      <formula>LEFT(N9,1)="✎"</formula>
    </cfRule>
    <cfRule type="expression" priority="5" aboveAverage="0" equalAverage="0" bottom="0" percent="0" rank="0" text="" dxfId="3">
      <formula>LEFT(N9,1)="◯"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R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5" min="5" style="0" width="14"/>
    <col collapsed="false" customWidth="true" hidden="false" outlineLevel="0" max="7" min="7" style="0" width="11"/>
    <col collapsed="false" customWidth="true" hidden="false" outlineLevel="0" max="8" min="8" style="0" width="12"/>
    <col collapsed="false" customWidth="true" hidden="false" outlineLevel="0" max="9" min="9" style="0" width="30"/>
    <col collapsed="false" customWidth="true" hidden="false" outlineLevel="0" max="10" min="10" style="0" width="13"/>
    <col collapsed="false" customWidth="true" hidden="false" outlineLevel="0" max="11" min="11" style="0" width="3"/>
    <col collapsed="false" customWidth="true" hidden="false" outlineLevel="0" max="12" min="12" style="0" width="5"/>
    <col collapsed="false" customWidth="true" hidden="false" outlineLevel="0" max="13" min="13" style="0" width="46"/>
    <col collapsed="false" customWidth="true" hidden="false" outlineLevel="0" max="14" min="14" style="0" width="18"/>
    <col collapsed="false" customWidth="true" hidden="false" outlineLevel="0" max="15" min="15" style="0" width="17"/>
    <col collapsed="false" customWidth="true" hidden="false" outlineLevel="0" max="16" min="16" style="0" width="38"/>
    <col collapsed="false" customWidth="true" hidden="true" outlineLevel="0" max="19" min="17" style="0" width="13"/>
  </cols>
  <sheetData>
    <row r="1" customFormat="false" ht="31.5" hidden="false" customHeight="true" outlineLevel="0" collapsed="false">
      <c r="A1" s="41" t="s">
        <v>144</v>
      </c>
      <c r="B1" s="41"/>
      <c r="C1" s="41"/>
      <c r="D1" s="41"/>
      <c r="E1" s="41"/>
      <c r="F1" s="41"/>
      <c r="G1" s="41"/>
      <c r="H1" s="41"/>
      <c r="I1" s="41"/>
      <c r="J1" s="41"/>
      <c r="K1" s="41"/>
      <c r="L1" s="41"/>
      <c r="M1" s="41"/>
      <c r="N1" s="41"/>
      <c r="O1" s="41"/>
      <c r="P1" s="41"/>
    </row>
    <row r="2" customFormat="false" ht="19.5" hidden="false" customHeight="true" outlineLevel="0" collapsed="false">
      <c r="A2" s="42" t="s">
        <v>145</v>
      </c>
      <c r="B2" s="42"/>
      <c r="C2" s="42"/>
      <c r="D2" s="42"/>
      <c r="E2" s="42"/>
      <c r="F2" s="42"/>
      <c r="G2" s="42"/>
      <c r="H2" s="42"/>
      <c r="I2" s="42"/>
      <c r="J2" s="42"/>
      <c r="K2" s="42"/>
      <c r="L2" s="42"/>
      <c r="M2" s="42"/>
      <c r="N2" s="42"/>
      <c r="O2" s="42"/>
      <c r="P2" s="42"/>
    </row>
    <row r="3" customFormat="false" ht="18.75" hidden="false" customHeight="true" outlineLevel="0" collapsed="false">
      <c r="A3" s="43" t="s">
        <v>146</v>
      </c>
      <c r="B3" s="43"/>
      <c r="C3" s="43"/>
      <c r="D3" s="43"/>
      <c r="E3" s="43"/>
      <c r="F3" s="43"/>
      <c r="G3" s="43"/>
      <c r="H3" s="43"/>
      <c r="I3" s="43"/>
      <c r="J3" s="43"/>
      <c r="K3" s="43"/>
      <c r="L3" s="43"/>
      <c r="M3" s="43"/>
      <c r="N3" s="43"/>
      <c r="O3" s="43"/>
      <c r="P3" s="43"/>
    </row>
    <row r="4" customFormat="false" ht="18.75" hidden="false" customHeight="true" outlineLevel="0" collapsed="false">
      <c r="A4" s="43"/>
      <c r="B4" s="43"/>
      <c r="C4" s="43"/>
      <c r="D4" s="43"/>
      <c r="E4" s="43"/>
      <c r="F4" s="43"/>
      <c r="G4" s="43"/>
      <c r="H4" s="43"/>
      <c r="I4" s="43"/>
      <c r="J4" s="43"/>
      <c r="K4" s="43"/>
      <c r="L4" s="43"/>
      <c r="M4" s="43"/>
      <c r="N4" s="43"/>
      <c r="O4" s="43"/>
      <c r="P4" s="43"/>
    </row>
    <row r="5" customFormat="false" ht="18.75" hidden="false" customHeight="true" outlineLevel="0" collapsed="false">
      <c r="A5" s="43"/>
      <c r="B5" s="43"/>
      <c r="C5" s="43"/>
      <c r="D5" s="43"/>
      <c r="E5" s="43"/>
      <c r="F5" s="43"/>
      <c r="G5" s="43"/>
      <c r="H5" s="43"/>
      <c r="I5" s="43"/>
      <c r="J5" s="43"/>
      <c r="K5" s="43"/>
      <c r="L5" s="43"/>
      <c r="M5" s="43"/>
      <c r="N5" s="43"/>
      <c r="O5" s="43"/>
      <c r="P5" s="43"/>
    </row>
    <row r="6" customFormat="false" ht="19.5" hidden="false" customHeight="true" outlineLevel="0" collapsed="false"/>
    <row r="8" customFormat="false" ht="24" hidden="false" customHeight="true" outlineLevel="0" collapsed="false">
      <c r="A8" s="26" t="s">
        <v>36</v>
      </c>
      <c r="B8" s="26" t="s">
        <v>37</v>
      </c>
      <c r="C8" s="26" t="s">
        <v>38</v>
      </c>
      <c r="D8" s="26" t="s">
        <v>39</v>
      </c>
      <c r="E8" s="44" t="s">
        <v>147</v>
      </c>
      <c r="G8" s="26" t="s">
        <v>36</v>
      </c>
      <c r="H8" s="26" t="s">
        <v>37</v>
      </c>
      <c r="I8" s="26" t="s">
        <v>38</v>
      </c>
      <c r="J8" s="26" t="s">
        <v>39</v>
      </c>
      <c r="L8" s="45" t="s">
        <v>14</v>
      </c>
      <c r="M8" s="45" t="s">
        <v>40</v>
      </c>
      <c r="N8" s="45" t="s">
        <v>41</v>
      </c>
      <c r="O8" s="45" t="s">
        <v>42</v>
      </c>
      <c r="P8" s="45" t="s">
        <v>43</v>
      </c>
    </row>
    <row r="9" customFormat="false" ht="33.75" hidden="false" customHeight="true" outlineLevel="0" collapsed="false">
      <c r="A9" s="28" t="s">
        <v>44</v>
      </c>
      <c r="B9" s="29" t="n">
        <v>46112</v>
      </c>
      <c r="C9" s="28" t="s">
        <v>45</v>
      </c>
      <c r="D9" s="30" t="n">
        <v>29800</v>
      </c>
      <c r="E9" s="46"/>
      <c r="G9" s="28" t="s">
        <v>46</v>
      </c>
      <c r="H9" s="29" t="n">
        <v>46105</v>
      </c>
      <c r="I9" s="28" t="s">
        <v>47</v>
      </c>
      <c r="J9" s="30" t="n">
        <v>25000</v>
      </c>
      <c r="L9" s="47" t="n">
        <v>1</v>
      </c>
      <c r="M9" s="32" t="s">
        <v>148</v>
      </c>
      <c r="N9" s="48" t="s">
        <v>149</v>
      </c>
      <c r="O9" s="34" t="str">
        <f aca="false">IF(COUNTA($E$9:$E$42)=0,"◯ Not attempted",IF(NOT(_xlfn.ISFORMULA(E9)),"✎ Use a formula",IFERROR(IF(SUMPRODUCT(--(UPPER(TRIM($E$9:$E$42&amp;""))=UPPER(TRIM($R$9:$R$42&amp;""))))=ROWS($E$9:$E$42),"✓ Correct","✗ "&amp;(ROWS($E$9:$E$42)-SUMPRODUCT(--(UPPER(TRIM($E$9:$E$42&amp;""))=UPPER(TRIM($R$9:$R$42&amp;"")))))&amp;" rows differ"),"✗ Check the column")))</f>
        <v>◯ Not attempted</v>
      </c>
      <c r="P9" s="35" t="s">
        <v>150</v>
      </c>
      <c r="R9" s="0" t="str">
        <f aca="false">IF(COUNTIF($G$9:$G$40,A9)&gt;0,"Yes","No")</f>
        <v>No</v>
      </c>
    </row>
    <row r="10" customFormat="false" ht="33.75" hidden="false" customHeight="true" outlineLevel="0" collapsed="false">
      <c r="A10" s="36" t="s">
        <v>50</v>
      </c>
      <c r="B10" s="37" t="n">
        <v>46107</v>
      </c>
      <c r="C10" s="36" t="s">
        <v>51</v>
      </c>
      <c r="D10" s="38" t="n">
        <v>-96500</v>
      </c>
      <c r="E10" s="46"/>
      <c r="G10" s="36" t="s">
        <v>52</v>
      </c>
      <c r="H10" s="37" t="n">
        <v>46108</v>
      </c>
      <c r="I10" s="36" t="s">
        <v>53</v>
      </c>
      <c r="J10" s="38" t="n">
        <v>189000</v>
      </c>
      <c r="L10" s="47" t="n">
        <v>2</v>
      </c>
      <c r="M10" s="32" t="s">
        <v>151</v>
      </c>
      <c r="N10" s="39"/>
      <c r="O10" s="34" t="str">
        <f aca="false">IF(ISBLANK(N10),"◯ Not attempted",IF(NOT(_xlfn.ISFORMULA(N10)),"✎ Use a formula",IF(ISNUMBER(N10),IF(ABS(N10-$Q$10)&lt;0.005,"✓ Correct","✗ Check again"),"✗ Not a number")))</f>
        <v>◯ Not attempted</v>
      </c>
      <c r="P10" s="35" t="s">
        <v>152</v>
      </c>
      <c r="Q10" s="40" t="n">
        <f aca="false">SUMPRODUCT(--(COUNTIF($G$9:$G$40,$A$9:$A$42)=0))</f>
        <v>8</v>
      </c>
      <c r="R10" s="0" t="str">
        <f aca="false">IF(COUNTIF($G$9:$G$40,A10)&gt;0,"Yes","No")</f>
        <v>No</v>
      </c>
    </row>
    <row r="11" customFormat="false" ht="33.75" hidden="false" customHeight="true" outlineLevel="0" collapsed="false">
      <c r="A11" s="28" t="s">
        <v>56</v>
      </c>
      <c r="B11" s="29" t="n">
        <v>46108</v>
      </c>
      <c r="C11" s="28" t="s">
        <v>57</v>
      </c>
      <c r="D11" s="30" t="n">
        <v>-41200</v>
      </c>
      <c r="E11" s="46"/>
      <c r="G11" s="28" t="s">
        <v>58</v>
      </c>
      <c r="H11" s="29" t="n">
        <v>46086</v>
      </c>
      <c r="I11" s="28" t="s">
        <v>59</v>
      </c>
      <c r="J11" s="30" t="n">
        <v>75500</v>
      </c>
      <c r="L11" s="47" t="n">
        <v>3</v>
      </c>
      <c r="M11" s="32" t="s">
        <v>153</v>
      </c>
      <c r="N11" s="33"/>
      <c r="O11" s="34" t="str">
        <f aca="false">IF(ISBLANK(N11),"◯ Not attempted",IF(NOT(_xlfn.ISFORMULA(N11)),"✎ Use a formula",IF(ISNUMBER(N11),IF(ABS(N11-$Q$11)&lt;0.005,"✓ Correct","✗ Check again"),"✗ Not a number")))</f>
        <v>◯ Not attempted</v>
      </c>
      <c r="P11" s="35" t="s">
        <v>154</v>
      </c>
      <c r="Q11" s="0" t="n">
        <f aca="false">SUMPRODUCT((COUNTIF($G$9:$G$40,$A$9:$A$42)=0)*$D$9:$D$42)</f>
        <v>-140550</v>
      </c>
      <c r="R11" s="0" t="str">
        <f aca="false">IF(COUNTIF($G$9:$G$40,A11)&gt;0,"Yes","No")</f>
        <v>No</v>
      </c>
    </row>
    <row r="12" customFormat="false" ht="33.75" hidden="false" customHeight="true" outlineLevel="0" collapsed="false">
      <c r="A12" s="36" t="s">
        <v>62</v>
      </c>
      <c r="B12" s="37" t="n">
        <v>46095</v>
      </c>
      <c r="C12" s="36" t="s">
        <v>63</v>
      </c>
      <c r="D12" s="38" t="n">
        <v>225500</v>
      </c>
      <c r="E12" s="46"/>
      <c r="G12" s="36" t="s">
        <v>62</v>
      </c>
      <c r="H12" s="37" t="n">
        <v>46097</v>
      </c>
      <c r="I12" s="36" t="s">
        <v>64</v>
      </c>
      <c r="J12" s="38" t="n">
        <v>225500</v>
      </c>
      <c r="L12" s="47" t="n">
        <v>4</v>
      </c>
      <c r="M12" s="32" t="s">
        <v>155</v>
      </c>
      <c r="N12" s="33"/>
      <c r="O12" s="34" t="str">
        <f aca="false">IF(ISBLANK(N12),"◯ Not attempted",IF(NOT(_xlfn.ISFORMULA(N12)),"✎ Use a formula",IF(ISNUMBER(N12),IF(ABS(N12-$Q$12)&lt;0.005,"✓ Correct","✗ Check again"),"✗ Not a number")))</f>
        <v>◯ Not attempted</v>
      </c>
      <c r="P12" s="35" t="s">
        <v>156</v>
      </c>
      <c r="Q12" s="0" t="n">
        <f aca="false">-386850</f>
        <v>-386850</v>
      </c>
      <c r="R12" s="0" t="str">
        <f aca="false">IF(COUNTIF($G$9:$G$40,A12)&gt;0,"Yes","No")</f>
        <v>Yes</v>
      </c>
    </row>
    <row r="13" customFormat="false" ht="33.75" hidden="false" customHeight="true" outlineLevel="0" collapsed="false">
      <c r="A13" s="28" t="s">
        <v>67</v>
      </c>
      <c r="B13" s="29" t="n">
        <v>46111</v>
      </c>
      <c r="C13" s="28" t="s">
        <v>68</v>
      </c>
      <c r="D13" s="30" t="n">
        <v>-23750</v>
      </c>
      <c r="E13" s="46"/>
      <c r="G13" s="28" t="s">
        <v>69</v>
      </c>
      <c r="H13" s="29" t="n">
        <v>46087</v>
      </c>
      <c r="I13" s="28" t="s">
        <v>70</v>
      </c>
      <c r="J13" s="30" t="n">
        <v>97500</v>
      </c>
      <c r="L13" s="47" t="n">
        <v>5</v>
      </c>
      <c r="M13" s="32" t="s">
        <v>157</v>
      </c>
      <c r="N13" s="33"/>
      <c r="O13" s="34" t="str">
        <f aca="false">IF(ISBLANK(N13),"◯ Not attempted",IF(NOT(_xlfn.ISFORMULA(N13)),"✎ Use a formula",IF(ISNUMBER(N13),IF(ABS(N13-$Q$13)&lt;0.005,"✓ Correct","✗ Check again"),"✗ Not a number")))</f>
        <v>◯ Not attempted</v>
      </c>
      <c r="P13" s="35" t="s">
        <v>158</v>
      </c>
      <c r="Q13" s="0" t="n">
        <f aca="false">246300</f>
        <v>246300</v>
      </c>
      <c r="R13" s="0" t="str">
        <f aca="false">IF(COUNTIF($G$9:$G$40,A13)&gt;0,"Yes","No")</f>
        <v>No</v>
      </c>
    </row>
    <row r="14" customFormat="false" ht="33.75" hidden="false" customHeight="true" outlineLevel="0" collapsed="false">
      <c r="A14" s="36" t="s">
        <v>73</v>
      </c>
      <c r="B14" s="37" t="n">
        <v>46106</v>
      </c>
      <c r="C14" s="36" t="s">
        <v>74</v>
      </c>
      <c r="D14" s="38" t="n">
        <v>226500</v>
      </c>
      <c r="E14" s="46"/>
      <c r="G14" s="36" t="s">
        <v>75</v>
      </c>
      <c r="H14" s="37" t="n">
        <v>46099</v>
      </c>
      <c r="I14" s="36" t="s">
        <v>76</v>
      </c>
      <c r="J14" s="38" t="n">
        <v>-155500</v>
      </c>
      <c r="L14" s="47" t="n">
        <v>6</v>
      </c>
      <c r="M14" s="32" t="s">
        <v>159</v>
      </c>
      <c r="N14" s="33"/>
      <c r="O14" s="34" t="str">
        <f aca="false">IF(ISBLANK(N14),"◯ Not attempted",IF(NOT(_xlfn.ISFORMULA(N14)),"✎ Use a formula",IF(ISNUMBER(N14),IF(ABS(N14-$Q$14)&lt;0.5,"✓ Correct","✗ Check again"),"✗ Not a number")))</f>
        <v>◯ Not attempted</v>
      </c>
      <c r="P14" s="35" t="s">
        <v>160</v>
      </c>
      <c r="Q14" s="0" t="n">
        <f aca="false">0</f>
        <v>0</v>
      </c>
      <c r="R14" s="0" t="str">
        <f aca="false">IF(COUNTIF($G$9:$G$40,A14)&gt;0,"Yes","No")</f>
        <v>Yes</v>
      </c>
    </row>
    <row r="15" customFormat="false" ht="15" hidden="false" customHeight="false" outlineLevel="0" collapsed="false">
      <c r="A15" s="28" t="s">
        <v>52</v>
      </c>
      <c r="B15" s="29" t="n">
        <v>46105</v>
      </c>
      <c r="C15" s="28" t="s">
        <v>79</v>
      </c>
      <c r="D15" s="30" t="n">
        <v>189000</v>
      </c>
      <c r="E15" s="46"/>
      <c r="G15" s="28" t="s">
        <v>80</v>
      </c>
      <c r="H15" s="29" t="n">
        <v>46106</v>
      </c>
      <c r="I15" s="28" t="s">
        <v>81</v>
      </c>
      <c r="J15" s="30" t="n">
        <v>90500</v>
      </c>
      <c r="R15" s="0" t="str">
        <f aca="false">IF(COUNTIF($G$9:$G$40,A15)&gt;0,"Yes","No")</f>
        <v>Yes</v>
      </c>
    </row>
    <row r="16" customFormat="false" ht="15" hidden="false" customHeight="false" outlineLevel="0" collapsed="false">
      <c r="A16" s="36" t="s">
        <v>75</v>
      </c>
      <c r="B16" s="37" t="n">
        <v>46099</v>
      </c>
      <c r="C16" s="36" t="s">
        <v>84</v>
      </c>
      <c r="D16" s="38" t="n">
        <v>-155500</v>
      </c>
      <c r="E16" s="46"/>
      <c r="G16" s="36" t="s">
        <v>85</v>
      </c>
      <c r="H16" s="37" t="n">
        <v>46103</v>
      </c>
      <c r="I16" s="36" t="s">
        <v>86</v>
      </c>
      <c r="J16" s="38" t="n">
        <v>68000</v>
      </c>
      <c r="R16" s="0" t="str">
        <f aca="false">IF(COUNTIF($G$9:$G$40,A16)&gt;0,"Yes","No")</f>
        <v>Yes</v>
      </c>
    </row>
    <row r="17" customFormat="false" ht="15" hidden="false" customHeight="false" outlineLevel="0" collapsed="false">
      <c r="A17" s="28" t="s">
        <v>87</v>
      </c>
      <c r="B17" s="29" t="n">
        <v>46091</v>
      </c>
      <c r="C17" s="28" t="s">
        <v>84</v>
      </c>
      <c r="D17" s="30" t="n">
        <v>-162500</v>
      </c>
      <c r="E17" s="46"/>
      <c r="G17" s="28" t="s">
        <v>88</v>
      </c>
      <c r="H17" s="29" t="n">
        <v>46101</v>
      </c>
      <c r="I17" s="28" t="s">
        <v>89</v>
      </c>
      <c r="J17" s="30" t="n">
        <v>117410</v>
      </c>
      <c r="R17" s="0" t="str">
        <f aca="false">IF(COUNTIF($G$9:$G$40,A17)&gt;0,"Yes","No")</f>
        <v>Yes</v>
      </c>
    </row>
    <row r="18" customFormat="false" ht="15" hidden="false" customHeight="false" outlineLevel="0" collapsed="false">
      <c r="A18" s="36" t="s">
        <v>90</v>
      </c>
      <c r="B18" s="37" t="n">
        <v>46099</v>
      </c>
      <c r="C18" s="36" t="s">
        <v>91</v>
      </c>
      <c r="D18" s="38" t="n">
        <v>146000</v>
      </c>
      <c r="E18" s="46"/>
      <c r="G18" s="36" t="s">
        <v>87</v>
      </c>
      <c r="H18" s="37" t="n">
        <v>46091</v>
      </c>
      <c r="I18" s="36" t="s">
        <v>76</v>
      </c>
      <c r="J18" s="38" t="n">
        <v>-162500</v>
      </c>
      <c r="R18" s="0" t="str">
        <f aca="false">IF(COUNTIF($G$9:$G$40,A18)&gt;0,"Yes","No")</f>
        <v>Yes</v>
      </c>
    </row>
    <row r="19" customFormat="false" ht="15" hidden="false" customHeight="false" outlineLevel="0" collapsed="false">
      <c r="A19" s="28" t="s">
        <v>80</v>
      </c>
      <c r="B19" s="29" t="n">
        <v>46104</v>
      </c>
      <c r="C19" s="28" t="s">
        <v>92</v>
      </c>
      <c r="D19" s="30" t="n">
        <v>90500</v>
      </c>
      <c r="E19" s="46"/>
      <c r="G19" s="28" t="s">
        <v>93</v>
      </c>
      <c r="H19" s="29" t="n">
        <v>46112</v>
      </c>
      <c r="I19" s="28" t="s">
        <v>94</v>
      </c>
      <c r="J19" s="30" t="n">
        <v>-1180</v>
      </c>
      <c r="R19" s="0" t="str">
        <f aca="false">IF(COUNTIF($G$9:$G$40,A19)&gt;0,"Yes","No")</f>
        <v>Yes</v>
      </c>
    </row>
    <row r="20" customFormat="false" ht="15" hidden="false" customHeight="false" outlineLevel="0" collapsed="false">
      <c r="A20" s="36" t="s">
        <v>69</v>
      </c>
      <c r="B20" s="37" t="n">
        <v>46087</v>
      </c>
      <c r="C20" s="36" t="s">
        <v>95</v>
      </c>
      <c r="D20" s="38" t="n">
        <v>97500</v>
      </c>
      <c r="E20" s="46"/>
      <c r="G20" s="36" t="s">
        <v>96</v>
      </c>
      <c r="H20" s="37" t="n">
        <v>46097</v>
      </c>
      <c r="I20" s="36" t="s">
        <v>97</v>
      </c>
      <c r="J20" s="38" t="n">
        <v>-199000</v>
      </c>
      <c r="R20" s="0" t="str">
        <f aca="false">IF(COUNTIF($G$9:$G$40,A20)&gt;0,"Yes","No")</f>
        <v>Yes</v>
      </c>
    </row>
    <row r="21" customFormat="false" ht="15" hidden="false" customHeight="false" outlineLevel="0" collapsed="false">
      <c r="A21" s="28" t="s">
        <v>98</v>
      </c>
      <c r="B21" s="29" t="n">
        <v>46094</v>
      </c>
      <c r="C21" s="28" t="s">
        <v>95</v>
      </c>
      <c r="D21" s="30" t="n">
        <v>88000</v>
      </c>
      <c r="E21" s="46"/>
      <c r="G21" s="28" t="s">
        <v>98</v>
      </c>
      <c r="H21" s="29" t="n">
        <v>46098</v>
      </c>
      <c r="I21" s="28" t="s">
        <v>70</v>
      </c>
      <c r="J21" s="30" t="n">
        <v>88000</v>
      </c>
      <c r="R21" s="0" t="str">
        <f aca="false">IF(COUNTIF($G$9:$G$40,A21)&gt;0,"Yes","No")</f>
        <v>Yes</v>
      </c>
    </row>
    <row r="22" customFormat="false" ht="15" hidden="false" customHeight="false" outlineLevel="0" collapsed="false">
      <c r="A22" s="36" t="s">
        <v>99</v>
      </c>
      <c r="B22" s="37" t="n">
        <v>46112</v>
      </c>
      <c r="C22" s="36" t="s">
        <v>100</v>
      </c>
      <c r="D22" s="38" t="n">
        <v>-67400</v>
      </c>
      <c r="E22" s="46"/>
      <c r="G22" s="36" t="s">
        <v>101</v>
      </c>
      <c r="H22" s="37" t="n">
        <v>46092</v>
      </c>
      <c r="I22" s="36" t="s">
        <v>102</v>
      </c>
      <c r="J22" s="38" t="n">
        <v>-80500</v>
      </c>
      <c r="R22" s="0" t="str">
        <f aca="false">IF(COUNTIF($G$9:$G$40,A22)&gt;0,"Yes","No")</f>
        <v>No</v>
      </c>
    </row>
    <row r="23" customFormat="false" ht="15" hidden="false" customHeight="false" outlineLevel="0" collapsed="false">
      <c r="A23" s="28" t="s">
        <v>103</v>
      </c>
      <c r="B23" s="29" t="n">
        <v>46090</v>
      </c>
      <c r="C23" s="28" t="s">
        <v>104</v>
      </c>
      <c r="D23" s="30" t="n">
        <v>-90500</v>
      </c>
      <c r="E23" s="46"/>
      <c r="G23" s="28" t="s">
        <v>90</v>
      </c>
      <c r="H23" s="29" t="n">
        <v>46102</v>
      </c>
      <c r="I23" s="28" t="s">
        <v>105</v>
      </c>
      <c r="J23" s="30" t="n">
        <v>146000</v>
      </c>
      <c r="R23" s="0" t="str">
        <f aca="false">IF(COUNTIF($G$9:$G$40,A23)&gt;0,"Yes","No")</f>
        <v>Yes</v>
      </c>
    </row>
    <row r="24" customFormat="false" ht="15" hidden="false" customHeight="false" outlineLevel="0" collapsed="false">
      <c r="A24" s="36" t="s">
        <v>46</v>
      </c>
      <c r="B24" s="37" t="n">
        <v>46102</v>
      </c>
      <c r="C24" s="36" t="s">
        <v>106</v>
      </c>
      <c r="D24" s="38" t="n">
        <v>25000</v>
      </c>
      <c r="E24" s="46"/>
      <c r="G24" s="36" t="s">
        <v>107</v>
      </c>
      <c r="H24" s="37" t="n">
        <v>46101</v>
      </c>
      <c r="I24" s="36" t="s">
        <v>108</v>
      </c>
      <c r="J24" s="38" t="n">
        <v>-25000</v>
      </c>
      <c r="R24" s="0" t="str">
        <f aca="false">IF(COUNTIF($G$9:$G$40,A24)&gt;0,"Yes","No")</f>
        <v>Yes</v>
      </c>
    </row>
    <row r="25" customFormat="false" ht="15" hidden="false" customHeight="false" outlineLevel="0" collapsed="false">
      <c r="A25" s="28" t="s">
        <v>109</v>
      </c>
      <c r="B25" s="29" t="n">
        <v>46085</v>
      </c>
      <c r="C25" s="28" t="s">
        <v>110</v>
      </c>
      <c r="D25" s="30" t="n">
        <v>-67500</v>
      </c>
      <c r="E25" s="46"/>
      <c r="G25" s="28" t="s">
        <v>111</v>
      </c>
      <c r="H25" s="29" t="n">
        <v>46098</v>
      </c>
      <c r="I25" s="28" t="s">
        <v>112</v>
      </c>
      <c r="J25" s="30" t="n">
        <v>19000</v>
      </c>
      <c r="R25" s="0" t="str">
        <f aca="false">IF(COUNTIF($G$9:$G$40,A25)&gt;0,"Yes","No")</f>
        <v>Yes</v>
      </c>
    </row>
    <row r="26" customFormat="false" ht="15" hidden="false" customHeight="false" outlineLevel="0" collapsed="false">
      <c r="A26" s="36" t="s">
        <v>113</v>
      </c>
      <c r="B26" s="37" t="n">
        <v>46085</v>
      </c>
      <c r="C26" s="36" t="s">
        <v>114</v>
      </c>
      <c r="D26" s="38" t="n">
        <v>-149500</v>
      </c>
      <c r="E26" s="46"/>
      <c r="G26" s="36" t="s">
        <v>115</v>
      </c>
      <c r="H26" s="37" t="n">
        <v>46092</v>
      </c>
      <c r="I26" s="36" t="s">
        <v>116</v>
      </c>
      <c r="J26" s="38" t="n">
        <v>-49500</v>
      </c>
      <c r="R26" s="0" t="str">
        <f aca="false">IF(COUNTIF($G$9:$G$40,A26)&gt;0,"Yes","No")</f>
        <v>Yes</v>
      </c>
    </row>
    <row r="27" customFormat="false" ht="15" hidden="false" customHeight="false" outlineLevel="0" collapsed="false">
      <c r="A27" s="28" t="s">
        <v>117</v>
      </c>
      <c r="B27" s="29" t="n">
        <v>46082</v>
      </c>
      <c r="C27" s="28" t="s">
        <v>51</v>
      </c>
      <c r="D27" s="30" t="n">
        <v>-75000</v>
      </c>
      <c r="E27" s="46"/>
      <c r="G27" s="28" t="s">
        <v>118</v>
      </c>
      <c r="H27" s="29" t="n">
        <v>46096</v>
      </c>
      <c r="I27" s="28" t="s">
        <v>119</v>
      </c>
      <c r="J27" s="30" t="n">
        <v>-12500</v>
      </c>
      <c r="R27" s="0" t="str">
        <f aca="false">IF(COUNTIF($G$9:$G$40,A27)&gt;0,"Yes","No")</f>
        <v>Yes</v>
      </c>
    </row>
    <row r="28" customFormat="false" ht="15" hidden="false" customHeight="false" outlineLevel="0" collapsed="false">
      <c r="A28" s="36" t="s">
        <v>120</v>
      </c>
      <c r="B28" s="37" t="n">
        <v>46099</v>
      </c>
      <c r="C28" s="36" t="s">
        <v>84</v>
      </c>
      <c r="D28" s="38" t="n">
        <v>-140500</v>
      </c>
      <c r="E28" s="46"/>
      <c r="G28" s="36" t="s">
        <v>103</v>
      </c>
      <c r="H28" s="37" t="n">
        <v>46091</v>
      </c>
      <c r="I28" s="36" t="s">
        <v>121</v>
      </c>
      <c r="J28" s="38" t="n">
        <v>-90500</v>
      </c>
      <c r="R28" s="0" t="str">
        <f aca="false">IF(COUNTIF($G$9:$G$40,A28)&gt;0,"Yes","No")</f>
        <v>Yes</v>
      </c>
    </row>
    <row r="29" customFormat="false" ht="15" hidden="false" customHeight="false" outlineLevel="0" collapsed="false">
      <c r="A29" s="28" t="s">
        <v>122</v>
      </c>
      <c r="B29" s="29" t="n">
        <v>46103</v>
      </c>
      <c r="C29" s="28" t="s">
        <v>123</v>
      </c>
      <c r="D29" s="30" t="n">
        <v>160000</v>
      </c>
      <c r="E29" s="46"/>
      <c r="G29" s="28" t="s">
        <v>120</v>
      </c>
      <c r="H29" s="29" t="n">
        <v>46101</v>
      </c>
      <c r="I29" s="28" t="s">
        <v>76</v>
      </c>
      <c r="J29" s="30" t="n">
        <v>-140500</v>
      </c>
      <c r="R29" s="0" t="str">
        <f aca="false">IF(COUNTIF($G$9:$G$40,A29)&gt;0,"Yes","No")</f>
        <v>Yes</v>
      </c>
    </row>
    <row r="30" customFormat="false" ht="15" hidden="false" customHeight="false" outlineLevel="0" collapsed="false">
      <c r="A30" s="36" t="s">
        <v>111</v>
      </c>
      <c r="B30" s="37" t="n">
        <v>46095</v>
      </c>
      <c r="C30" s="36" t="s">
        <v>74</v>
      </c>
      <c r="D30" s="38" t="n">
        <v>19000</v>
      </c>
      <c r="E30" s="46"/>
      <c r="G30" s="36" t="s">
        <v>124</v>
      </c>
      <c r="H30" s="37" t="n">
        <v>46109</v>
      </c>
      <c r="I30" s="36" t="s">
        <v>125</v>
      </c>
      <c r="J30" s="38" t="n">
        <v>-100000</v>
      </c>
      <c r="R30" s="0" t="str">
        <f aca="false">IF(COUNTIF($G$9:$G$40,A30)&gt;0,"Yes","No")</f>
        <v>Yes</v>
      </c>
    </row>
    <row r="31" customFormat="false" ht="15" hidden="false" customHeight="false" outlineLevel="0" collapsed="false">
      <c r="A31" s="28" t="s">
        <v>115</v>
      </c>
      <c r="B31" s="29" t="n">
        <v>46090</v>
      </c>
      <c r="C31" s="28" t="s">
        <v>100</v>
      </c>
      <c r="D31" s="30" t="n">
        <v>-45900</v>
      </c>
      <c r="E31" s="46"/>
      <c r="G31" s="28" t="s">
        <v>73</v>
      </c>
      <c r="H31" s="29" t="n">
        <v>46108</v>
      </c>
      <c r="I31" s="28" t="s">
        <v>112</v>
      </c>
      <c r="J31" s="30" t="n">
        <v>226500</v>
      </c>
      <c r="R31" s="0" t="str">
        <f aca="false">IF(COUNTIF($G$9:$G$40,A31)&gt;0,"Yes","No")</f>
        <v>Yes</v>
      </c>
    </row>
    <row r="32" customFormat="false" ht="15" hidden="false" customHeight="false" outlineLevel="0" collapsed="false">
      <c r="A32" s="36" t="s">
        <v>126</v>
      </c>
      <c r="B32" s="37" t="n">
        <v>46109</v>
      </c>
      <c r="C32" s="36" t="s">
        <v>104</v>
      </c>
      <c r="D32" s="38" t="n">
        <v>-158000</v>
      </c>
      <c r="E32" s="46"/>
      <c r="G32" s="36" t="s">
        <v>113</v>
      </c>
      <c r="H32" s="37" t="n">
        <v>46088</v>
      </c>
      <c r="I32" s="36" t="s">
        <v>97</v>
      </c>
      <c r="J32" s="38" t="n">
        <v>-149500</v>
      </c>
      <c r="R32" s="0" t="str">
        <f aca="false">IF(COUNTIF($G$9:$G$40,A32)&gt;0,"Yes","No")</f>
        <v>No</v>
      </c>
    </row>
    <row r="33" customFormat="false" ht="15" hidden="false" customHeight="false" outlineLevel="0" collapsed="false">
      <c r="A33" s="28" t="s">
        <v>96</v>
      </c>
      <c r="B33" s="29" t="n">
        <v>46095</v>
      </c>
      <c r="C33" s="28" t="s">
        <v>114</v>
      </c>
      <c r="D33" s="30" t="n">
        <v>-199000</v>
      </c>
      <c r="E33" s="46"/>
      <c r="G33" s="28" t="s">
        <v>109</v>
      </c>
      <c r="H33" s="29" t="n">
        <v>46087</v>
      </c>
      <c r="I33" s="28" t="s">
        <v>127</v>
      </c>
      <c r="J33" s="30" t="n">
        <v>-67500</v>
      </c>
      <c r="R33" s="0" t="str">
        <f aca="false">IF(COUNTIF($G$9:$G$40,A33)&gt;0,"Yes","No")</f>
        <v>Yes</v>
      </c>
    </row>
    <row r="34" customFormat="false" ht="15" hidden="false" customHeight="false" outlineLevel="0" collapsed="false">
      <c r="A34" s="36" t="s">
        <v>101</v>
      </c>
      <c r="B34" s="37" t="n">
        <v>46091</v>
      </c>
      <c r="C34" s="36" t="s">
        <v>128</v>
      </c>
      <c r="D34" s="38" t="n">
        <v>-80500</v>
      </c>
      <c r="E34" s="46"/>
      <c r="G34" s="36" t="s">
        <v>129</v>
      </c>
      <c r="H34" s="37" t="n">
        <v>46106</v>
      </c>
      <c r="I34" s="36" t="s">
        <v>127</v>
      </c>
      <c r="J34" s="38" t="n">
        <v>-233000</v>
      </c>
      <c r="R34" s="0" t="str">
        <f aca="false">IF(COUNTIF($G$9:$G$40,A34)&gt;0,"Yes","No")</f>
        <v>Yes</v>
      </c>
    </row>
    <row r="35" customFormat="false" ht="15" hidden="false" customHeight="false" outlineLevel="0" collapsed="false">
      <c r="A35" s="28" t="s">
        <v>130</v>
      </c>
      <c r="B35" s="29" t="n">
        <v>46092</v>
      </c>
      <c r="C35" s="28" t="s">
        <v>95</v>
      </c>
      <c r="D35" s="30" t="n">
        <v>195000</v>
      </c>
      <c r="E35" s="46"/>
      <c r="G35" s="28" t="s">
        <v>122</v>
      </c>
      <c r="H35" s="29" t="n">
        <v>46106</v>
      </c>
      <c r="I35" s="28" t="s">
        <v>131</v>
      </c>
      <c r="J35" s="30" t="n">
        <v>160000</v>
      </c>
      <c r="R35" s="0" t="str">
        <f aca="false">IF(COUNTIF($G$9:$G$40,A35)&gt;0,"Yes","No")</f>
        <v>Yes</v>
      </c>
    </row>
    <row r="36" customFormat="false" ht="15" hidden="false" customHeight="false" outlineLevel="0" collapsed="false">
      <c r="A36" s="36" t="s">
        <v>88</v>
      </c>
      <c r="B36" s="37" t="n">
        <v>46099</v>
      </c>
      <c r="C36" s="36" t="s">
        <v>132</v>
      </c>
      <c r="D36" s="38" t="n">
        <v>118000</v>
      </c>
      <c r="E36" s="46"/>
      <c r="G36" s="36" t="s">
        <v>133</v>
      </c>
      <c r="H36" s="37" t="n">
        <v>46092</v>
      </c>
      <c r="I36" s="36" t="s">
        <v>102</v>
      </c>
      <c r="J36" s="38" t="n">
        <v>-42000</v>
      </c>
      <c r="R36" s="0" t="str">
        <f aca="false">IF(COUNTIF($G$9:$G$40,A36)&gt;0,"Yes","No")</f>
        <v>Yes</v>
      </c>
    </row>
    <row r="37" customFormat="false" ht="15" hidden="false" customHeight="false" outlineLevel="0" collapsed="false">
      <c r="A37" s="28" t="s">
        <v>133</v>
      </c>
      <c r="B37" s="29" t="n">
        <v>46090</v>
      </c>
      <c r="C37" s="28" t="s">
        <v>128</v>
      </c>
      <c r="D37" s="30" t="n">
        <v>-42000</v>
      </c>
      <c r="E37" s="46"/>
      <c r="G37" s="28" t="s">
        <v>134</v>
      </c>
      <c r="H37" s="29" t="n">
        <v>46112</v>
      </c>
      <c r="I37" s="28" t="s">
        <v>135</v>
      </c>
      <c r="J37" s="30" t="n">
        <v>-236</v>
      </c>
      <c r="R37" s="0" t="str">
        <f aca="false">IF(COUNTIF($G$9:$G$40,A37)&gt;0,"Yes","No")</f>
        <v>Yes</v>
      </c>
    </row>
    <row r="38" customFormat="false" ht="15" hidden="false" customHeight="false" outlineLevel="0" collapsed="false">
      <c r="A38" s="36" t="s">
        <v>124</v>
      </c>
      <c r="B38" s="37" t="n">
        <v>46105</v>
      </c>
      <c r="C38" s="36" t="s">
        <v>136</v>
      </c>
      <c r="D38" s="38" t="n">
        <v>-100000</v>
      </c>
      <c r="E38" s="46"/>
      <c r="G38" s="36" t="s">
        <v>137</v>
      </c>
      <c r="H38" s="37" t="n">
        <v>46112</v>
      </c>
      <c r="I38" s="36" t="s">
        <v>138</v>
      </c>
      <c r="J38" s="38" t="n">
        <v>4310</v>
      </c>
      <c r="R38" s="0" t="str">
        <f aca="false">IF(COUNTIF($G$9:$G$40,A38)&gt;0,"Yes","No")</f>
        <v>Yes</v>
      </c>
    </row>
    <row r="39" customFormat="false" ht="15" hidden="false" customHeight="false" outlineLevel="0" collapsed="false">
      <c r="A39" s="28" t="s">
        <v>139</v>
      </c>
      <c r="B39" s="29" t="n">
        <v>46111</v>
      </c>
      <c r="C39" s="28" t="s">
        <v>140</v>
      </c>
      <c r="D39" s="30" t="n">
        <v>84000</v>
      </c>
      <c r="E39" s="46"/>
      <c r="G39" s="28" t="s">
        <v>117</v>
      </c>
      <c r="H39" s="29" t="n">
        <v>46083</v>
      </c>
      <c r="I39" s="28" t="s">
        <v>141</v>
      </c>
      <c r="J39" s="30" t="n">
        <v>-75000</v>
      </c>
      <c r="R39" s="0" t="str">
        <f aca="false">IF(COUNTIF($G$9:$G$40,A39)&gt;0,"Yes","No")</f>
        <v>No</v>
      </c>
    </row>
    <row r="40" customFormat="false" ht="15" hidden="false" customHeight="false" outlineLevel="0" collapsed="false">
      <c r="A40" s="36" t="s">
        <v>129</v>
      </c>
      <c r="B40" s="37" t="n">
        <v>46102</v>
      </c>
      <c r="C40" s="36" t="s">
        <v>110</v>
      </c>
      <c r="D40" s="38" t="n">
        <v>-233000</v>
      </c>
      <c r="E40" s="46"/>
      <c r="G40" s="36" t="s">
        <v>130</v>
      </c>
      <c r="H40" s="37" t="n">
        <v>46095</v>
      </c>
      <c r="I40" s="36" t="s">
        <v>70</v>
      </c>
      <c r="J40" s="38" t="n">
        <v>195000</v>
      </c>
      <c r="R40" s="0" t="str">
        <f aca="false">IF(COUNTIF($G$9:$G$40,A40)&gt;0,"Yes","No")</f>
        <v>Yes</v>
      </c>
    </row>
    <row r="41" customFormat="false" ht="15" hidden="false" customHeight="false" outlineLevel="0" collapsed="false">
      <c r="A41" s="28" t="s">
        <v>58</v>
      </c>
      <c r="B41" s="29" t="n">
        <v>46086</v>
      </c>
      <c r="C41" s="28" t="s">
        <v>142</v>
      </c>
      <c r="D41" s="30" t="n">
        <v>75500</v>
      </c>
      <c r="E41" s="46"/>
      <c r="R41" s="0" t="str">
        <f aca="false">IF(COUNTIF($G$9:$G$40,A41)&gt;0,"Yes","No")</f>
        <v>Yes</v>
      </c>
    </row>
    <row r="42" customFormat="false" ht="15" hidden="false" customHeight="false" outlineLevel="0" collapsed="false">
      <c r="A42" s="36" t="s">
        <v>143</v>
      </c>
      <c r="B42" s="37" t="n">
        <v>46112</v>
      </c>
      <c r="C42" s="36" t="s">
        <v>79</v>
      </c>
      <c r="D42" s="38" t="n">
        <v>132500</v>
      </c>
      <c r="E42" s="46"/>
      <c r="R42" s="0" t="str">
        <f aca="false">IF(COUNTIF($G$9:$G$40,A42)&gt;0,"Yes","No")</f>
        <v>No</v>
      </c>
    </row>
  </sheetData>
  <mergeCells count="3">
    <mergeCell ref="A1:P1"/>
    <mergeCell ref="A2:P2"/>
    <mergeCell ref="A3:P5"/>
  </mergeCells>
  <conditionalFormatting sqref="O9:O14">
    <cfRule type="expression" priority="2" aboveAverage="0" equalAverage="0" bottom="0" percent="0" rank="0" text="" dxfId="0">
      <formula>LEFT(O9,1)="✓"</formula>
    </cfRule>
    <cfRule type="expression" priority="3" aboveAverage="0" equalAverage="0" bottom="0" percent="0" rank="0" text="" dxfId="1">
      <formula>LEFT(O9,1)="✗"</formula>
    </cfRule>
    <cfRule type="expression" priority="4" aboveAverage="0" equalAverage="0" bottom="0" percent="0" rank="0" text="" dxfId="2">
      <formula>LEFT(O9,1)="✎"</formula>
    </cfRule>
    <cfRule type="expression" priority="5" aboveAverage="0" equalAverage="0" bottom="0" percent="0" rank="0" text="" dxfId="3">
      <formula>LEFT(O9,1)="◯"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R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6" min="6" style="0" width="11"/>
    <col collapsed="false" customWidth="true" hidden="false" outlineLevel="0" max="7" min="7" style="0" width="12"/>
    <col collapsed="false" customWidth="true" hidden="false" outlineLevel="0" max="8" min="8" style="0" width="30"/>
    <col collapsed="false" customWidth="true" hidden="false" outlineLevel="0" max="9" min="9" style="0" width="13"/>
    <col collapsed="false" customWidth="true" hidden="false" outlineLevel="0" max="10" min="10" style="0" width="14"/>
    <col collapsed="false" customWidth="true" hidden="false" outlineLevel="0" max="11" min="11" style="0" width="3"/>
    <col collapsed="false" customWidth="true" hidden="false" outlineLevel="0" max="12" min="12" style="0" width="5"/>
    <col collapsed="false" customWidth="true" hidden="false" outlineLevel="0" max="13" min="13" style="0" width="46"/>
    <col collapsed="false" customWidth="true" hidden="false" outlineLevel="0" max="14" min="14" style="0" width="18"/>
    <col collapsed="false" customWidth="true" hidden="false" outlineLevel="0" max="15" min="15" style="0" width="17"/>
    <col collapsed="false" customWidth="true" hidden="false" outlineLevel="0" max="16" min="16" style="0" width="38"/>
    <col collapsed="false" customWidth="true" hidden="true" outlineLevel="0" max="19" min="17" style="0" width="13"/>
  </cols>
  <sheetData>
    <row r="1" customFormat="false" ht="31.5" hidden="false" customHeight="true" outlineLevel="0" collapsed="false">
      <c r="A1" s="41" t="s">
        <v>161</v>
      </c>
      <c r="B1" s="41"/>
      <c r="C1" s="41"/>
      <c r="D1" s="41"/>
      <c r="E1" s="41"/>
      <c r="F1" s="41"/>
      <c r="G1" s="41"/>
      <c r="H1" s="41"/>
      <c r="I1" s="41"/>
      <c r="J1" s="41"/>
      <c r="K1" s="41"/>
      <c r="L1" s="41"/>
      <c r="M1" s="41"/>
      <c r="N1" s="41"/>
      <c r="O1" s="41"/>
      <c r="P1" s="41"/>
    </row>
    <row r="2" customFormat="false" ht="19.5" hidden="false" customHeight="true" outlineLevel="0" collapsed="false">
      <c r="A2" s="42" t="s">
        <v>162</v>
      </c>
      <c r="B2" s="42"/>
      <c r="C2" s="42"/>
      <c r="D2" s="42"/>
      <c r="E2" s="42"/>
      <c r="F2" s="42"/>
      <c r="G2" s="42"/>
      <c r="H2" s="42"/>
      <c r="I2" s="42"/>
      <c r="J2" s="42"/>
      <c r="K2" s="42"/>
      <c r="L2" s="42"/>
      <c r="M2" s="42"/>
      <c r="N2" s="42"/>
      <c r="O2" s="42"/>
      <c r="P2" s="42"/>
    </row>
    <row r="3" customFormat="false" ht="18.75" hidden="false" customHeight="true" outlineLevel="0" collapsed="false">
      <c r="A3" s="43" t="s">
        <v>163</v>
      </c>
      <c r="B3" s="43"/>
      <c r="C3" s="43"/>
      <c r="D3" s="43"/>
      <c r="E3" s="43"/>
      <c r="F3" s="43"/>
      <c r="G3" s="43"/>
      <c r="H3" s="43"/>
      <c r="I3" s="43"/>
      <c r="J3" s="43"/>
      <c r="K3" s="43"/>
      <c r="L3" s="43"/>
      <c r="M3" s="43"/>
      <c r="N3" s="43"/>
      <c r="O3" s="43"/>
      <c r="P3" s="43"/>
    </row>
    <row r="4" customFormat="false" ht="18.75" hidden="false" customHeight="true" outlineLevel="0" collapsed="false">
      <c r="A4" s="43"/>
      <c r="B4" s="43"/>
      <c r="C4" s="43"/>
      <c r="D4" s="43"/>
      <c r="E4" s="43"/>
      <c r="F4" s="43"/>
      <c r="G4" s="43"/>
      <c r="H4" s="43"/>
      <c r="I4" s="43"/>
      <c r="J4" s="43"/>
      <c r="K4" s="43"/>
      <c r="L4" s="43"/>
      <c r="M4" s="43"/>
      <c r="N4" s="43"/>
      <c r="O4" s="43"/>
      <c r="P4" s="43"/>
    </row>
    <row r="5" customFormat="false" ht="18.75" hidden="false" customHeight="true" outlineLevel="0" collapsed="false">
      <c r="A5" s="43"/>
      <c r="B5" s="43"/>
      <c r="C5" s="43"/>
      <c r="D5" s="43"/>
      <c r="E5" s="43"/>
      <c r="F5" s="43"/>
      <c r="G5" s="43"/>
      <c r="H5" s="43"/>
      <c r="I5" s="43"/>
      <c r="J5" s="43"/>
      <c r="K5" s="43"/>
      <c r="L5" s="43"/>
      <c r="M5" s="43"/>
      <c r="N5" s="43"/>
      <c r="O5" s="43"/>
      <c r="P5" s="43"/>
    </row>
    <row r="6" customFormat="false" ht="19.5" hidden="false" customHeight="true" outlineLevel="0" collapsed="false"/>
    <row r="8" customFormat="false" ht="24" hidden="false" customHeight="true" outlineLevel="0" collapsed="false">
      <c r="A8" s="26" t="s">
        <v>36</v>
      </c>
      <c r="B8" s="26" t="s">
        <v>37</v>
      </c>
      <c r="C8" s="26" t="s">
        <v>38</v>
      </c>
      <c r="D8" s="26" t="s">
        <v>39</v>
      </c>
      <c r="F8" s="26" t="s">
        <v>36</v>
      </c>
      <c r="G8" s="26" t="s">
        <v>37</v>
      </c>
      <c r="H8" s="26" t="s">
        <v>38</v>
      </c>
      <c r="I8" s="26" t="s">
        <v>39</v>
      </c>
      <c r="J8" s="44" t="s">
        <v>164</v>
      </c>
      <c r="L8" s="45" t="s">
        <v>14</v>
      </c>
      <c r="M8" s="45" t="s">
        <v>40</v>
      </c>
      <c r="N8" s="45" t="s">
        <v>41</v>
      </c>
      <c r="O8" s="45" t="s">
        <v>42</v>
      </c>
      <c r="P8" s="45" t="s">
        <v>43</v>
      </c>
    </row>
    <row r="9" customFormat="false" ht="33.75" hidden="false" customHeight="true" outlineLevel="0" collapsed="false">
      <c r="A9" s="28" t="s">
        <v>44</v>
      </c>
      <c r="B9" s="29" t="n">
        <v>46112</v>
      </c>
      <c r="C9" s="28" t="s">
        <v>45</v>
      </c>
      <c r="D9" s="30" t="n">
        <v>29800</v>
      </c>
      <c r="F9" s="28" t="s">
        <v>46</v>
      </c>
      <c r="G9" s="29" t="n">
        <v>46105</v>
      </c>
      <c r="H9" s="28" t="s">
        <v>47</v>
      </c>
      <c r="I9" s="30" t="n">
        <v>25000</v>
      </c>
      <c r="J9" s="46"/>
      <c r="L9" s="47" t="n">
        <v>1</v>
      </c>
      <c r="M9" s="32" t="s">
        <v>165</v>
      </c>
      <c r="N9" s="48" t="s">
        <v>166</v>
      </c>
      <c r="O9" s="34" t="str">
        <f aca="false">IF(COUNTA($J$9:$J$40)=0,"◯ Not attempted",IF(NOT(_xlfn.ISFORMULA(J9)),"✎ Use a formula",IFERROR(IF(SUMPRODUCT(--(UPPER(TRIM($J$9:$J$40&amp;""))=UPPER(TRIM($R$9:$R$40&amp;""))))=ROWS($J$9:$J$40),"✓ Correct","✗ "&amp;(ROWS($J$9:$J$40)-SUMPRODUCT(--(UPPER(TRIM($J$9:$J$40&amp;""))=UPPER(TRIM($R$9:$R$40&amp;"")))))&amp;" rows differ"),"✗ Check the column")))</f>
        <v>◯ Not attempted</v>
      </c>
      <c r="P9" s="35" t="s">
        <v>167</v>
      </c>
      <c r="R9" s="0" t="str">
        <f aca="false">IF(COUNTIF($A$9:$A$42,F9)&gt;0,"Yes","No")</f>
        <v>Yes</v>
      </c>
    </row>
    <row r="10" customFormat="false" ht="33.75" hidden="false" customHeight="true" outlineLevel="0" collapsed="false">
      <c r="A10" s="36" t="s">
        <v>50</v>
      </c>
      <c r="B10" s="37" t="n">
        <v>46107</v>
      </c>
      <c r="C10" s="36" t="s">
        <v>51</v>
      </c>
      <c r="D10" s="38" t="n">
        <v>-96500</v>
      </c>
      <c r="F10" s="36" t="s">
        <v>52</v>
      </c>
      <c r="G10" s="37" t="n">
        <v>46108</v>
      </c>
      <c r="H10" s="36" t="s">
        <v>53</v>
      </c>
      <c r="I10" s="38" t="n">
        <v>189000</v>
      </c>
      <c r="J10" s="46"/>
      <c r="L10" s="47" t="n">
        <v>2</v>
      </c>
      <c r="M10" s="32" t="s">
        <v>168</v>
      </c>
      <c r="N10" s="39"/>
      <c r="O10" s="34" t="str">
        <f aca="false">IF(ISBLANK(N10),"◯ Not attempted",IF(NOT(_xlfn.ISFORMULA(N10)),"✎ Use a formula",IF(ISNUMBER(N10),IF(ABS(N10-$Q$10)&lt;0.005,"✓ Correct","✗ Check again"),"✗ Not a number")))</f>
        <v>◯ Not attempted</v>
      </c>
      <c r="P10" s="35" t="s">
        <v>169</v>
      </c>
      <c r="Q10" s="40" t="n">
        <f aca="false">SUMPRODUCT(--(COUNTIF($A$9:$A$42,$F$9:$F$40)=0))</f>
        <v>6</v>
      </c>
      <c r="R10" s="0" t="str">
        <f aca="false">IF(COUNTIF($A$9:$A$42,F10)&gt;0,"Yes","No")</f>
        <v>Yes</v>
      </c>
    </row>
    <row r="11" customFormat="false" ht="33.75" hidden="false" customHeight="true" outlineLevel="0" collapsed="false">
      <c r="A11" s="28" t="s">
        <v>56</v>
      </c>
      <c r="B11" s="29" t="n">
        <v>46108</v>
      </c>
      <c r="C11" s="28" t="s">
        <v>57</v>
      </c>
      <c r="D11" s="30" t="n">
        <v>-41200</v>
      </c>
      <c r="F11" s="28" t="s">
        <v>58</v>
      </c>
      <c r="G11" s="29" t="n">
        <v>46086</v>
      </c>
      <c r="H11" s="28" t="s">
        <v>59</v>
      </c>
      <c r="I11" s="30" t="n">
        <v>75500</v>
      </c>
      <c r="J11" s="46"/>
      <c r="L11" s="47" t="n">
        <v>3</v>
      </c>
      <c r="M11" s="32" t="s">
        <v>170</v>
      </c>
      <c r="N11" s="33"/>
      <c r="O11" s="34" t="str">
        <f aca="false">IF(ISBLANK(N11),"◯ Not attempted",IF(NOT(_xlfn.ISFORMULA(N11)),"✎ Use a formula",IF(ISNUMBER(N11),IF(ABS(N11-$Q$11)&lt;0.005,"✓ Correct","✗ Check again"),"✗ Not a number")))</f>
        <v>◯ Not attempted</v>
      </c>
      <c r="P11" s="35" t="s">
        <v>171</v>
      </c>
      <c r="Q11" s="0" t="n">
        <f aca="false">33394</f>
        <v>33394</v>
      </c>
      <c r="R11" s="0" t="str">
        <f aca="false">IF(COUNTIF($A$9:$A$42,F11)&gt;0,"Yes","No")</f>
        <v>Yes</v>
      </c>
    </row>
    <row r="12" customFormat="false" ht="33.75" hidden="false" customHeight="true" outlineLevel="0" collapsed="false">
      <c r="A12" s="36" t="s">
        <v>62</v>
      </c>
      <c r="B12" s="37" t="n">
        <v>46095</v>
      </c>
      <c r="C12" s="36" t="s">
        <v>63</v>
      </c>
      <c r="D12" s="38" t="n">
        <v>225500</v>
      </c>
      <c r="F12" s="36" t="s">
        <v>62</v>
      </c>
      <c r="G12" s="37" t="n">
        <v>46097</v>
      </c>
      <c r="H12" s="36" t="s">
        <v>64</v>
      </c>
      <c r="I12" s="38" t="n">
        <v>225500</v>
      </c>
      <c r="J12" s="46"/>
      <c r="L12" s="47" t="n">
        <v>4</v>
      </c>
      <c r="M12" s="32" t="s">
        <v>172</v>
      </c>
      <c r="N12" s="33"/>
      <c r="O12" s="34" t="str">
        <f aca="false">IF(ISBLANK(N12),"◯ Not attempted",IF(NOT(_xlfn.ISFORMULA(N12)),"✎ Use a formula",IF(ISNUMBER(N12),IF(ABS(N12-$Q$12)&lt;0.005,"✓ Correct","✗ Check again"),"✗ Not a number")))</f>
        <v>◯ Not attempted</v>
      </c>
      <c r="P12" s="35" t="s">
        <v>173</v>
      </c>
      <c r="Q12" s="0" t="n">
        <f aca="false">-38916</f>
        <v>-38916</v>
      </c>
      <c r="R12" s="0" t="str">
        <f aca="false">IF(COUNTIF($A$9:$A$42,F12)&gt;0,"Yes","No")</f>
        <v>Yes</v>
      </c>
    </row>
    <row r="13" customFormat="false" ht="33.75" hidden="false" customHeight="true" outlineLevel="0" collapsed="false">
      <c r="A13" s="28" t="s">
        <v>67</v>
      </c>
      <c r="B13" s="29" t="n">
        <v>46111</v>
      </c>
      <c r="C13" s="28" t="s">
        <v>68</v>
      </c>
      <c r="D13" s="30" t="n">
        <v>-23750</v>
      </c>
      <c r="F13" s="28" t="s">
        <v>69</v>
      </c>
      <c r="G13" s="29" t="n">
        <v>46087</v>
      </c>
      <c r="H13" s="28" t="s">
        <v>70</v>
      </c>
      <c r="I13" s="30" t="n">
        <v>97500</v>
      </c>
      <c r="J13" s="46"/>
      <c r="L13" s="47" t="n">
        <v>5</v>
      </c>
      <c r="M13" s="32" t="s">
        <v>174</v>
      </c>
      <c r="N13" s="33"/>
      <c r="O13" s="34" t="str">
        <f aca="false">IF(ISBLANK(N13),"◯ Not attempted",IF(NOT(_xlfn.ISFORMULA(N13)),"✎ Use a formula",IF(ISNUMBER(N13),IF(ABS(N13-$Q$13)&lt;0.005,"✓ Correct","✗ Check again"),"✗ Not a number")))</f>
        <v>◯ Not attempted</v>
      </c>
      <c r="P13" s="35" t="s">
        <v>175</v>
      </c>
      <c r="Q13" s="0" t="n">
        <f aca="false">72310</f>
        <v>72310</v>
      </c>
      <c r="R13" s="0" t="str">
        <f aca="false">IF(COUNTIF($A$9:$A$42,F13)&gt;0,"Yes","No")</f>
        <v>Yes</v>
      </c>
    </row>
    <row r="14" customFormat="false" ht="33.75" hidden="false" customHeight="true" outlineLevel="0" collapsed="false">
      <c r="A14" s="36" t="s">
        <v>73</v>
      </c>
      <c r="B14" s="37" t="n">
        <v>46106</v>
      </c>
      <c r="C14" s="36" t="s">
        <v>74</v>
      </c>
      <c r="D14" s="38" t="n">
        <v>226500</v>
      </c>
      <c r="F14" s="36" t="s">
        <v>75</v>
      </c>
      <c r="G14" s="37" t="n">
        <v>46099</v>
      </c>
      <c r="H14" s="36" t="s">
        <v>76</v>
      </c>
      <c r="I14" s="38" t="n">
        <v>-155500</v>
      </c>
      <c r="J14" s="46"/>
      <c r="L14" s="47" t="n">
        <v>6</v>
      </c>
      <c r="M14" s="32" t="s">
        <v>176</v>
      </c>
      <c r="N14" s="49"/>
      <c r="O14" s="34" t="str">
        <f aca="false">IF(ISBLANK(N14),"◯ Not attempted",IF(NOT(_xlfn.ISFORMULA(N14)),"✎ Use a formula",IF(UPPER(TRIM(N14&amp;""))=UPPER(TRIM($Q$14&amp;"")),"✓ Correct","✗ Check again")))</f>
        <v>◯ Not attempted</v>
      </c>
      <c r="P14" s="35" t="s">
        <v>177</v>
      </c>
      <c r="Q14" s="0" t="str">
        <f aca="false">"Cheque returned - insufficient funds"</f>
        <v>Cheque returned - insufficient funds</v>
      </c>
      <c r="R14" s="0" t="str">
        <f aca="false">IF(COUNTIF($A$9:$A$42,F14)&gt;0,"Yes","No")</f>
        <v>Yes</v>
      </c>
    </row>
    <row r="15" customFormat="false" ht="15" hidden="false" customHeight="false" outlineLevel="0" collapsed="false">
      <c r="A15" s="28" t="s">
        <v>52</v>
      </c>
      <c r="B15" s="29" t="n">
        <v>46105</v>
      </c>
      <c r="C15" s="28" t="s">
        <v>79</v>
      </c>
      <c r="D15" s="30" t="n">
        <v>189000</v>
      </c>
      <c r="F15" s="28" t="s">
        <v>80</v>
      </c>
      <c r="G15" s="29" t="n">
        <v>46106</v>
      </c>
      <c r="H15" s="28" t="s">
        <v>81</v>
      </c>
      <c r="I15" s="30" t="n">
        <v>90500</v>
      </c>
      <c r="J15" s="46"/>
      <c r="R15" s="0" t="str">
        <f aca="false">IF(COUNTIF($A$9:$A$42,F15)&gt;0,"Yes","No")</f>
        <v>Yes</v>
      </c>
    </row>
    <row r="16" customFormat="false" ht="15" hidden="false" customHeight="false" outlineLevel="0" collapsed="false">
      <c r="A16" s="36" t="s">
        <v>75</v>
      </c>
      <c r="B16" s="37" t="n">
        <v>46099</v>
      </c>
      <c r="C16" s="36" t="s">
        <v>84</v>
      </c>
      <c r="D16" s="38" t="n">
        <v>-155500</v>
      </c>
      <c r="F16" s="36" t="s">
        <v>85</v>
      </c>
      <c r="G16" s="37" t="n">
        <v>46103</v>
      </c>
      <c r="H16" s="36" t="s">
        <v>86</v>
      </c>
      <c r="I16" s="38" t="n">
        <v>68000</v>
      </c>
      <c r="J16" s="46"/>
      <c r="R16" s="0" t="str">
        <f aca="false">IF(COUNTIF($A$9:$A$42,F16)&gt;0,"Yes","No")</f>
        <v>No</v>
      </c>
    </row>
    <row r="17" customFormat="false" ht="15" hidden="false" customHeight="false" outlineLevel="0" collapsed="false">
      <c r="A17" s="28" t="s">
        <v>87</v>
      </c>
      <c r="B17" s="29" t="n">
        <v>46091</v>
      </c>
      <c r="C17" s="28" t="s">
        <v>84</v>
      </c>
      <c r="D17" s="30" t="n">
        <v>-162500</v>
      </c>
      <c r="F17" s="28" t="s">
        <v>88</v>
      </c>
      <c r="G17" s="29" t="n">
        <v>46101</v>
      </c>
      <c r="H17" s="28" t="s">
        <v>89</v>
      </c>
      <c r="I17" s="30" t="n">
        <v>117410</v>
      </c>
      <c r="J17" s="46"/>
      <c r="R17" s="0" t="str">
        <f aca="false">IF(COUNTIF($A$9:$A$42,F17)&gt;0,"Yes","No")</f>
        <v>Yes</v>
      </c>
    </row>
    <row r="18" customFormat="false" ht="15" hidden="false" customHeight="false" outlineLevel="0" collapsed="false">
      <c r="A18" s="36" t="s">
        <v>90</v>
      </c>
      <c r="B18" s="37" t="n">
        <v>46099</v>
      </c>
      <c r="C18" s="36" t="s">
        <v>91</v>
      </c>
      <c r="D18" s="38" t="n">
        <v>146000</v>
      </c>
      <c r="F18" s="36" t="s">
        <v>87</v>
      </c>
      <c r="G18" s="37" t="n">
        <v>46091</v>
      </c>
      <c r="H18" s="36" t="s">
        <v>76</v>
      </c>
      <c r="I18" s="38" t="n">
        <v>-162500</v>
      </c>
      <c r="J18" s="46"/>
      <c r="R18" s="0" t="str">
        <f aca="false">IF(COUNTIF($A$9:$A$42,F18)&gt;0,"Yes","No")</f>
        <v>Yes</v>
      </c>
    </row>
    <row r="19" customFormat="false" ht="15" hidden="false" customHeight="false" outlineLevel="0" collapsed="false">
      <c r="A19" s="28" t="s">
        <v>80</v>
      </c>
      <c r="B19" s="29" t="n">
        <v>46104</v>
      </c>
      <c r="C19" s="28" t="s">
        <v>92</v>
      </c>
      <c r="D19" s="30" t="n">
        <v>90500</v>
      </c>
      <c r="F19" s="28" t="s">
        <v>93</v>
      </c>
      <c r="G19" s="29" t="n">
        <v>46112</v>
      </c>
      <c r="H19" s="28" t="s">
        <v>94</v>
      </c>
      <c r="I19" s="30" t="n">
        <v>-1180</v>
      </c>
      <c r="J19" s="46"/>
      <c r="R19" s="0" t="str">
        <f aca="false">IF(COUNTIF($A$9:$A$42,F19)&gt;0,"Yes","No")</f>
        <v>No</v>
      </c>
    </row>
    <row r="20" customFormat="false" ht="15" hidden="false" customHeight="false" outlineLevel="0" collapsed="false">
      <c r="A20" s="36" t="s">
        <v>69</v>
      </c>
      <c r="B20" s="37" t="n">
        <v>46087</v>
      </c>
      <c r="C20" s="36" t="s">
        <v>95</v>
      </c>
      <c r="D20" s="38" t="n">
        <v>97500</v>
      </c>
      <c r="F20" s="36" t="s">
        <v>96</v>
      </c>
      <c r="G20" s="37" t="n">
        <v>46097</v>
      </c>
      <c r="H20" s="36" t="s">
        <v>97</v>
      </c>
      <c r="I20" s="38" t="n">
        <v>-199000</v>
      </c>
      <c r="J20" s="46"/>
      <c r="R20" s="0" t="str">
        <f aca="false">IF(COUNTIF($A$9:$A$42,F20)&gt;0,"Yes","No")</f>
        <v>Yes</v>
      </c>
    </row>
    <row r="21" customFormat="false" ht="15" hidden="false" customHeight="false" outlineLevel="0" collapsed="false">
      <c r="A21" s="28" t="s">
        <v>98</v>
      </c>
      <c r="B21" s="29" t="n">
        <v>46094</v>
      </c>
      <c r="C21" s="28" t="s">
        <v>95</v>
      </c>
      <c r="D21" s="30" t="n">
        <v>88000</v>
      </c>
      <c r="F21" s="28" t="s">
        <v>98</v>
      </c>
      <c r="G21" s="29" t="n">
        <v>46098</v>
      </c>
      <c r="H21" s="28" t="s">
        <v>70</v>
      </c>
      <c r="I21" s="30" t="n">
        <v>88000</v>
      </c>
      <c r="J21" s="46"/>
      <c r="R21" s="0" t="str">
        <f aca="false">IF(COUNTIF($A$9:$A$42,F21)&gt;0,"Yes","No")</f>
        <v>Yes</v>
      </c>
    </row>
    <row r="22" customFormat="false" ht="15" hidden="false" customHeight="false" outlineLevel="0" collapsed="false">
      <c r="A22" s="36" t="s">
        <v>99</v>
      </c>
      <c r="B22" s="37" t="n">
        <v>46112</v>
      </c>
      <c r="C22" s="36" t="s">
        <v>100</v>
      </c>
      <c r="D22" s="38" t="n">
        <v>-67400</v>
      </c>
      <c r="F22" s="36" t="s">
        <v>101</v>
      </c>
      <c r="G22" s="37" t="n">
        <v>46092</v>
      </c>
      <c r="H22" s="36" t="s">
        <v>102</v>
      </c>
      <c r="I22" s="38" t="n">
        <v>-80500</v>
      </c>
      <c r="J22" s="46"/>
      <c r="R22" s="0" t="str">
        <f aca="false">IF(COUNTIF($A$9:$A$42,F22)&gt;0,"Yes","No")</f>
        <v>Yes</v>
      </c>
    </row>
    <row r="23" customFormat="false" ht="15" hidden="false" customHeight="false" outlineLevel="0" collapsed="false">
      <c r="A23" s="28" t="s">
        <v>103</v>
      </c>
      <c r="B23" s="29" t="n">
        <v>46090</v>
      </c>
      <c r="C23" s="28" t="s">
        <v>104</v>
      </c>
      <c r="D23" s="30" t="n">
        <v>-90500</v>
      </c>
      <c r="F23" s="28" t="s">
        <v>90</v>
      </c>
      <c r="G23" s="29" t="n">
        <v>46102</v>
      </c>
      <c r="H23" s="28" t="s">
        <v>105</v>
      </c>
      <c r="I23" s="30" t="n">
        <v>146000</v>
      </c>
      <c r="J23" s="46"/>
      <c r="R23" s="0" t="str">
        <f aca="false">IF(COUNTIF($A$9:$A$42,F23)&gt;0,"Yes","No")</f>
        <v>Yes</v>
      </c>
    </row>
    <row r="24" customFormat="false" ht="15" hidden="false" customHeight="false" outlineLevel="0" collapsed="false">
      <c r="A24" s="36" t="s">
        <v>46</v>
      </c>
      <c r="B24" s="37" t="n">
        <v>46102</v>
      </c>
      <c r="C24" s="36" t="s">
        <v>106</v>
      </c>
      <c r="D24" s="38" t="n">
        <v>25000</v>
      </c>
      <c r="F24" s="36" t="s">
        <v>107</v>
      </c>
      <c r="G24" s="37" t="n">
        <v>46101</v>
      </c>
      <c r="H24" s="36" t="s">
        <v>108</v>
      </c>
      <c r="I24" s="38" t="n">
        <v>-25000</v>
      </c>
      <c r="J24" s="46"/>
      <c r="R24" s="0" t="str">
        <f aca="false">IF(COUNTIF($A$9:$A$42,F24)&gt;0,"Yes","No")</f>
        <v>No</v>
      </c>
    </row>
    <row r="25" customFormat="false" ht="15" hidden="false" customHeight="false" outlineLevel="0" collapsed="false">
      <c r="A25" s="28" t="s">
        <v>109</v>
      </c>
      <c r="B25" s="29" t="n">
        <v>46085</v>
      </c>
      <c r="C25" s="28" t="s">
        <v>110</v>
      </c>
      <c r="D25" s="30" t="n">
        <v>-67500</v>
      </c>
      <c r="F25" s="28" t="s">
        <v>111</v>
      </c>
      <c r="G25" s="29" t="n">
        <v>46098</v>
      </c>
      <c r="H25" s="28" t="s">
        <v>112</v>
      </c>
      <c r="I25" s="30" t="n">
        <v>19000</v>
      </c>
      <c r="J25" s="46"/>
      <c r="R25" s="0" t="str">
        <f aca="false">IF(COUNTIF($A$9:$A$42,F25)&gt;0,"Yes","No")</f>
        <v>Yes</v>
      </c>
    </row>
    <row r="26" customFormat="false" ht="15" hidden="false" customHeight="false" outlineLevel="0" collapsed="false">
      <c r="A26" s="36" t="s">
        <v>113</v>
      </c>
      <c r="B26" s="37" t="n">
        <v>46085</v>
      </c>
      <c r="C26" s="36" t="s">
        <v>114</v>
      </c>
      <c r="D26" s="38" t="n">
        <v>-149500</v>
      </c>
      <c r="F26" s="36" t="s">
        <v>115</v>
      </c>
      <c r="G26" s="37" t="n">
        <v>46092</v>
      </c>
      <c r="H26" s="36" t="s">
        <v>116</v>
      </c>
      <c r="I26" s="38" t="n">
        <v>-49500</v>
      </c>
      <c r="J26" s="46"/>
      <c r="R26" s="0" t="str">
        <f aca="false">IF(COUNTIF($A$9:$A$42,F26)&gt;0,"Yes","No")</f>
        <v>Yes</v>
      </c>
    </row>
    <row r="27" customFormat="false" ht="15" hidden="false" customHeight="false" outlineLevel="0" collapsed="false">
      <c r="A27" s="28" t="s">
        <v>117</v>
      </c>
      <c r="B27" s="29" t="n">
        <v>46082</v>
      </c>
      <c r="C27" s="28" t="s">
        <v>51</v>
      </c>
      <c r="D27" s="30" t="n">
        <v>-75000</v>
      </c>
      <c r="F27" s="28" t="s">
        <v>118</v>
      </c>
      <c r="G27" s="29" t="n">
        <v>46096</v>
      </c>
      <c r="H27" s="28" t="s">
        <v>119</v>
      </c>
      <c r="I27" s="30" t="n">
        <v>-12500</v>
      </c>
      <c r="J27" s="46"/>
      <c r="R27" s="0" t="str">
        <f aca="false">IF(COUNTIF($A$9:$A$42,F27)&gt;0,"Yes","No")</f>
        <v>No</v>
      </c>
    </row>
    <row r="28" customFormat="false" ht="15" hidden="false" customHeight="false" outlineLevel="0" collapsed="false">
      <c r="A28" s="36" t="s">
        <v>120</v>
      </c>
      <c r="B28" s="37" t="n">
        <v>46099</v>
      </c>
      <c r="C28" s="36" t="s">
        <v>84</v>
      </c>
      <c r="D28" s="38" t="n">
        <v>-140500</v>
      </c>
      <c r="F28" s="36" t="s">
        <v>103</v>
      </c>
      <c r="G28" s="37" t="n">
        <v>46091</v>
      </c>
      <c r="H28" s="36" t="s">
        <v>121</v>
      </c>
      <c r="I28" s="38" t="n">
        <v>-90500</v>
      </c>
      <c r="J28" s="46"/>
      <c r="R28" s="0" t="str">
        <f aca="false">IF(COUNTIF($A$9:$A$42,F28)&gt;0,"Yes","No")</f>
        <v>Yes</v>
      </c>
    </row>
    <row r="29" customFormat="false" ht="15" hidden="false" customHeight="false" outlineLevel="0" collapsed="false">
      <c r="A29" s="28" t="s">
        <v>122</v>
      </c>
      <c r="B29" s="29" t="n">
        <v>46103</v>
      </c>
      <c r="C29" s="28" t="s">
        <v>123</v>
      </c>
      <c r="D29" s="30" t="n">
        <v>160000</v>
      </c>
      <c r="F29" s="28" t="s">
        <v>120</v>
      </c>
      <c r="G29" s="29" t="n">
        <v>46101</v>
      </c>
      <c r="H29" s="28" t="s">
        <v>76</v>
      </c>
      <c r="I29" s="30" t="n">
        <v>-140500</v>
      </c>
      <c r="J29" s="46"/>
      <c r="R29" s="0" t="str">
        <f aca="false">IF(COUNTIF($A$9:$A$42,F29)&gt;0,"Yes","No")</f>
        <v>Yes</v>
      </c>
    </row>
    <row r="30" customFormat="false" ht="15" hidden="false" customHeight="false" outlineLevel="0" collapsed="false">
      <c r="A30" s="36" t="s">
        <v>111</v>
      </c>
      <c r="B30" s="37" t="n">
        <v>46095</v>
      </c>
      <c r="C30" s="36" t="s">
        <v>74</v>
      </c>
      <c r="D30" s="38" t="n">
        <v>19000</v>
      </c>
      <c r="F30" s="36" t="s">
        <v>124</v>
      </c>
      <c r="G30" s="37" t="n">
        <v>46109</v>
      </c>
      <c r="H30" s="36" t="s">
        <v>125</v>
      </c>
      <c r="I30" s="38" t="n">
        <v>-100000</v>
      </c>
      <c r="J30" s="46"/>
      <c r="R30" s="0" t="str">
        <f aca="false">IF(COUNTIF($A$9:$A$42,F30)&gt;0,"Yes","No")</f>
        <v>Yes</v>
      </c>
    </row>
    <row r="31" customFormat="false" ht="15" hidden="false" customHeight="false" outlineLevel="0" collapsed="false">
      <c r="A31" s="28" t="s">
        <v>115</v>
      </c>
      <c r="B31" s="29" t="n">
        <v>46090</v>
      </c>
      <c r="C31" s="28" t="s">
        <v>100</v>
      </c>
      <c r="D31" s="30" t="n">
        <v>-45900</v>
      </c>
      <c r="F31" s="28" t="s">
        <v>73</v>
      </c>
      <c r="G31" s="29" t="n">
        <v>46108</v>
      </c>
      <c r="H31" s="28" t="s">
        <v>112</v>
      </c>
      <c r="I31" s="30" t="n">
        <v>226500</v>
      </c>
      <c r="J31" s="46"/>
      <c r="R31" s="0" t="str">
        <f aca="false">IF(COUNTIF($A$9:$A$42,F31)&gt;0,"Yes","No")</f>
        <v>Yes</v>
      </c>
    </row>
    <row r="32" customFormat="false" ht="15" hidden="false" customHeight="false" outlineLevel="0" collapsed="false">
      <c r="A32" s="36" t="s">
        <v>126</v>
      </c>
      <c r="B32" s="37" t="n">
        <v>46109</v>
      </c>
      <c r="C32" s="36" t="s">
        <v>104</v>
      </c>
      <c r="D32" s="38" t="n">
        <v>-158000</v>
      </c>
      <c r="F32" s="36" t="s">
        <v>113</v>
      </c>
      <c r="G32" s="37" t="n">
        <v>46088</v>
      </c>
      <c r="H32" s="36" t="s">
        <v>97</v>
      </c>
      <c r="I32" s="38" t="n">
        <v>-149500</v>
      </c>
      <c r="J32" s="46"/>
      <c r="R32" s="0" t="str">
        <f aca="false">IF(COUNTIF($A$9:$A$42,F32)&gt;0,"Yes","No")</f>
        <v>Yes</v>
      </c>
    </row>
    <row r="33" customFormat="false" ht="15" hidden="false" customHeight="false" outlineLevel="0" collapsed="false">
      <c r="A33" s="28" t="s">
        <v>96</v>
      </c>
      <c r="B33" s="29" t="n">
        <v>46095</v>
      </c>
      <c r="C33" s="28" t="s">
        <v>114</v>
      </c>
      <c r="D33" s="30" t="n">
        <v>-199000</v>
      </c>
      <c r="F33" s="28" t="s">
        <v>109</v>
      </c>
      <c r="G33" s="29" t="n">
        <v>46087</v>
      </c>
      <c r="H33" s="28" t="s">
        <v>127</v>
      </c>
      <c r="I33" s="30" t="n">
        <v>-67500</v>
      </c>
      <c r="J33" s="46"/>
      <c r="R33" s="0" t="str">
        <f aca="false">IF(COUNTIF($A$9:$A$42,F33)&gt;0,"Yes","No")</f>
        <v>Yes</v>
      </c>
    </row>
    <row r="34" customFormat="false" ht="15" hidden="false" customHeight="false" outlineLevel="0" collapsed="false">
      <c r="A34" s="36" t="s">
        <v>101</v>
      </c>
      <c r="B34" s="37" t="n">
        <v>46091</v>
      </c>
      <c r="C34" s="36" t="s">
        <v>128</v>
      </c>
      <c r="D34" s="38" t="n">
        <v>-80500</v>
      </c>
      <c r="F34" s="36" t="s">
        <v>129</v>
      </c>
      <c r="G34" s="37" t="n">
        <v>46106</v>
      </c>
      <c r="H34" s="36" t="s">
        <v>127</v>
      </c>
      <c r="I34" s="38" t="n">
        <v>-233000</v>
      </c>
      <c r="J34" s="46"/>
      <c r="R34" s="0" t="str">
        <f aca="false">IF(COUNTIF($A$9:$A$42,F34)&gt;0,"Yes","No")</f>
        <v>Yes</v>
      </c>
    </row>
    <row r="35" customFormat="false" ht="15" hidden="false" customHeight="false" outlineLevel="0" collapsed="false">
      <c r="A35" s="28" t="s">
        <v>130</v>
      </c>
      <c r="B35" s="29" t="n">
        <v>46092</v>
      </c>
      <c r="C35" s="28" t="s">
        <v>95</v>
      </c>
      <c r="D35" s="30" t="n">
        <v>195000</v>
      </c>
      <c r="F35" s="28" t="s">
        <v>122</v>
      </c>
      <c r="G35" s="29" t="n">
        <v>46106</v>
      </c>
      <c r="H35" s="28" t="s">
        <v>131</v>
      </c>
      <c r="I35" s="30" t="n">
        <v>160000</v>
      </c>
      <c r="J35" s="46"/>
      <c r="R35" s="0" t="str">
        <f aca="false">IF(COUNTIF($A$9:$A$42,F35)&gt;0,"Yes","No")</f>
        <v>Yes</v>
      </c>
    </row>
    <row r="36" customFormat="false" ht="15" hidden="false" customHeight="false" outlineLevel="0" collapsed="false">
      <c r="A36" s="36" t="s">
        <v>88</v>
      </c>
      <c r="B36" s="37" t="n">
        <v>46099</v>
      </c>
      <c r="C36" s="36" t="s">
        <v>132</v>
      </c>
      <c r="D36" s="38" t="n">
        <v>118000</v>
      </c>
      <c r="F36" s="36" t="s">
        <v>133</v>
      </c>
      <c r="G36" s="37" t="n">
        <v>46092</v>
      </c>
      <c r="H36" s="36" t="s">
        <v>102</v>
      </c>
      <c r="I36" s="38" t="n">
        <v>-42000</v>
      </c>
      <c r="J36" s="46"/>
      <c r="R36" s="0" t="str">
        <f aca="false">IF(COUNTIF($A$9:$A$42,F36)&gt;0,"Yes","No")</f>
        <v>Yes</v>
      </c>
    </row>
    <row r="37" customFormat="false" ht="15" hidden="false" customHeight="false" outlineLevel="0" collapsed="false">
      <c r="A37" s="28" t="s">
        <v>133</v>
      </c>
      <c r="B37" s="29" t="n">
        <v>46090</v>
      </c>
      <c r="C37" s="28" t="s">
        <v>128</v>
      </c>
      <c r="D37" s="30" t="n">
        <v>-42000</v>
      </c>
      <c r="F37" s="28" t="s">
        <v>134</v>
      </c>
      <c r="G37" s="29" t="n">
        <v>46112</v>
      </c>
      <c r="H37" s="28" t="s">
        <v>135</v>
      </c>
      <c r="I37" s="30" t="n">
        <v>-236</v>
      </c>
      <c r="J37" s="46"/>
      <c r="R37" s="0" t="str">
        <f aca="false">IF(COUNTIF($A$9:$A$42,F37)&gt;0,"Yes","No")</f>
        <v>No</v>
      </c>
    </row>
    <row r="38" customFormat="false" ht="15" hidden="false" customHeight="false" outlineLevel="0" collapsed="false">
      <c r="A38" s="36" t="s">
        <v>124</v>
      </c>
      <c r="B38" s="37" t="n">
        <v>46105</v>
      </c>
      <c r="C38" s="36" t="s">
        <v>136</v>
      </c>
      <c r="D38" s="38" t="n">
        <v>-100000</v>
      </c>
      <c r="F38" s="36" t="s">
        <v>137</v>
      </c>
      <c r="G38" s="37" t="n">
        <v>46112</v>
      </c>
      <c r="H38" s="36" t="s">
        <v>138</v>
      </c>
      <c r="I38" s="38" t="n">
        <v>4310</v>
      </c>
      <c r="J38" s="46"/>
      <c r="R38" s="0" t="str">
        <f aca="false">IF(COUNTIF($A$9:$A$42,F38)&gt;0,"Yes","No")</f>
        <v>No</v>
      </c>
    </row>
    <row r="39" customFormat="false" ht="15" hidden="false" customHeight="false" outlineLevel="0" collapsed="false">
      <c r="A39" s="28" t="s">
        <v>139</v>
      </c>
      <c r="B39" s="29" t="n">
        <v>46111</v>
      </c>
      <c r="C39" s="28" t="s">
        <v>140</v>
      </c>
      <c r="D39" s="30" t="n">
        <v>84000</v>
      </c>
      <c r="F39" s="28" t="s">
        <v>117</v>
      </c>
      <c r="G39" s="29" t="n">
        <v>46083</v>
      </c>
      <c r="H39" s="28" t="s">
        <v>141</v>
      </c>
      <c r="I39" s="30" t="n">
        <v>-75000</v>
      </c>
      <c r="J39" s="46"/>
      <c r="R39" s="0" t="str">
        <f aca="false">IF(COUNTIF($A$9:$A$42,F39)&gt;0,"Yes","No")</f>
        <v>Yes</v>
      </c>
    </row>
    <row r="40" customFormat="false" ht="15" hidden="false" customHeight="false" outlineLevel="0" collapsed="false">
      <c r="A40" s="36" t="s">
        <v>129</v>
      </c>
      <c r="B40" s="37" t="n">
        <v>46102</v>
      </c>
      <c r="C40" s="36" t="s">
        <v>110</v>
      </c>
      <c r="D40" s="38" t="n">
        <v>-233000</v>
      </c>
      <c r="F40" s="36" t="s">
        <v>130</v>
      </c>
      <c r="G40" s="37" t="n">
        <v>46095</v>
      </c>
      <c r="H40" s="36" t="s">
        <v>70</v>
      </c>
      <c r="I40" s="38" t="n">
        <v>195000</v>
      </c>
      <c r="J40" s="46"/>
      <c r="R40" s="0" t="str">
        <f aca="false">IF(COUNTIF($A$9:$A$42,F40)&gt;0,"Yes","No")</f>
        <v>Yes</v>
      </c>
    </row>
    <row r="41" customFormat="false" ht="15" hidden="false" customHeight="false" outlineLevel="0" collapsed="false">
      <c r="A41" s="28" t="s">
        <v>58</v>
      </c>
      <c r="B41" s="29" t="n">
        <v>46086</v>
      </c>
      <c r="C41" s="28" t="s">
        <v>142</v>
      </c>
      <c r="D41" s="30" t="n">
        <v>75500</v>
      </c>
    </row>
    <row r="42" customFormat="false" ht="15" hidden="false" customHeight="false" outlineLevel="0" collapsed="false">
      <c r="A42" s="36" t="s">
        <v>143</v>
      </c>
      <c r="B42" s="37" t="n">
        <v>46112</v>
      </c>
      <c r="C42" s="36" t="s">
        <v>79</v>
      </c>
      <c r="D42" s="38" t="n">
        <v>132500</v>
      </c>
    </row>
  </sheetData>
  <mergeCells count="3">
    <mergeCell ref="A1:P1"/>
    <mergeCell ref="A2:P2"/>
    <mergeCell ref="A3:P5"/>
  </mergeCells>
  <conditionalFormatting sqref="O9:O14">
    <cfRule type="expression" priority="2" aboveAverage="0" equalAverage="0" bottom="0" percent="0" rank="0" text="" dxfId="0">
      <formula>LEFT(O9,1)="✓"</formula>
    </cfRule>
    <cfRule type="expression" priority="3" aboveAverage="0" equalAverage="0" bottom="0" percent="0" rank="0" text="" dxfId="1">
      <formula>LEFT(O9,1)="✗"</formula>
    </cfRule>
    <cfRule type="expression" priority="4" aboveAverage="0" equalAverage="0" bottom="0" percent="0" rank="0" text="" dxfId="2">
      <formula>LEFT(O9,1)="✎"</formula>
    </cfRule>
    <cfRule type="expression" priority="5" aboveAverage="0" equalAverage="0" bottom="0" percent="0" rank="0" text="" dxfId="3">
      <formula>LEFT(O9,1)="◯"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T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6" min="5" style="0" width="14"/>
    <col collapsed="false" customWidth="true" hidden="false" outlineLevel="0" max="8" min="8" style="0" width="11"/>
    <col collapsed="false" customWidth="true" hidden="false" outlineLevel="0" max="9" min="9" style="0" width="12"/>
    <col collapsed="false" customWidth="true" hidden="false" outlineLevel="0" max="10" min="10" style="0" width="30"/>
    <col collapsed="false" customWidth="true" hidden="false" outlineLevel="0" max="11" min="11" style="0" width="13"/>
    <col collapsed="false" customWidth="true" hidden="false" outlineLevel="0" max="12" min="12" style="0" width="3"/>
    <col collapsed="false" customWidth="true" hidden="false" outlineLevel="0" max="13" min="13" style="0" width="5"/>
    <col collapsed="false" customWidth="true" hidden="false" outlineLevel="0" max="14" min="14" style="0" width="46"/>
    <col collapsed="false" customWidth="true" hidden="false" outlineLevel="0" max="15" min="15" style="0" width="18"/>
    <col collapsed="false" customWidth="true" hidden="false" outlineLevel="0" max="16" min="16" style="0" width="17"/>
    <col collapsed="false" customWidth="true" hidden="false" outlineLevel="0" max="17" min="17" style="0" width="38"/>
    <col collapsed="false" customWidth="true" hidden="true" outlineLevel="0" max="21" min="18" style="0" width="13"/>
  </cols>
  <sheetData>
    <row r="1" customFormat="false" ht="31.5" hidden="false" customHeight="true" outlineLevel="0" collapsed="false">
      <c r="A1" s="50" t="s">
        <v>178</v>
      </c>
      <c r="B1" s="50"/>
      <c r="C1" s="50"/>
      <c r="D1" s="50"/>
      <c r="E1" s="50"/>
      <c r="F1" s="50"/>
      <c r="G1" s="50"/>
      <c r="H1" s="50"/>
      <c r="I1" s="50"/>
      <c r="J1" s="50"/>
      <c r="K1" s="50"/>
      <c r="L1" s="50"/>
      <c r="M1" s="50"/>
      <c r="N1" s="50"/>
      <c r="O1" s="50"/>
      <c r="P1" s="50"/>
      <c r="Q1" s="50"/>
    </row>
    <row r="2" customFormat="false" ht="19.5" hidden="false" customHeight="true" outlineLevel="0" collapsed="false">
      <c r="A2" s="51" t="s">
        <v>179</v>
      </c>
      <c r="B2" s="51"/>
      <c r="C2" s="51"/>
      <c r="D2" s="51"/>
      <c r="E2" s="51"/>
      <c r="F2" s="51"/>
      <c r="G2" s="51"/>
      <c r="H2" s="51"/>
      <c r="I2" s="51"/>
      <c r="J2" s="51"/>
      <c r="K2" s="51"/>
      <c r="L2" s="51"/>
      <c r="M2" s="51"/>
      <c r="N2" s="51"/>
      <c r="O2" s="51"/>
      <c r="P2" s="51"/>
      <c r="Q2" s="51"/>
    </row>
    <row r="3" customFormat="false" ht="18.75" hidden="false" customHeight="true" outlineLevel="0" collapsed="false">
      <c r="A3" s="52" t="s">
        <v>180</v>
      </c>
      <c r="B3" s="52"/>
      <c r="C3" s="52"/>
      <c r="D3" s="52"/>
      <c r="E3" s="52"/>
      <c r="F3" s="52"/>
      <c r="G3" s="52"/>
      <c r="H3" s="52"/>
      <c r="I3" s="52"/>
      <c r="J3" s="52"/>
      <c r="K3" s="52"/>
      <c r="L3" s="52"/>
      <c r="M3" s="52"/>
      <c r="N3" s="52"/>
      <c r="O3" s="52"/>
      <c r="P3" s="52"/>
      <c r="Q3" s="52"/>
    </row>
    <row r="4" customFormat="false" ht="18.75" hidden="false" customHeight="true" outlineLevel="0" collapsed="false">
      <c r="A4" s="52"/>
      <c r="B4" s="52"/>
      <c r="C4" s="52"/>
      <c r="D4" s="52"/>
      <c r="E4" s="52"/>
      <c r="F4" s="52"/>
      <c r="G4" s="52"/>
      <c r="H4" s="52"/>
      <c r="I4" s="52"/>
      <c r="J4" s="52"/>
      <c r="K4" s="52"/>
      <c r="L4" s="52"/>
      <c r="M4" s="52"/>
      <c r="N4" s="52"/>
      <c r="O4" s="52"/>
      <c r="P4" s="52"/>
      <c r="Q4" s="52"/>
    </row>
    <row r="5" customFormat="false" ht="18.75" hidden="false" customHeight="true" outlineLevel="0" collapsed="false">
      <c r="A5" s="52"/>
      <c r="B5" s="52"/>
      <c r="C5" s="52"/>
      <c r="D5" s="52"/>
      <c r="E5" s="52"/>
      <c r="F5" s="52"/>
      <c r="G5" s="52"/>
      <c r="H5" s="52"/>
      <c r="I5" s="52"/>
      <c r="J5" s="52"/>
      <c r="K5" s="52"/>
      <c r="L5" s="52"/>
      <c r="M5" s="52"/>
      <c r="N5" s="52"/>
      <c r="O5" s="52"/>
      <c r="P5" s="52"/>
      <c r="Q5" s="52"/>
    </row>
    <row r="6" customFormat="false" ht="19.5" hidden="false" customHeight="true" outlineLevel="0" collapsed="false"/>
    <row r="8" customFormat="false" ht="24" hidden="false" customHeight="true" outlineLevel="0" collapsed="false">
      <c r="A8" s="26" t="s">
        <v>36</v>
      </c>
      <c r="B8" s="26" t="s">
        <v>37</v>
      </c>
      <c r="C8" s="26" t="s">
        <v>38</v>
      </c>
      <c r="D8" s="26" t="s">
        <v>39</v>
      </c>
      <c r="E8" s="44" t="s">
        <v>181</v>
      </c>
      <c r="F8" s="44" t="s">
        <v>182</v>
      </c>
      <c r="H8" s="26" t="s">
        <v>36</v>
      </c>
      <c r="I8" s="26" t="s">
        <v>37</v>
      </c>
      <c r="J8" s="26" t="s">
        <v>38</v>
      </c>
      <c r="K8" s="26" t="s">
        <v>39</v>
      </c>
      <c r="M8" s="12" t="s">
        <v>14</v>
      </c>
      <c r="N8" s="12" t="s">
        <v>40</v>
      </c>
      <c r="O8" s="12" t="s">
        <v>41</v>
      </c>
      <c r="P8" s="12" t="s">
        <v>42</v>
      </c>
      <c r="Q8" s="12" t="s">
        <v>43</v>
      </c>
    </row>
    <row r="9" customFormat="false" ht="33.75" hidden="false" customHeight="true" outlineLevel="0" collapsed="false">
      <c r="A9" s="28" t="s">
        <v>44</v>
      </c>
      <c r="B9" s="29" t="n">
        <v>46112</v>
      </c>
      <c r="C9" s="28" t="s">
        <v>45</v>
      </c>
      <c r="D9" s="30" t="n">
        <v>29800</v>
      </c>
      <c r="E9" s="46"/>
      <c r="F9" s="46"/>
      <c r="H9" s="28" t="s">
        <v>46</v>
      </c>
      <c r="I9" s="29" t="n">
        <v>46105</v>
      </c>
      <c r="J9" s="28" t="s">
        <v>47</v>
      </c>
      <c r="K9" s="30" t="n">
        <v>25000</v>
      </c>
      <c r="M9" s="53" t="n">
        <v>1</v>
      </c>
      <c r="N9" s="32" t="s">
        <v>183</v>
      </c>
      <c r="O9" s="48" t="s">
        <v>149</v>
      </c>
      <c r="P9" s="34" t="str">
        <f aca="false">IF(COUNTA($E$9:$E$42)=0,"◯ Not attempted",IF(NOT(_xlfn.ISFORMULA(E9)),"✎ Use a formula",IFERROR(IF(SUMPRODUCT(--(ABS($E$9:$E$42-$S$9:$S$42)&lt;0.01))=ROWS($E$9:$E$42),"✓ Correct","✗ "&amp;(ROWS($E$9:$E$42)-SUMPRODUCT(--(ABS($E$9:$E$42-$S$9:$S$42)&lt;0.01)))&amp;" rows differ"),"✗ Check the column")))</f>
        <v>◯ Not attempted</v>
      </c>
      <c r="Q9" s="35" t="s">
        <v>184</v>
      </c>
      <c r="S9" s="0" t="n">
        <f aca="false">_xlfn.IFNA(VLOOKUP(A9,$H$9:$K$40,4,0),0)</f>
        <v>0</v>
      </c>
      <c r="T9" s="0" t="n">
        <f aca="false">D9-_xlfn.IFNA(VLOOKUP(A9,$H$9:$K$40,4,0),0)</f>
        <v>29800</v>
      </c>
    </row>
    <row r="10" customFormat="false" ht="33.75" hidden="false" customHeight="true" outlineLevel="0" collapsed="false">
      <c r="A10" s="36" t="s">
        <v>50</v>
      </c>
      <c r="B10" s="37" t="n">
        <v>46107</v>
      </c>
      <c r="C10" s="36" t="s">
        <v>51</v>
      </c>
      <c r="D10" s="38" t="n">
        <v>-96500</v>
      </c>
      <c r="E10" s="46"/>
      <c r="F10" s="46"/>
      <c r="H10" s="36" t="s">
        <v>52</v>
      </c>
      <c r="I10" s="37" t="n">
        <v>46108</v>
      </c>
      <c r="J10" s="36" t="s">
        <v>53</v>
      </c>
      <c r="K10" s="38" t="n">
        <v>189000</v>
      </c>
      <c r="M10" s="53" t="n">
        <v>2</v>
      </c>
      <c r="N10" s="32" t="s">
        <v>185</v>
      </c>
      <c r="O10" s="48" t="s">
        <v>186</v>
      </c>
      <c r="P10" s="34" t="str">
        <f aca="false">IF(COUNTA($F$9:$F$42)=0,"◯ Not attempted",IF(NOT(_xlfn.ISFORMULA(F9)),"✎ Use a formula",IFERROR(IF(SUMPRODUCT(--(ABS($F$9:$F$42-$T$9:$T$42)&lt;0.01))=ROWS($F$9:$F$42),"✓ Correct","✗ "&amp;(ROWS($F$9:$F$42)-SUMPRODUCT(--(ABS($F$9:$F$42-$T$9:$T$42)&lt;0.01)))&amp;" rows differ"),"✗ Check the column")))</f>
        <v>◯ Not attempted</v>
      </c>
      <c r="Q10" s="35" t="s">
        <v>187</v>
      </c>
      <c r="S10" s="0" t="n">
        <f aca="false">_xlfn.IFNA(VLOOKUP(A10,$H$9:$K$40,4,0),0)</f>
        <v>0</v>
      </c>
      <c r="T10" s="0" t="n">
        <f aca="false">D10-_xlfn.IFNA(VLOOKUP(A10,$H$9:$K$40,4,0),0)</f>
        <v>-96500</v>
      </c>
    </row>
    <row r="11" customFormat="false" ht="33.75" hidden="false" customHeight="true" outlineLevel="0" collapsed="false">
      <c r="A11" s="28" t="s">
        <v>56</v>
      </c>
      <c r="B11" s="29" t="n">
        <v>46108</v>
      </c>
      <c r="C11" s="28" t="s">
        <v>57</v>
      </c>
      <c r="D11" s="30" t="n">
        <v>-41200</v>
      </c>
      <c r="E11" s="46"/>
      <c r="F11" s="46"/>
      <c r="H11" s="28" t="s">
        <v>58</v>
      </c>
      <c r="I11" s="29" t="n">
        <v>46086</v>
      </c>
      <c r="J11" s="28" t="s">
        <v>59</v>
      </c>
      <c r="K11" s="30" t="n">
        <v>75500</v>
      </c>
      <c r="M11" s="53" t="n">
        <v>3</v>
      </c>
      <c r="N11" s="32" t="s">
        <v>188</v>
      </c>
      <c r="O11" s="39"/>
      <c r="P11" s="34" t="str">
        <f aca="false">IF(ISBLANK(O11),"◯ Not attempted",IF(NOT(_xlfn.ISFORMULA(O11)),"✎ Use a formula",IF(ISNUMBER(O11),IF(ABS(O11-$R$11)&lt;0.005,"✓ Correct","✗ Check again"),"✗ Not a number")))</f>
        <v>◯ Not attempted</v>
      </c>
      <c r="Q11" s="35" t="s">
        <v>189</v>
      </c>
      <c r="R11" s="40" t="n">
        <f aca="false">2</f>
        <v>2</v>
      </c>
      <c r="S11" s="54" t="n">
        <f aca="false">_xlfn.IFNA(VLOOKUP(A11,$H$9:$K$40,4,0),0)</f>
        <v>0</v>
      </c>
      <c r="T11" s="54" t="n">
        <f aca="false">D11-_xlfn.IFNA(VLOOKUP(A11,$H$9:$K$40,4,0),0)</f>
        <v>-41200</v>
      </c>
    </row>
    <row r="12" customFormat="false" ht="33.75" hidden="false" customHeight="true" outlineLevel="0" collapsed="false">
      <c r="A12" s="36" t="s">
        <v>62</v>
      </c>
      <c r="B12" s="37" t="n">
        <v>46095</v>
      </c>
      <c r="C12" s="36" t="s">
        <v>63</v>
      </c>
      <c r="D12" s="38" t="n">
        <v>225500</v>
      </c>
      <c r="E12" s="46"/>
      <c r="F12" s="46"/>
      <c r="H12" s="36" t="s">
        <v>62</v>
      </c>
      <c r="I12" s="37" t="n">
        <v>46097</v>
      </c>
      <c r="J12" s="36" t="s">
        <v>64</v>
      </c>
      <c r="K12" s="38" t="n">
        <v>225500</v>
      </c>
      <c r="M12" s="53" t="n">
        <v>4</v>
      </c>
      <c r="N12" s="32" t="s">
        <v>190</v>
      </c>
      <c r="O12" s="33"/>
      <c r="P12" s="34" t="str">
        <f aca="false">IF(ISBLANK(O12),"◯ Not attempted",IF(NOT(_xlfn.ISFORMULA(O12)),"✎ Use a formula",IF(ISNUMBER(O12),IF(ABS(O12-$R$12)&lt;0.005,"✓ Correct","✗ Check again"),"✗ Not a number")))</f>
        <v>◯ Not attempted</v>
      </c>
      <c r="Q12" s="35" t="s">
        <v>191</v>
      </c>
      <c r="R12" s="0" t="n">
        <f aca="false">-4190</f>
        <v>-4190</v>
      </c>
      <c r="S12" s="0" t="n">
        <f aca="false">_xlfn.IFNA(VLOOKUP(A12,$H$9:$K$40,4,0),0)</f>
        <v>225500</v>
      </c>
      <c r="T12" s="0" t="n">
        <f aca="false">D12-_xlfn.IFNA(VLOOKUP(A12,$H$9:$K$40,4,0),0)</f>
        <v>0</v>
      </c>
    </row>
    <row r="13" customFormat="false" ht="33.75" hidden="false" customHeight="true" outlineLevel="0" collapsed="false">
      <c r="A13" s="28" t="s">
        <v>67</v>
      </c>
      <c r="B13" s="29" t="n">
        <v>46111</v>
      </c>
      <c r="C13" s="28" t="s">
        <v>68</v>
      </c>
      <c r="D13" s="30" t="n">
        <v>-23750</v>
      </c>
      <c r="E13" s="46"/>
      <c r="F13" s="46"/>
      <c r="H13" s="28" t="s">
        <v>69</v>
      </c>
      <c r="I13" s="29" t="n">
        <v>46087</v>
      </c>
      <c r="J13" s="28" t="s">
        <v>70</v>
      </c>
      <c r="K13" s="30" t="n">
        <v>97500</v>
      </c>
      <c r="M13" s="53" t="n">
        <v>5</v>
      </c>
      <c r="N13" s="32" t="s">
        <v>192</v>
      </c>
      <c r="O13" s="33"/>
      <c r="P13" s="34" t="str">
        <f aca="false">IF(ISBLANK(O13),"◯ Not attempted",IF(NOT(_xlfn.ISFORMULA(O13)),"✎ Use a formula",IF(ISNUMBER(O13),IF(ABS(O13-$R$13)&lt;0.005,"✓ Correct","✗ Check again"),"✗ Not a number")))</f>
        <v>◯ Not attempted</v>
      </c>
      <c r="Q13" s="35" t="s">
        <v>193</v>
      </c>
      <c r="R13" s="0" t="n">
        <f aca="false">42000</f>
        <v>42000</v>
      </c>
      <c r="S13" s="0" t="n">
        <f aca="false">_xlfn.IFNA(VLOOKUP(A13,$H$9:$K$40,4,0),0)</f>
        <v>0</v>
      </c>
      <c r="T13" s="0" t="n">
        <f aca="false">D13-_xlfn.IFNA(VLOOKUP(A13,$H$9:$K$40,4,0),0)</f>
        <v>-23750</v>
      </c>
    </row>
    <row r="14" customFormat="false" ht="15" hidden="false" customHeight="false" outlineLevel="0" collapsed="false">
      <c r="A14" s="36" t="s">
        <v>73</v>
      </c>
      <c r="B14" s="37" t="n">
        <v>46106</v>
      </c>
      <c r="C14" s="36" t="s">
        <v>74</v>
      </c>
      <c r="D14" s="38" t="n">
        <v>226500</v>
      </c>
      <c r="E14" s="46"/>
      <c r="F14" s="46"/>
      <c r="H14" s="36" t="s">
        <v>75</v>
      </c>
      <c r="I14" s="37" t="n">
        <v>46099</v>
      </c>
      <c r="J14" s="36" t="s">
        <v>76</v>
      </c>
      <c r="K14" s="38" t="n">
        <v>-155500</v>
      </c>
      <c r="S14" s="54" t="n">
        <f aca="false">_xlfn.IFNA(VLOOKUP(A14,$H$9:$K$40,4,0),0)</f>
        <v>226500</v>
      </c>
      <c r="T14" s="54" t="n">
        <f aca="false">D14-_xlfn.IFNA(VLOOKUP(A14,$H$9:$K$40,4,0),0)</f>
        <v>0</v>
      </c>
    </row>
    <row r="15" customFormat="false" ht="15" hidden="false" customHeight="false" outlineLevel="0" collapsed="false">
      <c r="A15" s="28" t="s">
        <v>52</v>
      </c>
      <c r="B15" s="29" t="n">
        <v>46105</v>
      </c>
      <c r="C15" s="28" t="s">
        <v>79</v>
      </c>
      <c r="D15" s="30" t="n">
        <v>189000</v>
      </c>
      <c r="E15" s="46"/>
      <c r="F15" s="46"/>
      <c r="H15" s="28" t="s">
        <v>80</v>
      </c>
      <c r="I15" s="29" t="n">
        <v>46106</v>
      </c>
      <c r="J15" s="28" t="s">
        <v>81</v>
      </c>
      <c r="K15" s="30" t="n">
        <v>90500</v>
      </c>
      <c r="S15" s="54" t="n">
        <f aca="false">_xlfn.IFNA(VLOOKUP(A15,$H$9:$K$40,4,0),0)</f>
        <v>189000</v>
      </c>
      <c r="T15" s="54" t="n">
        <f aca="false">D15-_xlfn.IFNA(VLOOKUP(A15,$H$9:$K$40,4,0),0)</f>
        <v>0</v>
      </c>
    </row>
    <row r="16" customFormat="false" ht="15" hidden="false" customHeight="false" outlineLevel="0" collapsed="false">
      <c r="A16" s="36" t="s">
        <v>75</v>
      </c>
      <c r="B16" s="37" t="n">
        <v>46099</v>
      </c>
      <c r="C16" s="36" t="s">
        <v>84</v>
      </c>
      <c r="D16" s="38" t="n">
        <v>-155500</v>
      </c>
      <c r="E16" s="46"/>
      <c r="F16" s="46"/>
      <c r="H16" s="36" t="s">
        <v>85</v>
      </c>
      <c r="I16" s="37" t="n">
        <v>46103</v>
      </c>
      <c r="J16" s="36" t="s">
        <v>86</v>
      </c>
      <c r="K16" s="38" t="n">
        <v>68000</v>
      </c>
      <c r="S16" s="54" t="n">
        <f aca="false">_xlfn.IFNA(VLOOKUP(A16,$H$9:$K$40,4,0),0)</f>
        <v>-155500</v>
      </c>
      <c r="T16" s="54" t="n">
        <f aca="false">D16-_xlfn.IFNA(VLOOKUP(A16,$H$9:$K$40,4,0),0)</f>
        <v>0</v>
      </c>
    </row>
    <row r="17" customFormat="false" ht="15" hidden="false" customHeight="false" outlineLevel="0" collapsed="false">
      <c r="A17" s="28" t="s">
        <v>87</v>
      </c>
      <c r="B17" s="29" t="n">
        <v>46091</v>
      </c>
      <c r="C17" s="28" t="s">
        <v>84</v>
      </c>
      <c r="D17" s="30" t="n">
        <v>-162500</v>
      </c>
      <c r="E17" s="46"/>
      <c r="F17" s="46"/>
      <c r="H17" s="28" t="s">
        <v>88</v>
      </c>
      <c r="I17" s="29" t="n">
        <v>46101</v>
      </c>
      <c r="J17" s="28" t="s">
        <v>89</v>
      </c>
      <c r="K17" s="30" t="n">
        <v>117410</v>
      </c>
      <c r="S17" s="54" t="n">
        <f aca="false">_xlfn.IFNA(VLOOKUP(A17,$H$9:$K$40,4,0),0)</f>
        <v>-162500</v>
      </c>
      <c r="T17" s="54" t="n">
        <f aca="false">D17-_xlfn.IFNA(VLOOKUP(A17,$H$9:$K$40,4,0),0)</f>
        <v>0</v>
      </c>
    </row>
    <row r="18" customFormat="false" ht="15" hidden="false" customHeight="false" outlineLevel="0" collapsed="false">
      <c r="A18" s="36" t="s">
        <v>90</v>
      </c>
      <c r="B18" s="37" t="n">
        <v>46099</v>
      </c>
      <c r="C18" s="36" t="s">
        <v>91</v>
      </c>
      <c r="D18" s="38" t="n">
        <v>146000</v>
      </c>
      <c r="E18" s="46"/>
      <c r="F18" s="46"/>
      <c r="H18" s="36" t="s">
        <v>87</v>
      </c>
      <c r="I18" s="37" t="n">
        <v>46091</v>
      </c>
      <c r="J18" s="36" t="s">
        <v>76</v>
      </c>
      <c r="K18" s="38" t="n">
        <v>-162500</v>
      </c>
      <c r="S18" s="54" t="n">
        <f aca="false">_xlfn.IFNA(VLOOKUP(A18,$H$9:$K$40,4,0),0)</f>
        <v>146000</v>
      </c>
      <c r="T18" s="54" t="n">
        <f aca="false">D18-_xlfn.IFNA(VLOOKUP(A18,$H$9:$K$40,4,0),0)</f>
        <v>0</v>
      </c>
    </row>
    <row r="19" customFormat="false" ht="15" hidden="false" customHeight="false" outlineLevel="0" collapsed="false">
      <c r="A19" s="28" t="s">
        <v>80</v>
      </c>
      <c r="B19" s="29" t="n">
        <v>46104</v>
      </c>
      <c r="C19" s="28" t="s">
        <v>92</v>
      </c>
      <c r="D19" s="30" t="n">
        <v>90500</v>
      </c>
      <c r="E19" s="46"/>
      <c r="F19" s="46"/>
      <c r="H19" s="28" t="s">
        <v>93</v>
      </c>
      <c r="I19" s="29" t="n">
        <v>46112</v>
      </c>
      <c r="J19" s="28" t="s">
        <v>94</v>
      </c>
      <c r="K19" s="30" t="n">
        <v>-1180</v>
      </c>
      <c r="S19" s="54" t="n">
        <f aca="false">_xlfn.IFNA(VLOOKUP(A19,$H$9:$K$40,4,0),0)</f>
        <v>90500</v>
      </c>
      <c r="T19" s="54" t="n">
        <f aca="false">D19-_xlfn.IFNA(VLOOKUP(A19,$H$9:$K$40,4,0),0)</f>
        <v>0</v>
      </c>
    </row>
    <row r="20" customFormat="false" ht="15" hidden="false" customHeight="false" outlineLevel="0" collapsed="false">
      <c r="A20" s="36" t="s">
        <v>69</v>
      </c>
      <c r="B20" s="37" t="n">
        <v>46087</v>
      </c>
      <c r="C20" s="36" t="s">
        <v>95</v>
      </c>
      <c r="D20" s="38" t="n">
        <v>97500</v>
      </c>
      <c r="E20" s="46"/>
      <c r="F20" s="46"/>
      <c r="H20" s="36" t="s">
        <v>96</v>
      </c>
      <c r="I20" s="37" t="n">
        <v>46097</v>
      </c>
      <c r="J20" s="36" t="s">
        <v>97</v>
      </c>
      <c r="K20" s="38" t="n">
        <v>-199000</v>
      </c>
      <c r="S20" s="54" t="n">
        <f aca="false">_xlfn.IFNA(VLOOKUP(A20,$H$9:$K$40,4,0),0)</f>
        <v>97500</v>
      </c>
      <c r="T20" s="54" t="n">
        <f aca="false">D20-_xlfn.IFNA(VLOOKUP(A20,$H$9:$K$40,4,0),0)</f>
        <v>0</v>
      </c>
    </row>
    <row r="21" customFormat="false" ht="15" hidden="false" customHeight="false" outlineLevel="0" collapsed="false">
      <c r="A21" s="28" t="s">
        <v>98</v>
      </c>
      <c r="B21" s="29" t="n">
        <v>46094</v>
      </c>
      <c r="C21" s="28" t="s">
        <v>95</v>
      </c>
      <c r="D21" s="30" t="n">
        <v>88000</v>
      </c>
      <c r="E21" s="46"/>
      <c r="F21" s="46"/>
      <c r="H21" s="28" t="s">
        <v>98</v>
      </c>
      <c r="I21" s="29" t="n">
        <v>46098</v>
      </c>
      <c r="J21" s="28" t="s">
        <v>70</v>
      </c>
      <c r="K21" s="30" t="n">
        <v>88000</v>
      </c>
      <c r="S21" s="54" t="n">
        <f aca="false">_xlfn.IFNA(VLOOKUP(A21,$H$9:$K$40,4,0),0)</f>
        <v>88000</v>
      </c>
      <c r="T21" s="54" t="n">
        <f aca="false">D21-_xlfn.IFNA(VLOOKUP(A21,$H$9:$K$40,4,0),0)</f>
        <v>0</v>
      </c>
    </row>
    <row r="22" customFormat="false" ht="15" hidden="false" customHeight="false" outlineLevel="0" collapsed="false">
      <c r="A22" s="36" t="s">
        <v>99</v>
      </c>
      <c r="B22" s="37" t="n">
        <v>46112</v>
      </c>
      <c r="C22" s="36" t="s">
        <v>100</v>
      </c>
      <c r="D22" s="38" t="n">
        <v>-67400</v>
      </c>
      <c r="E22" s="46"/>
      <c r="F22" s="46"/>
      <c r="H22" s="36" t="s">
        <v>101</v>
      </c>
      <c r="I22" s="37" t="n">
        <v>46092</v>
      </c>
      <c r="J22" s="36" t="s">
        <v>102</v>
      </c>
      <c r="K22" s="38" t="n">
        <v>-80500</v>
      </c>
      <c r="S22" s="54" t="n">
        <f aca="false">_xlfn.IFNA(VLOOKUP(A22,$H$9:$K$40,4,0),0)</f>
        <v>0</v>
      </c>
      <c r="T22" s="54" t="n">
        <f aca="false">D22-_xlfn.IFNA(VLOOKUP(A22,$H$9:$K$40,4,0),0)</f>
        <v>-67400</v>
      </c>
    </row>
    <row r="23" customFormat="false" ht="15" hidden="false" customHeight="false" outlineLevel="0" collapsed="false">
      <c r="A23" s="28" t="s">
        <v>103</v>
      </c>
      <c r="B23" s="29" t="n">
        <v>46090</v>
      </c>
      <c r="C23" s="28" t="s">
        <v>104</v>
      </c>
      <c r="D23" s="30" t="n">
        <v>-90500</v>
      </c>
      <c r="E23" s="46"/>
      <c r="F23" s="46"/>
      <c r="H23" s="28" t="s">
        <v>90</v>
      </c>
      <c r="I23" s="29" t="n">
        <v>46102</v>
      </c>
      <c r="J23" s="28" t="s">
        <v>105</v>
      </c>
      <c r="K23" s="30" t="n">
        <v>146000</v>
      </c>
      <c r="S23" s="54" t="n">
        <f aca="false">_xlfn.IFNA(VLOOKUP(A23,$H$9:$K$40,4,0),0)</f>
        <v>-90500</v>
      </c>
      <c r="T23" s="54" t="n">
        <f aca="false">D23-_xlfn.IFNA(VLOOKUP(A23,$H$9:$K$40,4,0),0)</f>
        <v>0</v>
      </c>
    </row>
    <row r="24" customFormat="false" ht="15" hidden="false" customHeight="false" outlineLevel="0" collapsed="false">
      <c r="A24" s="36" t="s">
        <v>46</v>
      </c>
      <c r="B24" s="37" t="n">
        <v>46102</v>
      </c>
      <c r="C24" s="36" t="s">
        <v>106</v>
      </c>
      <c r="D24" s="38" t="n">
        <v>25000</v>
      </c>
      <c r="E24" s="46"/>
      <c r="F24" s="46"/>
      <c r="H24" s="36" t="s">
        <v>107</v>
      </c>
      <c r="I24" s="37" t="n">
        <v>46101</v>
      </c>
      <c r="J24" s="36" t="s">
        <v>108</v>
      </c>
      <c r="K24" s="38" t="n">
        <v>-25000</v>
      </c>
      <c r="S24" s="54" t="n">
        <f aca="false">_xlfn.IFNA(VLOOKUP(A24,$H$9:$K$40,4,0),0)</f>
        <v>25000</v>
      </c>
      <c r="T24" s="54" t="n">
        <f aca="false">D24-_xlfn.IFNA(VLOOKUP(A24,$H$9:$K$40,4,0),0)</f>
        <v>0</v>
      </c>
    </row>
    <row r="25" customFormat="false" ht="15" hidden="false" customHeight="false" outlineLevel="0" collapsed="false">
      <c r="A25" s="28" t="s">
        <v>109</v>
      </c>
      <c r="B25" s="29" t="n">
        <v>46085</v>
      </c>
      <c r="C25" s="28" t="s">
        <v>110</v>
      </c>
      <c r="D25" s="30" t="n">
        <v>-67500</v>
      </c>
      <c r="E25" s="46"/>
      <c r="F25" s="46"/>
      <c r="H25" s="28" t="s">
        <v>111</v>
      </c>
      <c r="I25" s="29" t="n">
        <v>46098</v>
      </c>
      <c r="J25" s="28" t="s">
        <v>112</v>
      </c>
      <c r="K25" s="30" t="n">
        <v>19000</v>
      </c>
      <c r="S25" s="54" t="n">
        <f aca="false">_xlfn.IFNA(VLOOKUP(A25,$H$9:$K$40,4,0),0)</f>
        <v>-67500</v>
      </c>
      <c r="T25" s="54" t="n">
        <f aca="false">D25-_xlfn.IFNA(VLOOKUP(A25,$H$9:$K$40,4,0),0)</f>
        <v>0</v>
      </c>
    </row>
    <row r="26" customFormat="false" ht="15" hidden="false" customHeight="false" outlineLevel="0" collapsed="false">
      <c r="A26" s="36" t="s">
        <v>113</v>
      </c>
      <c r="B26" s="37" t="n">
        <v>46085</v>
      </c>
      <c r="C26" s="36" t="s">
        <v>114</v>
      </c>
      <c r="D26" s="38" t="n">
        <v>-149500</v>
      </c>
      <c r="E26" s="46"/>
      <c r="F26" s="46"/>
      <c r="H26" s="36" t="s">
        <v>115</v>
      </c>
      <c r="I26" s="37" t="n">
        <v>46092</v>
      </c>
      <c r="J26" s="36" t="s">
        <v>116</v>
      </c>
      <c r="K26" s="38" t="n">
        <v>-49500</v>
      </c>
      <c r="S26" s="54" t="n">
        <f aca="false">_xlfn.IFNA(VLOOKUP(A26,$H$9:$K$40,4,0),0)</f>
        <v>-149500</v>
      </c>
      <c r="T26" s="54" t="n">
        <f aca="false">D26-_xlfn.IFNA(VLOOKUP(A26,$H$9:$K$40,4,0),0)</f>
        <v>0</v>
      </c>
    </row>
    <row r="27" customFormat="false" ht="15" hidden="false" customHeight="false" outlineLevel="0" collapsed="false">
      <c r="A27" s="28" t="s">
        <v>117</v>
      </c>
      <c r="B27" s="29" t="n">
        <v>46082</v>
      </c>
      <c r="C27" s="28" t="s">
        <v>51</v>
      </c>
      <c r="D27" s="30" t="n">
        <v>-75000</v>
      </c>
      <c r="E27" s="46"/>
      <c r="F27" s="46"/>
      <c r="H27" s="28" t="s">
        <v>118</v>
      </c>
      <c r="I27" s="29" t="n">
        <v>46096</v>
      </c>
      <c r="J27" s="28" t="s">
        <v>119</v>
      </c>
      <c r="K27" s="30" t="n">
        <v>-12500</v>
      </c>
      <c r="S27" s="54" t="n">
        <f aca="false">_xlfn.IFNA(VLOOKUP(A27,$H$9:$K$40,4,0),0)</f>
        <v>-75000</v>
      </c>
      <c r="T27" s="54" t="n">
        <f aca="false">D27-_xlfn.IFNA(VLOOKUP(A27,$H$9:$K$40,4,0),0)</f>
        <v>0</v>
      </c>
    </row>
    <row r="28" customFormat="false" ht="15" hidden="false" customHeight="false" outlineLevel="0" collapsed="false">
      <c r="A28" s="36" t="s">
        <v>120</v>
      </c>
      <c r="B28" s="37" t="n">
        <v>46099</v>
      </c>
      <c r="C28" s="36" t="s">
        <v>84</v>
      </c>
      <c r="D28" s="38" t="n">
        <v>-140500</v>
      </c>
      <c r="E28" s="46"/>
      <c r="F28" s="46"/>
      <c r="H28" s="36" t="s">
        <v>103</v>
      </c>
      <c r="I28" s="37" t="n">
        <v>46091</v>
      </c>
      <c r="J28" s="36" t="s">
        <v>121</v>
      </c>
      <c r="K28" s="38" t="n">
        <v>-90500</v>
      </c>
      <c r="S28" s="54" t="n">
        <f aca="false">_xlfn.IFNA(VLOOKUP(A28,$H$9:$K$40,4,0),0)</f>
        <v>-140500</v>
      </c>
      <c r="T28" s="54" t="n">
        <f aca="false">D28-_xlfn.IFNA(VLOOKUP(A28,$H$9:$K$40,4,0),0)</f>
        <v>0</v>
      </c>
    </row>
    <row r="29" customFormat="false" ht="15" hidden="false" customHeight="false" outlineLevel="0" collapsed="false">
      <c r="A29" s="28" t="s">
        <v>122</v>
      </c>
      <c r="B29" s="29" t="n">
        <v>46103</v>
      </c>
      <c r="C29" s="28" t="s">
        <v>123</v>
      </c>
      <c r="D29" s="30" t="n">
        <v>160000</v>
      </c>
      <c r="E29" s="46"/>
      <c r="F29" s="46"/>
      <c r="H29" s="28" t="s">
        <v>120</v>
      </c>
      <c r="I29" s="29" t="n">
        <v>46101</v>
      </c>
      <c r="J29" s="28" t="s">
        <v>76</v>
      </c>
      <c r="K29" s="30" t="n">
        <v>-140500</v>
      </c>
      <c r="S29" s="54" t="n">
        <f aca="false">_xlfn.IFNA(VLOOKUP(A29,$H$9:$K$40,4,0),0)</f>
        <v>160000</v>
      </c>
      <c r="T29" s="54" t="n">
        <f aca="false">D29-_xlfn.IFNA(VLOOKUP(A29,$H$9:$K$40,4,0),0)</f>
        <v>0</v>
      </c>
    </row>
    <row r="30" customFormat="false" ht="15" hidden="false" customHeight="false" outlineLevel="0" collapsed="false">
      <c r="A30" s="36" t="s">
        <v>111</v>
      </c>
      <c r="B30" s="37" t="n">
        <v>46095</v>
      </c>
      <c r="C30" s="36" t="s">
        <v>74</v>
      </c>
      <c r="D30" s="38" t="n">
        <v>19000</v>
      </c>
      <c r="E30" s="46"/>
      <c r="F30" s="46"/>
      <c r="H30" s="36" t="s">
        <v>124</v>
      </c>
      <c r="I30" s="37" t="n">
        <v>46109</v>
      </c>
      <c r="J30" s="36" t="s">
        <v>125</v>
      </c>
      <c r="K30" s="38" t="n">
        <v>-100000</v>
      </c>
      <c r="S30" s="54" t="n">
        <f aca="false">_xlfn.IFNA(VLOOKUP(A30,$H$9:$K$40,4,0),0)</f>
        <v>19000</v>
      </c>
      <c r="T30" s="54" t="n">
        <f aca="false">D30-_xlfn.IFNA(VLOOKUP(A30,$H$9:$K$40,4,0),0)</f>
        <v>0</v>
      </c>
    </row>
    <row r="31" customFormat="false" ht="15" hidden="false" customHeight="false" outlineLevel="0" collapsed="false">
      <c r="A31" s="28" t="s">
        <v>115</v>
      </c>
      <c r="B31" s="29" t="n">
        <v>46090</v>
      </c>
      <c r="C31" s="28" t="s">
        <v>100</v>
      </c>
      <c r="D31" s="30" t="n">
        <v>-45900</v>
      </c>
      <c r="E31" s="46"/>
      <c r="F31" s="46"/>
      <c r="H31" s="28" t="s">
        <v>73</v>
      </c>
      <c r="I31" s="29" t="n">
        <v>46108</v>
      </c>
      <c r="J31" s="28" t="s">
        <v>112</v>
      </c>
      <c r="K31" s="30" t="n">
        <v>226500</v>
      </c>
      <c r="S31" s="54" t="n">
        <f aca="false">_xlfn.IFNA(VLOOKUP(A31,$H$9:$K$40,4,0),0)</f>
        <v>-49500</v>
      </c>
      <c r="T31" s="54" t="n">
        <f aca="false">D31-_xlfn.IFNA(VLOOKUP(A31,$H$9:$K$40,4,0),0)</f>
        <v>3600</v>
      </c>
    </row>
    <row r="32" customFormat="false" ht="15" hidden="false" customHeight="false" outlineLevel="0" collapsed="false">
      <c r="A32" s="36" t="s">
        <v>126</v>
      </c>
      <c r="B32" s="37" t="n">
        <v>46109</v>
      </c>
      <c r="C32" s="36" t="s">
        <v>104</v>
      </c>
      <c r="D32" s="38" t="n">
        <v>-158000</v>
      </c>
      <c r="E32" s="46"/>
      <c r="F32" s="46"/>
      <c r="H32" s="36" t="s">
        <v>113</v>
      </c>
      <c r="I32" s="37" t="n">
        <v>46088</v>
      </c>
      <c r="J32" s="36" t="s">
        <v>97</v>
      </c>
      <c r="K32" s="38" t="n">
        <v>-149500</v>
      </c>
      <c r="S32" s="54" t="n">
        <f aca="false">_xlfn.IFNA(VLOOKUP(A32,$H$9:$K$40,4,0),0)</f>
        <v>0</v>
      </c>
      <c r="T32" s="54" t="n">
        <f aca="false">D32-_xlfn.IFNA(VLOOKUP(A32,$H$9:$K$40,4,0),0)</f>
        <v>-158000</v>
      </c>
    </row>
    <row r="33" customFormat="false" ht="15" hidden="false" customHeight="false" outlineLevel="0" collapsed="false">
      <c r="A33" s="28" t="s">
        <v>96</v>
      </c>
      <c r="B33" s="29" t="n">
        <v>46095</v>
      </c>
      <c r="C33" s="28" t="s">
        <v>114</v>
      </c>
      <c r="D33" s="30" t="n">
        <v>-199000</v>
      </c>
      <c r="E33" s="46"/>
      <c r="F33" s="46"/>
      <c r="H33" s="28" t="s">
        <v>109</v>
      </c>
      <c r="I33" s="29" t="n">
        <v>46087</v>
      </c>
      <c r="J33" s="28" t="s">
        <v>127</v>
      </c>
      <c r="K33" s="30" t="n">
        <v>-67500</v>
      </c>
      <c r="S33" s="54" t="n">
        <f aca="false">_xlfn.IFNA(VLOOKUP(A33,$H$9:$K$40,4,0),0)</f>
        <v>-199000</v>
      </c>
      <c r="T33" s="54" t="n">
        <f aca="false">D33-_xlfn.IFNA(VLOOKUP(A33,$H$9:$K$40,4,0),0)</f>
        <v>0</v>
      </c>
    </row>
    <row r="34" customFormat="false" ht="15" hidden="false" customHeight="false" outlineLevel="0" collapsed="false">
      <c r="A34" s="36" t="s">
        <v>101</v>
      </c>
      <c r="B34" s="37" t="n">
        <v>46091</v>
      </c>
      <c r="C34" s="36" t="s">
        <v>128</v>
      </c>
      <c r="D34" s="38" t="n">
        <v>-80500</v>
      </c>
      <c r="E34" s="46"/>
      <c r="F34" s="46"/>
      <c r="H34" s="36" t="s">
        <v>129</v>
      </c>
      <c r="I34" s="37" t="n">
        <v>46106</v>
      </c>
      <c r="J34" s="36" t="s">
        <v>127</v>
      </c>
      <c r="K34" s="38" t="n">
        <v>-233000</v>
      </c>
      <c r="S34" s="54" t="n">
        <f aca="false">_xlfn.IFNA(VLOOKUP(A34,$H$9:$K$40,4,0),0)</f>
        <v>-80500</v>
      </c>
      <c r="T34" s="54" t="n">
        <f aca="false">D34-_xlfn.IFNA(VLOOKUP(A34,$H$9:$K$40,4,0),0)</f>
        <v>0</v>
      </c>
    </row>
    <row r="35" customFormat="false" ht="15" hidden="false" customHeight="false" outlineLevel="0" collapsed="false">
      <c r="A35" s="28" t="s">
        <v>130</v>
      </c>
      <c r="B35" s="29" t="n">
        <v>46092</v>
      </c>
      <c r="C35" s="28" t="s">
        <v>95</v>
      </c>
      <c r="D35" s="30" t="n">
        <v>195000</v>
      </c>
      <c r="E35" s="46"/>
      <c r="F35" s="46"/>
      <c r="H35" s="28" t="s">
        <v>122</v>
      </c>
      <c r="I35" s="29" t="n">
        <v>46106</v>
      </c>
      <c r="J35" s="28" t="s">
        <v>131</v>
      </c>
      <c r="K35" s="30" t="n">
        <v>160000</v>
      </c>
      <c r="S35" s="54" t="n">
        <f aca="false">_xlfn.IFNA(VLOOKUP(A35,$H$9:$K$40,4,0),0)</f>
        <v>195000</v>
      </c>
      <c r="T35" s="54" t="n">
        <f aca="false">D35-_xlfn.IFNA(VLOOKUP(A35,$H$9:$K$40,4,0),0)</f>
        <v>0</v>
      </c>
    </row>
    <row r="36" customFormat="false" ht="15" hidden="false" customHeight="false" outlineLevel="0" collapsed="false">
      <c r="A36" s="36" t="s">
        <v>88</v>
      </c>
      <c r="B36" s="37" t="n">
        <v>46099</v>
      </c>
      <c r="C36" s="36" t="s">
        <v>132</v>
      </c>
      <c r="D36" s="38" t="n">
        <v>118000</v>
      </c>
      <c r="E36" s="46"/>
      <c r="F36" s="46"/>
      <c r="H36" s="36" t="s">
        <v>133</v>
      </c>
      <c r="I36" s="37" t="n">
        <v>46092</v>
      </c>
      <c r="J36" s="36" t="s">
        <v>102</v>
      </c>
      <c r="K36" s="38" t="n">
        <v>-42000</v>
      </c>
      <c r="S36" s="54" t="n">
        <f aca="false">_xlfn.IFNA(VLOOKUP(A36,$H$9:$K$40,4,0),0)</f>
        <v>117410</v>
      </c>
      <c r="T36" s="54" t="n">
        <f aca="false">D36-_xlfn.IFNA(VLOOKUP(A36,$H$9:$K$40,4,0),0)</f>
        <v>590</v>
      </c>
    </row>
    <row r="37" customFormat="false" ht="15" hidden="false" customHeight="false" outlineLevel="0" collapsed="false">
      <c r="A37" s="28" t="s">
        <v>133</v>
      </c>
      <c r="B37" s="29" t="n">
        <v>46090</v>
      </c>
      <c r="C37" s="28" t="s">
        <v>128</v>
      </c>
      <c r="D37" s="30" t="n">
        <v>-42000</v>
      </c>
      <c r="E37" s="46"/>
      <c r="F37" s="46"/>
      <c r="H37" s="28" t="s">
        <v>134</v>
      </c>
      <c r="I37" s="29" t="n">
        <v>46112</v>
      </c>
      <c r="J37" s="28" t="s">
        <v>135</v>
      </c>
      <c r="K37" s="30" t="n">
        <v>-236</v>
      </c>
      <c r="S37" s="54" t="n">
        <f aca="false">_xlfn.IFNA(VLOOKUP(A37,$H$9:$K$40,4,0),0)</f>
        <v>-42000</v>
      </c>
      <c r="T37" s="54" t="n">
        <f aca="false">D37-_xlfn.IFNA(VLOOKUP(A37,$H$9:$K$40,4,0),0)</f>
        <v>0</v>
      </c>
    </row>
    <row r="38" customFormat="false" ht="15" hidden="false" customHeight="false" outlineLevel="0" collapsed="false">
      <c r="A38" s="36" t="s">
        <v>124</v>
      </c>
      <c r="B38" s="37" t="n">
        <v>46105</v>
      </c>
      <c r="C38" s="36" t="s">
        <v>136</v>
      </c>
      <c r="D38" s="38" t="n">
        <v>-100000</v>
      </c>
      <c r="E38" s="46"/>
      <c r="F38" s="46"/>
      <c r="H38" s="36" t="s">
        <v>137</v>
      </c>
      <c r="I38" s="37" t="n">
        <v>46112</v>
      </c>
      <c r="J38" s="36" t="s">
        <v>138</v>
      </c>
      <c r="K38" s="38" t="n">
        <v>4310</v>
      </c>
      <c r="S38" s="54" t="n">
        <f aca="false">_xlfn.IFNA(VLOOKUP(A38,$H$9:$K$40,4,0),0)</f>
        <v>-100000</v>
      </c>
      <c r="T38" s="54" t="n">
        <f aca="false">D38-_xlfn.IFNA(VLOOKUP(A38,$H$9:$K$40,4,0),0)</f>
        <v>0</v>
      </c>
    </row>
    <row r="39" customFormat="false" ht="15" hidden="false" customHeight="false" outlineLevel="0" collapsed="false">
      <c r="A39" s="28" t="s">
        <v>139</v>
      </c>
      <c r="B39" s="29" t="n">
        <v>46111</v>
      </c>
      <c r="C39" s="28" t="s">
        <v>140</v>
      </c>
      <c r="D39" s="30" t="n">
        <v>84000</v>
      </c>
      <c r="E39" s="46"/>
      <c r="F39" s="46"/>
      <c r="H39" s="28" t="s">
        <v>117</v>
      </c>
      <c r="I39" s="29" t="n">
        <v>46083</v>
      </c>
      <c r="J39" s="28" t="s">
        <v>141</v>
      </c>
      <c r="K39" s="30" t="n">
        <v>-75000</v>
      </c>
      <c r="S39" s="54" t="n">
        <f aca="false">_xlfn.IFNA(VLOOKUP(A39,$H$9:$K$40,4,0),0)</f>
        <v>0</v>
      </c>
      <c r="T39" s="54" t="n">
        <f aca="false">D39-_xlfn.IFNA(VLOOKUP(A39,$H$9:$K$40,4,0),0)</f>
        <v>84000</v>
      </c>
    </row>
    <row r="40" customFormat="false" ht="15" hidden="false" customHeight="false" outlineLevel="0" collapsed="false">
      <c r="A40" s="36" t="s">
        <v>129</v>
      </c>
      <c r="B40" s="37" t="n">
        <v>46102</v>
      </c>
      <c r="C40" s="36" t="s">
        <v>110</v>
      </c>
      <c r="D40" s="38" t="n">
        <v>-233000</v>
      </c>
      <c r="E40" s="46"/>
      <c r="F40" s="46"/>
      <c r="H40" s="36" t="s">
        <v>130</v>
      </c>
      <c r="I40" s="37" t="n">
        <v>46095</v>
      </c>
      <c r="J40" s="36" t="s">
        <v>70</v>
      </c>
      <c r="K40" s="38" t="n">
        <v>195000</v>
      </c>
      <c r="S40" s="54" t="n">
        <f aca="false">_xlfn.IFNA(VLOOKUP(A40,$H$9:$K$40,4,0),0)</f>
        <v>-233000</v>
      </c>
      <c r="T40" s="54" t="n">
        <f aca="false">D40-_xlfn.IFNA(VLOOKUP(A40,$H$9:$K$40,4,0),0)</f>
        <v>0</v>
      </c>
    </row>
    <row r="41" customFormat="false" ht="15" hidden="false" customHeight="false" outlineLevel="0" collapsed="false">
      <c r="A41" s="28" t="s">
        <v>58</v>
      </c>
      <c r="B41" s="29" t="n">
        <v>46086</v>
      </c>
      <c r="C41" s="28" t="s">
        <v>142</v>
      </c>
      <c r="D41" s="30" t="n">
        <v>75500</v>
      </c>
      <c r="E41" s="46"/>
      <c r="F41" s="46"/>
      <c r="S41" s="54" t="n">
        <f aca="false">_xlfn.IFNA(VLOOKUP(A41,$H$9:$K$40,4,0),0)</f>
        <v>75500</v>
      </c>
      <c r="T41" s="54" t="n">
        <f aca="false">D41-_xlfn.IFNA(VLOOKUP(A41,$H$9:$K$40,4,0),0)</f>
        <v>0</v>
      </c>
    </row>
    <row r="42" customFormat="false" ht="15" hidden="false" customHeight="false" outlineLevel="0" collapsed="false">
      <c r="A42" s="36" t="s">
        <v>143</v>
      </c>
      <c r="B42" s="37" t="n">
        <v>46112</v>
      </c>
      <c r="C42" s="36" t="s">
        <v>79</v>
      </c>
      <c r="D42" s="38" t="n">
        <v>132500</v>
      </c>
      <c r="E42" s="46"/>
      <c r="F42" s="46"/>
      <c r="S42" s="54" t="n">
        <f aca="false">_xlfn.IFNA(VLOOKUP(A42,$H$9:$K$40,4,0),0)</f>
        <v>0</v>
      </c>
      <c r="T42" s="54" t="n">
        <f aca="false">D42-_xlfn.IFNA(VLOOKUP(A42,$H$9:$K$40,4,0),0)</f>
        <v>132500</v>
      </c>
    </row>
  </sheetData>
  <mergeCells count="3">
    <mergeCell ref="A1:Q1"/>
    <mergeCell ref="A2:Q2"/>
    <mergeCell ref="A3:Q5"/>
  </mergeCells>
  <conditionalFormatting sqref="P9:P13">
    <cfRule type="expression" priority="2" aboveAverage="0" equalAverage="0" bottom="0" percent="0" rank="0" text="" dxfId="0">
      <formula>LEFT(P9,1)="✓"</formula>
    </cfRule>
    <cfRule type="expression" priority="3" aboveAverage="0" equalAverage="0" bottom="0" percent="0" rank="0" text="" dxfId="1">
      <formula>LEFT(P9,1)="✗"</formula>
    </cfRule>
    <cfRule type="expression" priority="4" aboveAverage="0" equalAverage="0" bottom="0" percent="0" rank="0" text="" dxfId="2">
      <formula>LEFT(P9,1)="✎"</formula>
    </cfRule>
    <cfRule type="expression" priority="5" aboveAverage="0" equalAverage="0" bottom="0" percent="0" rank="0" text="" dxfId="3">
      <formula>LEFT(P9,1)="◯"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6" min="6" style="0" width="11"/>
    <col collapsed="false" customWidth="true" hidden="false" outlineLevel="0" max="7" min="7" style="0" width="12"/>
    <col collapsed="false" customWidth="true" hidden="false" outlineLevel="0" max="8" min="8" style="0" width="30"/>
    <col collapsed="false" customWidth="true" hidden="false" outlineLevel="0" max="9" min="9" style="0" width="13"/>
    <col collapsed="false" customWidth="true" hidden="false" outlineLevel="0" max="10" min="10" style="0" width="3"/>
    <col collapsed="false" customWidth="true" hidden="false" outlineLevel="0" max="11" min="11" style="0" width="5"/>
    <col collapsed="false" customWidth="true" hidden="false" outlineLevel="0" max="12" min="12" style="0" width="46"/>
    <col collapsed="false" customWidth="true" hidden="false" outlineLevel="0" max="13" min="13" style="0" width="18"/>
    <col collapsed="false" customWidth="true" hidden="false" outlineLevel="0" max="14" min="14" style="0" width="17"/>
    <col collapsed="false" customWidth="true" hidden="false" outlineLevel="0" max="15" min="15" style="0" width="38"/>
    <col collapsed="false" customWidth="true" hidden="true" outlineLevel="0" max="17" min="16" style="0" width="13"/>
  </cols>
  <sheetData>
    <row r="1" customFormat="false" ht="31.5" hidden="false" customHeight="true" outlineLevel="0" collapsed="false">
      <c r="A1" s="50" t="s">
        <v>194</v>
      </c>
      <c r="B1" s="50"/>
      <c r="C1" s="50"/>
      <c r="D1" s="50"/>
      <c r="E1" s="50"/>
      <c r="F1" s="50"/>
      <c r="G1" s="50"/>
      <c r="H1" s="50"/>
      <c r="I1" s="50"/>
      <c r="J1" s="50"/>
      <c r="K1" s="50"/>
      <c r="L1" s="50"/>
      <c r="M1" s="50"/>
      <c r="N1" s="50"/>
      <c r="O1" s="50"/>
    </row>
    <row r="2" customFormat="false" ht="19.5" hidden="false" customHeight="true" outlineLevel="0" collapsed="false">
      <c r="A2" s="51" t="s">
        <v>195</v>
      </c>
      <c r="B2" s="51"/>
      <c r="C2" s="51"/>
      <c r="D2" s="51"/>
      <c r="E2" s="51"/>
      <c r="F2" s="51"/>
      <c r="G2" s="51"/>
      <c r="H2" s="51"/>
      <c r="I2" s="51"/>
      <c r="J2" s="51"/>
      <c r="K2" s="51"/>
      <c r="L2" s="51"/>
      <c r="M2" s="51"/>
      <c r="N2" s="51"/>
      <c r="O2" s="51"/>
    </row>
    <row r="3" customFormat="false" ht="18.75" hidden="false" customHeight="true" outlineLevel="0" collapsed="false">
      <c r="A3" s="52" t="s">
        <v>196</v>
      </c>
      <c r="B3" s="52"/>
      <c r="C3" s="52"/>
      <c r="D3" s="52"/>
      <c r="E3" s="52"/>
      <c r="F3" s="52"/>
      <c r="G3" s="52"/>
      <c r="H3" s="52"/>
      <c r="I3" s="52"/>
      <c r="J3" s="52"/>
      <c r="K3" s="52"/>
      <c r="L3" s="52"/>
      <c r="M3" s="52"/>
      <c r="N3" s="52"/>
      <c r="O3" s="52"/>
    </row>
    <row r="4" customFormat="false" ht="18.75" hidden="false" customHeight="true" outlineLevel="0" collapsed="false">
      <c r="A4" s="52"/>
      <c r="B4" s="52"/>
      <c r="C4" s="52"/>
      <c r="D4" s="52"/>
      <c r="E4" s="52"/>
      <c r="F4" s="52"/>
      <c r="G4" s="52"/>
      <c r="H4" s="52"/>
      <c r="I4" s="52"/>
      <c r="J4" s="52"/>
      <c r="K4" s="52"/>
      <c r="L4" s="52"/>
      <c r="M4" s="52"/>
      <c r="N4" s="52"/>
      <c r="O4" s="52"/>
    </row>
    <row r="5" customFormat="false" ht="18.75" hidden="false" customHeight="true" outlineLevel="0" collapsed="false">
      <c r="A5" s="52"/>
      <c r="B5" s="52"/>
      <c r="C5" s="52"/>
      <c r="D5" s="52"/>
      <c r="E5" s="52"/>
      <c r="F5" s="52"/>
      <c r="G5" s="52"/>
      <c r="H5" s="52"/>
      <c r="I5" s="52"/>
      <c r="J5" s="52"/>
      <c r="K5" s="52"/>
      <c r="L5" s="52"/>
      <c r="M5" s="52"/>
      <c r="N5" s="52"/>
      <c r="O5" s="52"/>
    </row>
    <row r="6" customFormat="false" ht="19.5" hidden="false" customHeight="true" outlineLevel="0" collapsed="false">
      <c r="A6" s="24" t="s">
        <v>35</v>
      </c>
      <c r="B6" s="25" t="n">
        <v>842500</v>
      </c>
    </row>
    <row r="8" customFormat="false" ht="24" hidden="false" customHeight="true" outlineLevel="0" collapsed="false">
      <c r="A8" s="26" t="s">
        <v>36</v>
      </c>
      <c r="B8" s="26" t="s">
        <v>37</v>
      </c>
      <c r="C8" s="26" t="s">
        <v>38</v>
      </c>
      <c r="D8" s="26" t="s">
        <v>39</v>
      </c>
      <c r="F8" s="26" t="s">
        <v>36</v>
      </c>
      <c r="G8" s="26" t="s">
        <v>37</v>
      </c>
      <c r="H8" s="26" t="s">
        <v>38</v>
      </c>
      <c r="I8" s="26" t="s">
        <v>39</v>
      </c>
      <c r="K8" s="12" t="s">
        <v>14</v>
      </c>
      <c r="L8" s="12" t="s">
        <v>40</v>
      </c>
      <c r="M8" s="12" t="s">
        <v>41</v>
      </c>
      <c r="N8" s="12" t="s">
        <v>42</v>
      </c>
      <c r="O8" s="12" t="s">
        <v>43</v>
      </c>
    </row>
    <row r="9" customFormat="false" ht="33.75" hidden="false" customHeight="true" outlineLevel="0" collapsed="false">
      <c r="A9" s="28" t="s">
        <v>44</v>
      </c>
      <c r="B9" s="29" t="n">
        <v>46112</v>
      </c>
      <c r="C9" s="28" t="s">
        <v>45</v>
      </c>
      <c r="D9" s="30" t="n">
        <v>29800</v>
      </c>
      <c r="F9" s="28" t="s">
        <v>46</v>
      </c>
      <c r="G9" s="29" t="n">
        <v>46105</v>
      </c>
      <c r="H9" s="28" t="s">
        <v>47</v>
      </c>
      <c r="I9" s="30" t="n">
        <v>25000</v>
      </c>
      <c r="K9" s="53" t="n">
        <v>1</v>
      </c>
      <c r="L9" s="32" t="s">
        <v>197</v>
      </c>
      <c r="M9" s="33"/>
      <c r="N9" s="34" t="str">
        <f aca="false">IF(ISBLANK(M9),"◯ Not attempted",IF(NOT(_xlfn.ISFORMULA(M9)),"✎ Use a formula",IF(ISNUMBER(M9),IF(ABS(M9-$P$9)&lt;0.005,"✓ Correct","✗ Check again"),"✗ Not a number")))</f>
        <v>◯ Not attempted</v>
      </c>
      <c r="O9" s="35" t="s">
        <v>198</v>
      </c>
      <c r="P9" s="54" t="n">
        <f aca="false">$B$6+SUM($D$9:$D$42)</f>
        <v>816050</v>
      </c>
    </row>
    <row r="10" customFormat="false" ht="45" hidden="false" customHeight="true" outlineLevel="0" collapsed="false">
      <c r="A10" s="36" t="s">
        <v>50</v>
      </c>
      <c r="B10" s="37" t="n">
        <v>46107</v>
      </c>
      <c r="C10" s="36" t="s">
        <v>51</v>
      </c>
      <c r="D10" s="38" t="n">
        <v>-96500</v>
      </c>
      <c r="F10" s="36" t="s">
        <v>52</v>
      </c>
      <c r="G10" s="37" t="n">
        <v>46108</v>
      </c>
      <c r="H10" s="36" t="s">
        <v>53</v>
      </c>
      <c r="I10" s="38" t="n">
        <v>189000</v>
      </c>
      <c r="K10" s="53" t="n">
        <v>2</v>
      </c>
      <c r="L10" s="32" t="s">
        <v>199</v>
      </c>
      <c r="M10" s="33"/>
      <c r="N10" s="34" t="str">
        <f aca="false">IF(ISBLANK(M10),"◯ Not attempted",IF(NOT(_xlfn.ISFORMULA(M10)),"✎ Use a formula",IF(ISNUMBER(M10),IF(ABS(M10-$P$10)&lt;0.005,"✓ Correct","✗ Check again"),"✗ Not a number")))</f>
        <v>◯ Not attempted</v>
      </c>
      <c r="O10" s="35" t="s">
        <v>200</v>
      </c>
      <c r="P10" s="54" t="n">
        <f aca="false">-246300</f>
        <v>-246300</v>
      </c>
    </row>
    <row r="11" customFormat="false" ht="33.75" hidden="false" customHeight="true" outlineLevel="0" collapsed="false">
      <c r="A11" s="28" t="s">
        <v>56</v>
      </c>
      <c r="B11" s="29" t="n">
        <v>46108</v>
      </c>
      <c r="C11" s="28" t="s">
        <v>57</v>
      </c>
      <c r="D11" s="30" t="n">
        <v>-41200</v>
      </c>
      <c r="F11" s="28" t="s">
        <v>58</v>
      </c>
      <c r="G11" s="29" t="n">
        <v>46086</v>
      </c>
      <c r="H11" s="28" t="s">
        <v>59</v>
      </c>
      <c r="I11" s="30" t="n">
        <v>75500</v>
      </c>
      <c r="K11" s="53" t="n">
        <v>3</v>
      </c>
      <c r="L11" s="32" t="s">
        <v>201</v>
      </c>
      <c r="M11" s="33"/>
      <c r="N11" s="34" t="str">
        <f aca="false">IF(ISBLANK(M11),"◯ Not attempted",IF(NOT(_xlfn.ISFORMULA(M11)),"✎ Use a formula",IF(ISNUMBER(M11),IF(ABS(M11-$P$11)&lt;0.005,"✓ Correct","✗ Check again"),"✗ Not a number")))</f>
        <v>◯ Not attempted</v>
      </c>
      <c r="O11" s="35" t="s">
        <v>202</v>
      </c>
      <c r="P11" s="54" t="n">
        <f aca="false">386850</f>
        <v>386850</v>
      </c>
    </row>
    <row r="12" customFormat="false" ht="45" hidden="false" customHeight="true" outlineLevel="0" collapsed="false">
      <c r="A12" s="36" t="s">
        <v>62</v>
      </c>
      <c r="B12" s="37" t="n">
        <v>46095</v>
      </c>
      <c r="C12" s="36" t="s">
        <v>63</v>
      </c>
      <c r="D12" s="38" t="n">
        <v>225500</v>
      </c>
      <c r="F12" s="36" t="s">
        <v>62</v>
      </c>
      <c r="G12" s="37" t="n">
        <v>46097</v>
      </c>
      <c r="H12" s="36" t="s">
        <v>64</v>
      </c>
      <c r="I12" s="38" t="n">
        <v>225500</v>
      </c>
      <c r="K12" s="53" t="n">
        <v>4</v>
      </c>
      <c r="L12" s="32" t="s">
        <v>203</v>
      </c>
      <c r="M12" s="33"/>
      <c r="N12" s="34" t="str">
        <f aca="false">IF(ISBLANK(M12),"◯ Not attempted",IF(NOT(_xlfn.ISFORMULA(M12)),"✎ Use a formula",IF(ISNUMBER(M12),IF(ABS(M12-$P$12)&lt;0.005,"✓ Correct","✗ Check again"),"✗ Not a number")))</f>
        <v>◯ Not attempted</v>
      </c>
      <c r="O12" s="35" t="s">
        <v>204</v>
      </c>
      <c r="P12" s="54" t="n">
        <f aca="false">33394</f>
        <v>33394</v>
      </c>
    </row>
    <row r="13" customFormat="false" ht="33.75" hidden="false" customHeight="true" outlineLevel="0" collapsed="false">
      <c r="A13" s="28" t="s">
        <v>67</v>
      </c>
      <c r="B13" s="29" t="n">
        <v>46111</v>
      </c>
      <c r="C13" s="28" t="s">
        <v>68</v>
      </c>
      <c r="D13" s="30" t="n">
        <v>-23750</v>
      </c>
      <c r="F13" s="28" t="s">
        <v>69</v>
      </c>
      <c r="G13" s="29" t="n">
        <v>46087</v>
      </c>
      <c r="H13" s="28" t="s">
        <v>70</v>
      </c>
      <c r="I13" s="30" t="n">
        <v>97500</v>
      </c>
      <c r="K13" s="53" t="n">
        <v>5</v>
      </c>
      <c r="L13" s="32" t="s">
        <v>205</v>
      </c>
      <c r="M13" s="33"/>
      <c r="N13" s="34" t="str">
        <f aca="false">IF(ISBLANK(M13),"◯ Not attempted",IF(NOT(_xlfn.ISFORMULA(M13)),"✎ Use a formula",IF(ISNUMBER(M13),IF(ABS(M13-$P$13)&lt;0.005,"✓ Correct","✗ Check again"),"✗ Not a number")))</f>
        <v>◯ Not attempted</v>
      </c>
      <c r="O13" s="35" t="s">
        <v>206</v>
      </c>
      <c r="P13" s="54" t="n">
        <f aca="false">-4190</f>
        <v>-4190</v>
      </c>
    </row>
    <row r="14" customFormat="false" ht="33.75" hidden="false" customHeight="true" outlineLevel="0" collapsed="false">
      <c r="A14" s="36" t="s">
        <v>73</v>
      </c>
      <c r="B14" s="37" t="n">
        <v>46106</v>
      </c>
      <c r="C14" s="36" t="s">
        <v>74</v>
      </c>
      <c r="D14" s="38" t="n">
        <v>226500</v>
      </c>
      <c r="F14" s="36" t="s">
        <v>75</v>
      </c>
      <c r="G14" s="37" t="n">
        <v>46099</v>
      </c>
      <c r="H14" s="36" t="s">
        <v>76</v>
      </c>
      <c r="I14" s="38" t="n">
        <v>-155500</v>
      </c>
      <c r="K14" s="53" t="n">
        <v>6</v>
      </c>
      <c r="L14" s="32" t="s">
        <v>207</v>
      </c>
      <c r="M14" s="33"/>
      <c r="N14" s="34" t="str">
        <f aca="false">IF(ISBLANK(M14),"◯ Not attempted",IF(NOT(_xlfn.ISFORMULA(M14)),"✎ Use a formula",IF(ISNUMBER(M14),IF(ABS(M14-$P$14)&lt;0.005,"✓ Correct","✗ Check again"),"✗ Not a number")))</f>
        <v>◯ Not attempted</v>
      </c>
      <c r="O14" s="35" t="s">
        <v>208</v>
      </c>
      <c r="P14" s="54" t="n">
        <f aca="false">985804</f>
        <v>985804</v>
      </c>
    </row>
    <row r="15" customFormat="false" ht="33.75" hidden="false" customHeight="true" outlineLevel="0" collapsed="false">
      <c r="A15" s="28" t="s">
        <v>52</v>
      </c>
      <c r="B15" s="29" t="n">
        <v>46105</v>
      </c>
      <c r="C15" s="28" t="s">
        <v>79</v>
      </c>
      <c r="D15" s="30" t="n">
        <v>189000</v>
      </c>
      <c r="F15" s="28" t="s">
        <v>80</v>
      </c>
      <c r="G15" s="29" t="n">
        <v>46106</v>
      </c>
      <c r="H15" s="28" t="s">
        <v>81</v>
      </c>
      <c r="I15" s="30" t="n">
        <v>90500</v>
      </c>
      <c r="K15" s="53" t="n">
        <v>7</v>
      </c>
      <c r="L15" s="32" t="s">
        <v>209</v>
      </c>
      <c r="M15" s="33"/>
      <c r="N15" s="34" t="str">
        <f aca="false">IF(ISBLANK(M15),"◯ Not attempted",IF(NOT(_xlfn.ISFORMULA(M15)),"✎ Use a formula",IF(ISNUMBER(M15),IF(ABS(M15-$P$15)&lt;0.5,"✓ Correct","✗ Check again"),"✗ Not a number")))</f>
        <v>◯ Not attempted</v>
      </c>
      <c r="O15" s="35" t="s">
        <v>210</v>
      </c>
      <c r="P15" s="54" t="n">
        <f aca="false">0</f>
        <v>0</v>
      </c>
    </row>
    <row r="16" customFormat="false" ht="15" hidden="false" customHeight="false" outlineLevel="0" collapsed="false">
      <c r="A16" s="36" t="s">
        <v>75</v>
      </c>
      <c r="B16" s="37" t="n">
        <v>46099</v>
      </c>
      <c r="C16" s="36" t="s">
        <v>84</v>
      </c>
      <c r="D16" s="38" t="n">
        <v>-155500</v>
      </c>
      <c r="F16" s="36" t="s">
        <v>85</v>
      </c>
      <c r="G16" s="37" t="n">
        <v>46103</v>
      </c>
      <c r="H16" s="36" t="s">
        <v>86</v>
      </c>
      <c r="I16" s="38" t="n">
        <v>68000</v>
      </c>
    </row>
    <row r="17" customFormat="false" ht="15" hidden="false" customHeight="false" outlineLevel="0" collapsed="false">
      <c r="A17" s="28" t="s">
        <v>87</v>
      </c>
      <c r="B17" s="29" t="n">
        <v>46091</v>
      </c>
      <c r="C17" s="28" t="s">
        <v>84</v>
      </c>
      <c r="D17" s="30" t="n">
        <v>-162500</v>
      </c>
      <c r="F17" s="28" t="s">
        <v>88</v>
      </c>
      <c r="G17" s="29" t="n">
        <v>46101</v>
      </c>
      <c r="H17" s="28" t="s">
        <v>89</v>
      </c>
      <c r="I17" s="30" t="n">
        <v>117410</v>
      </c>
    </row>
    <row r="18" customFormat="false" ht="15" hidden="false" customHeight="false" outlineLevel="0" collapsed="false">
      <c r="A18" s="36" t="s">
        <v>90</v>
      </c>
      <c r="B18" s="37" t="n">
        <v>46099</v>
      </c>
      <c r="C18" s="36" t="s">
        <v>91</v>
      </c>
      <c r="D18" s="38" t="n">
        <v>146000</v>
      </c>
      <c r="F18" s="36" t="s">
        <v>87</v>
      </c>
      <c r="G18" s="37" t="n">
        <v>46091</v>
      </c>
      <c r="H18" s="36" t="s">
        <v>76</v>
      </c>
      <c r="I18" s="38" t="n">
        <v>-162500</v>
      </c>
    </row>
    <row r="19" customFormat="false" ht="15" hidden="false" customHeight="false" outlineLevel="0" collapsed="false">
      <c r="A19" s="28" t="s">
        <v>80</v>
      </c>
      <c r="B19" s="29" t="n">
        <v>46104</v>
      </c>
      <c r="C19" s="28" t="s">
        <v>92</v>
      </c>
      <c r="D19" s="30" t="n">
        <v>90500</v>
      </c>
      <c r="F19" s="28" t="s">
        <v>93</v>
      </c>
      <c r="G19" s="29" t="n">
        <v>46112</v>
      </c>
      <c r="H19" s="28" t="s">
        <v>94</v>
      </c>
      <c r="I19" s="30" t="n">
        <v>-1180</v>
      </c>
    </row>
    <row r="20" customFormat="false" ht="15" hidden="false" customHeight="false" outlineLevel="0" collapsed="false">
      <c r="A20" s="36" t="s">
        <v>69</v>
      </c>
      <c r="B20" s="37" t="n">
        <v>46087</v>
      </c>
      <c r="C20" s="36" t="s">
        <v>95</v>
      </c>
      <c r="D20" s="38" t="n">
        <v>97500</v>
      </c>
      <c r="F20" s="36" t="s">
        <v>96</v>
      </c>
      <c r="G20" s="37" t="n">
        <v>46097</v>
      </c>
      <c r="H20" s="36" t="s">
        <v>97</v>
      </c>
      <c r="I20" s="38" t="n">
        <v>-199000</v>
      </c>
    </row>
    <row r="21" customFormat="false" ht="15" hidden="false" customHeight="false" outlineLevel="0" collapsed="false">
      <c r="A21" s="28" t="s">
        <v>98</v>
      </c>
      <c r="B21" s="29" t="n">
        <v>46094</v>
      </c>
      <c r="C21" s="28" t="s">
        <v>95</v>
      </c>
      <c r="D21" s="30" t="n">
        <v>88000</v>
      </c>
      <c r="F21" s="28" t="s">
        <v>98</v>
      </c>
      <c r="G21" s="29" t="n">
        <v>46098</v>
      </c>
      <c r="H21" s="28" t="s">
        <v>70</v>
      </c>
      <c r="I21" s="30" t="n">
        <v>88000</v>
      </c>
    </row>
    <row r="22" customFormat="false" ht="15" hidden="false" customHeight="false" outlineLevel="0" collapsed="false">
      <c r="A22" s="36" t="s">
        <v>99</v>
      </c>
      <c r="B22" s="37" t="n">
        <v>46112</v>
      </c>
      <c r="C22" s="36" t="s">
        <v>100</v>
      </c>
      <c r="D22" s="38" t="n">
        <v>-67400</v>
      </c>
      <c r="F22" s="36" t="s">
        <v>101</v>
      </c>
      <c r="G22" s="37" t="n">
        <v>46092</v>
      </c>
      <c r="H22" s="36" t="s">
        <v>102</v>
      </c>
      <c r="I22" s="38" t="n">
        <v>-80500</v>
      </c>
    </row>
    <row r="23" customFormat="false" ht="15" hidden="false" customHeight="false" outlineLevel="0" collapsed="false">
      <c r="A23" s="28" t="s">
        <v>103</v>
      </c>
      <c r="B23" s="29" t="n">
        <v>46090</v>
      </c>
      <c r="C23" s="28" t="s">
        <v>104</v>
      </c>
      <c r="D23" s="30" t="n">
        <v>-90500</v>
      </c>
      <c r="F23" s="28" t="s">
        <v>90</v>
      </c>
      <c r="G23" s="29" t="n">
        <v>46102</v>
      </c>
      <c r="H23" s="28" t="s">
        <v>105</v>
      </c>
      <c r="I23" s="30" t="n">
        <v>146000</v>
      </c>
    </row>
    <row r="24" customFormat="false" ht="15" hidden="false" customHeight="false" outlineLevel="0" collapsed="false">
      <c r="A24" s="36" t="s">
        <v>46</v>
      </c>
      <c r="B24" s="37" t="n">
        <v>46102</v>
      </c>
      <c r="C24" s="36" t="s">
        <v>106</v>
      </c>
      <c r="D24" s="38" t="n">
        <v>25000</v>
      </c>
      <c r="F24" s="36" t="s">
        <v>107</v>
      </c>
      <c r="G24" s="37" t="n">
        <v>46101</v>
      </c>
      <c r="H24" s="36" t="s">
        <v>108</v>
      </c>
      <c r="I24" s="38" t="n">
        <v>-25000</v>
      </c>
    </row>
    <row r="25" customFormat="false" ht="15" hidden="false" customHeight="false" outlineLevel="0" collapsed="false">
      <c r="A25" s="28" t="s">
        <v>109</v>
      </c>
      <c r="B25" s="29" t="n">
        <v>46085</v>
      </c>
      <c r="C25" s="28" t="s">
        <v>110</v>
      </c>
      <c r="D25" s="30" t="n">
        <v>-67500</v>
      </c>
      <c r="F25" s="28" t="s">
        <v>111</v>
      </c>
      <c r="G25" s="29" t="n">
        <v>46098</v>
      </c>
      <c r="H25" s="28" t="s">
        <v>112</v>
      </c>
      <c r="I25" s="30" t="n">
        <v>19000</v>
      </c>
    </row>
    <row r="26" customFormat="false" ht="15" hidden="false" customHeight="false" outlineLevel="0" collapsed="false">
      <c r="A26" s="36" t="s">
        <v>113</v>
      </c>
      <c r="B26" s="37" t="n">
        <v>46085</v>
      </c>
      <c r="C26" s="36" t="s">
        <v>114</v>
      </c>
      <c r="D26" s="38" t="n">
        <v>-149500</v>
      </c>
      <c r="F26" s="36" t="s">
        <v>115</v>
      </c>
      <c r="G26" s="37" t="n">
        <v>46092</v>
      </c>
      <c r="H26" s="36" t="s">
        <v>116</v>
      </c>
      <c r="I26" s="38" t="n">
        <v>-49500</v>
      </c>
    </row>
    <row r="27" customFormat="false" ht="15" hidden="false" customHeight="false" outlineLevel="0" collapsed="false">
      <c r="A27" s="28" t="s">
        <v>117</v>
      </c>
      <c r="B27" s="29" t="n">
        <v>46082</v>
      </c>
      <c r="C27" s="28" t="s">
        <v>51</v>
      </c>
      <c r="D27" s="30" t="n">
        <v>-75000</v>
      </c>
      <c r="F27" s="28" t="s">
        <v>118</v>
      </c>
      <c r="G27" s="29" t="n">
        <v>46096</v>
      </c>
      <c r="H27" s="28" t="s">
        <v>119</v>
      </c>
      <c r="I27" s="30" t="n">
        <v>-12500</v>
      </c>
    </row>
    <row r="28" customFormat="false" ht="15" hidden="false" customHeight="false" outlineLevel="0" collapsed="false">
      <c r="A28" s="36" t="s">
        <v>120</v>
      </c>
      <c r="B28" s="37" t="n">
        <v>46099</v>
      </c>
      <c r="C28" s="36" t="s">
        <v>84</v>
      </c>
      <c r="D28" s="38" t="n">
        <v>-140500</v>
      </c>
      <c r="F28" s="36" t="s">
        <v>103</v>
      </c>
      <c r="G28" s="37" t="n">
        <v>46091</v>
      </c>
      <c r="H28" s="36" t="s">
        <v>121</v>
      </c>
      <c r="I28" s="38" t="n">
        <v>-90500</v>
      </c>
    </row>
    <row r="29" customFormat="false" ht="15" hidden="false" customHeight="false" outlineLevel="0" collapsed="false">
      <c r="A29" s="28" t="s">
        <v>122</v>
      </c>
      <c r="B29" s="29" t="n">
        <v>46103</v>
      </c>
      <c r="C29" s="28" t="s">
        <v>123</v>
      </c>
      <c r="D29" s="30" t="n">
        <v>160000</v>
      </c>
      <c r="F29" s="28" t="s">
        <v>120</v>
      </c>
      <c r="G29" s="29" t="n">
        <v>46101</v>
      </c>
      <c r="H29" s="28" t="s">
        <v>76</v>
      </c>
      <c r="I29" s="30" t="n">
        <v>-140500</v>
      </c>
    </row>
    <row r="30" customFormat="false" ht="15" hidden="false" customHeight="false" outlineLevel="0" collapsed="false">
      <c r="A30" s="36" t="s">
        <v>111</v>
      </c>
      <c r="B30" s="37" t="n">
        <v>46095</v>
      </c>
      <c r="C30" s="36" t="s">
        <v>74</v>
      </c>
      <c r="D30" s="38" t="n">
        <v>19000</v>
      </c>
      <c r="F30" s="36" t="s">
        <v>124</v>
      </c>
      <c r="G30" s="37" t="n">
        <v>46109</v>
      </c>
      <c r="H30" s="36" t="s">
        <v>125</v>
      </c>
      <c r="I30" s="38" t="n">
        <v>-100000</v>
      </c>
    </row>
    <row r="31" customFormat="false" ht="15" hidden="false" customHeight="false" outlineLevel="0" collapsed="false">
      <c r="A31" s="28" t="s">
        <v>115</v>
      </c>
      <c r="B31" s="29" t="n">
        <v>46090</v>
      </c>
      <c r="C31" s="28" t="s">
        <v>100</v>
      </c>
      <c r="D31" s="30" t="n">
        <v>-45900</v>
      </c>
      <c r="F31" s="28" t="s">
        <v>73</v>
      </c>
      <c r="G31" s="29" t="n">
        <v>46108</v>
      </c>
      <c r="H31" s="28" t="s">
        <v>112</v>
      </c>
      <c r="I31" s="30" t="n">
        <v>226500</v>
      </c>
    </row>
    <row r="32" customFormat="false" ht="15" hidden="false" customHeight="false" outlineLevel="0" collapsed="false">
      <c r="A32" s="36" t="s">
        <v>126</v>
      </c>
      <c r="B32" s="37" t="n">
        <v>46109</v>
      </c>
      <c r="C32" s="36" t="s">
        <v>104</v>
      </c>
      <c r="D32" s="38" t="n">
        <v>-158000</v>
      </c>
      <c r="F32" s="36" t="s">
        <v>113</v>
      </c>
      <c r="G32" s="37" t="n">
        <v>46088</v>
      </c>
      <c r="H32" s="36" t="s">
        <v>97</v>
      </c>
      <c r="I32" s="38" t="n">
        <v>-149500</v>
      </c>
    </row>
    <row r="33" customFormat="false" ht="15" hidden="false" customHeight="false" outlineLevel="0" collapsed="false">
      <c r="A33" s="28" t="s">
        <v>96</v>
      </c>
      <c r="B33" s="29" t="n">
        <v>46095</v>
      </c>
      <c r="C33" s="28" t="s">
        <v>114</v>
      </c>
      <c r="D33" s="30" t="n">
        <v>-199000</v>
      </c>
      <c r="F33" s="28" t="s">
        <v>109</v>
      </c>
      <c r="G33" s="29" t="n">
        <v>46087</v>
      </c>
      <c r="H33" s="28" t="s">
        <v>127</v>
      </c>
      <c r="I33" s="30" t="n">
        <v>-67500</v>
      </c>
    </row>
    <row r="34" customFormat="false" ht="15" hidden="false" customHeight="false" outlineLevel="0" collapsed="false">
      <c r="A34" s="36" t="s">
        <v>101</v>
      </c>
      <c r="B34" s="37" t="n">
        <v>46091</v>
      </c>
      <c r="C34" s="36" t="s">
        <v>128</v>
      </c>
      <c r="D34" s="38" t="n">
        <v>-80500</v>
      </c>
      <c r="F34" s="36" t="s">
        <v>129</v>
      </c>
      <c r="G34" s="37" t="n">
        <v>46106</v>
      </c>
      <c r="H34" s="36" t="s">
        <v>127</v>
      </c>
      <c r="I34" s="38" t="n">
        <v>-233000</v>
      </c>
    </row>
    <row r="35" customFormat="false" ht="15" hidden="false" customHeight="false" outlineLevel="0" collapsed="false">
      <c r="A35" s="28" t="s">
        <v>130</v>
      </c>
      <c r="B35" s="29" t="n">
        <v>46092</v>
      </c>
      <c r="C35" s="28" t="s">
        <v>95</v>
      </c>
      <c r="D35" s="30" t="n">
        <v>195000</v>
      </c>
      <c r="F35" s="28" t="s">
        <v>122</v>
      </c>
      <c r="G35" s="29" t="n">
        <v>46106</v>
      </c>
      <c r="H35" s="28" t="s">
        <v>131</v>
      </c>
      <c r="I35" s="30" t="n">
        <v>160000</v>
      </c>
    </row>
    <row r="36" customFormat="false" ht="15" hidden="false" customHeight="false" outlineLevel="0" collapsed="false">
      <c r="A36" s="36" t="s">
        <v>88</v>
      </c>
      <c r="B36" s="37" t="n">
        <v>46099</v>
      </c>
      <c r="C36" s="36" t="s">
        <v>132</v>
      </c>
      <c r="D36" s="38" t="n">
        <v>118000</v>
      </c>
      <c r="F36" s="36" t="s">
        <v>133</v>
      </c>
      <c r="G36" s="37" t="n">
        <v>46092</v>
      </c>
      <c r="H36" s="36" t="s">
        <v>102</v>
      </c>
      <c r="I36" s="38" t="n">
        <v>-42000</v>
      </c>
    </row>
    <row r="37" customFormat="false" ht="15" hidden="false" customHeight="false" outlineLevel="0" collapsed="false">
      <c r="A37" s="28" t="s">
        <v>133</v>
      </c>
      <c r="B37" s="29" t="n">
        <v>46090</v>
      </c>
      <c r="C37" s="28" t="s">
        <v>128</v>
      </c>
      <c r="D37" s="30" t="n">
        <v>-42000</v>
      </c>
      <c r="F37" s="28" t="s">
        <v>134</v>
      </c>
      <c r="G37" s="29" t="n">
        <v>46112</v>
      </c>
      <c r="H37" s="28" t="s">
        <v>135</v>
      </c>
      <c r="I37" s="30" t="n">
        <v>-236</v>
      </c>
    </row>
    <row r="38" customFormat="false" ht="15" hidden="false" customHeight="false" outlineLevel="0" collapsed="false">
      <c r="A38" s="36" t="s">
        <v>124</v>
      </c>
      <c r="B38" s="37" t="n">
        <v>46105</v>
      </c>
      <c r="C38" s="36" t="s">
        <v>136</v>
      </c>
      <c r="D38" s="38" t="n">
        <v>-100000</v>
      </c>
      <c r="F38" s="36" t="s">
        <v>137</v>
      </c>
      <c r="G38" s="37" t="n">
        <v>46112</v>
      </c>
      <c r="H38" s="36" t="s">
        <v>138</v>
      </c>
      <c r="I38" s="38" t="n">
        <v>4310</v>
      </c>
    </row>
    <row r="39" customFormat="false" ht="15" hidden="false" customHeight="false" outlineLevel="0" collapsed="false">
      <c r="A39" s="28" t="s">
        <v>139</v>
      </c>
      <c r="B39" s="29" t="n">
        <v>46111</v>
      </c>
      <c r="C39" s="28" t="s">
        <v>140</v>
      </c>
      <c r="D39" s="30" t="n">
        <v>84000</v>
      </c>
      <c r="F39" s="28" t="s">
        <v>117</v>
      </c>
      <c r="G39" s="29" t="n">
        <v>46083</v>
      </c>
      <c r="H39" s="28" t="s">
        <v>141</v>
      </c>
      <c r="I39" s="30" t="n">
        <v>-75000</v>
      </c>
    </row>
    <row r="40" customFormat="false" ht="15" hidden="false" customHeight="false" outlineLevel="0" collapsed="false">
      <c r="A40" s="36" t="s">
        <v>129</v>
      </c>
      <c r="B40" s="37" t="n">
        <v>46102</v>
      </c>
      <c r="C40" s="36" t="s">
        <v>110</v>
      </c>
      <c r="D40" s="38" t="n">
        <v>-233000</v>
      </c>
      <c r="F40" s="36" t="s">
        <v>130</v>
      </c>
      <c r="G40" s="37" t="n">
        <v>46095</v>
      </c>
      <c r="H40" s="36" t="s">
        <v>70</v>
      </c>
      <c r="I40" s="38" t="n">
        <v>195000</v>
      </c>
    </row>
    <row r="41" customFormat="false" ht="15" hidden="false" customHeight="false" outlineLevel="0" collapsed="false">
      <c r="A41" s="28" t="s">
        <v>58</v>
      </c>
      <c r="B41" s="29" t="n">
        <v>46086</v>
      </c>
      <c r="C41" s="28" t="s">
        <v>142</v>
      </c>
      <c r="D41" s="30" t="n">
        <v>75500</v>
      </c>
    </row>
    <row r="42" customFormat="false" ht="15" hidden="false" customHeight="false" outlineLevel="0" collapsed="false">
      <c r="A42" s="36" t="s">
        <v>143</v>
      </c>
      <c r="B42" s="37" t="n">
        <v>46112</v>
      </c>
      <c r="C42" s="36" t="s">
        <v>79</v>
      </c>
      <c r="D42" s="38" t="n">
        <v>132500</v>
      </c>
    </row>
  </sheetData>
  <mergeCells count="3">
    <mergeCell ref="A1:O1"/>
    <mergeCell ref="A2:O2"/>
    <mergeCell ref="A3:O5"/>
  </mergeCells>
  <conditionalFormatting sqref="N9:N15">
    <cfRule type="expression" priority="2" aboveAverage="0" equalAverage="0" bottom="0" percent="0" rank="0" text="" dxfId="0">
      <formula>LEFT(N9,1)="✓"</formula>
    </cfRule>
    <cfRule type="expression" priority="3" aboveAverage="0" equalAverage="0" bottom="0" percent="0" rank="0" text="" dxfId="1">
      <formula>LEFT(N9,1)="✗"</formula>
    </cfRule>
    <cfRule type="expression" priority="4" aboveAverage="0" equalAverage="0" bottom="0" percent="0" rank="0" text="" dxfId="2">
      <formula>LEFT(N9,1)="✎"</formula>
    </cfRule>
    <cfRule type="expression" priority="5" aboveAverage="0" equalAverage="0" bottom="0" percent="0" rank="0" text="" dxfId="3">
      <formula>LEFT(N9,1)="◯"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true"/>
  </sheetPr>
  <dimension ref="A1:R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30"/>
    <col collapsed="false" customWidth="true" hidden="false" outlineLevel="0" max="4" min="4" style="0" width="13"/>
    <col collapsed="false" customWidth="true" hidden="false" outlineLevel="0" max="5" min="5" style="0" width="14"/>
    <col collapsed="false" customWidth="true" hidden="false" outlineLevel="0" max="7" min="7" style="0" width="11"/>
    <col collapsed="false" customWidth="true" hidden="false" outlineLevel="0" max="8" min="8" style="0" width="12"/>
    <col collapsed="false" customWidth="true" hidden="false" outlineLevel="0" max="9" min="9" style="0" width="30"/>
    <col collapsed="false" customWidth="true" hidden="false" outlineLevel="0" max="10" min="10" style="0" width="13"/>
    <col collapsed="false" customWidth="true" hidden="false" outlineLevel="0" max="11" min="11" style="0" width="3"/>
    <col collapsed="false" customWidth="true" hidden="false" outlineLevel="0" max="12" min="12" style="0" width="5"/>
    <col collapsed="false" customWidth="true" hidden="false" outlineLevel="0" max="13" min="13" style="0" width="46"/>
    <col collapsed="false" customWidth="true" hidden="false" outlineLevel="0" max="14" min="14" style="0" width="18"/>
    <col collapsed="false" customWidth="true" hidden="false" outlineLevel="0" max="15" min="15" style="0" width="17"/>
    <col collapsed="false" customWidth="true" hidden="false" outlineLevel="0" max="16" min="16" style="0" width="38"/>
    <col collapsed="false" customWidth="true" hidden="true" outlineLevel="0" max="19" min="17" style="0" width="13"/>
  </cols>
  <sheetData>
    <row r="1" customFormat="false" ht="31.5" hidden="false" customHeight="true" outlineLevel="0" collapsed="false">
      <c r="A1" s="55" t="s">
        <v>211</v>
      </c>
      <c r="B1" s="55"/>
      <c r="C1" s="55"/>
      <c r="D1" s="55"/>
      <c r="E1" s="55"/>
      <c r="F1" s="55"/>
      <c r="G1" s="55"/>
      <c r="H1" s="55"/>
      <c r="I1" s="55"/>
      <c r="J1" s="55"/>
      <c r="K1" s="55"/>
      <c r="L1" s="55"/>
      <c r="M1" s="55"/>
      <c r="N1" s="55"/>
      <c r="O1" s="55"/>
      <c r="P1" s="55"/>
    </row>
    <row r="2" customFormat="false" ht="19.5" hidden="false" customHeight="true" outlineLevel="0" collapsed="false">
      <c r="A2" s="56" t="s">
        <v>212</v>
      </c>
      <c r="B2" s="56"/>
      <c r="C2" s="56"/>
      <c r="D2" s="56"/>
      <c r="E2" s="56"/>
      <c r="F2" s="56"/>
      <c r="G2" s="56"/>
      <c r="H2" s="56"/>
      <c r="I2" s="56"/>
      <c r="J2" s="56"/>
      <c r="K2" s="56"/>
      <c r="L2" s="56"/>
      <c r="M2" s="56"/>
      <c r="N2" s="56"/>
      <c r="O2" s="56"/>
      <c r="P2" s="56"/>
    </row>
    <row r="3" customFormat="false" ht="18.75" hidden="false" customHeight="true" outlineLevel="0" collapsed="false">
      <c r="A3" s="57" t="s">
        <v>213</v>
      </c>
      <c r="B3" s="57"/>
      <c r="C3" s="57"/>
      <c r="D3" s="57"/>
      <c r="E3" s="57"/>
      <c r="F3" s="57"/>
      <c r="G3" s="57"/>
      <c r="H3" s="57"/>
      <c r="I3" s="57"/>
      <c r="J3" s="57"/>
      <c r="K3" s="57"/>
      <c r="L3" s="57"/>
      <c r="M3" s="57"/>
      <c r="N3" s="57"/>
      <c r="O3" s="57"/>
      <c r="P3" s="57"/>
    </row>
    <row r="4" customFormat="false" ht="18.75" hidden="false" customHeight="true" outlineLevel="0" collapsed="false">
      <c r="A4" s="57"/>
      <c r="B4" s="57"/>
      <c r="C4" s="57"/>
      <c r="D4" s="57"/>
      <c r="E4" s="57"/>
      <c r="F4" s="57"/>
      <c r="G4" s="57"/>
      <c r="H4" s="57"/>
      <c r="I4" s="57"/>
      <c r="J4" s="57"/>
      <c r="K4" s="57"/>
      <c r="L4" s="57"/>
      <c r="M4" s="57"/>
      <c r="N4" s="57"/>
      <c r="O4" s="57"/>
      <c r="P4" s="57"/>
    </row>
    <row r="5" customFormat="false" ht="18.75" hidden="false" customHeight="true" outlineLevel="0" collapsed="false">
      <c r="A5" s="57"/>
      <c r="B5" s="57"/>
      <c r="C5" s="57"/>
      <c r="D5" s="57"/>
      <c r="E5" s="57"/>
      <c r="F5" s="57"/>
      <c r="G5" s="57"/>
      <c r="H5" s="57"/>
      <c r="I5" s="57"/>
      <c r="J5" s="57"/>
      <c r="K5" s="57"/>
      <c r="L5" s="57"/>
      <c r="M5" s="57"/>
      <c r="N5" s="57"/>
      <c r="O5" s="57"/>
      <c r="P5" s="57"/>
    </row>
    <row r="6" customFormat="false" ht="19.5" hidden="false" customHeight="true" outlineLevel="0" collapsed="false">
      <c r="A6" s="24" t="s">
        <v>35</v>
      </c>
      <c r="B6" s="25" t="n">
        <v>842500</v>
      </c>
    </row>
    <row r="8" customFormat="false" ht="24" hidden="false" customHeight="true" outlineLevel="0" collapsed="false">
      <c r="A8" s="26" t="s">
        <v>36</v>
      </c>
      <c r="B8" s="26" t="s">
        <v>37</v>
      </c>
      <c r="C8" s="26" t="s">
        <v>38</v>
      </c>
      <c r="D8" s="26" t="s">
        <v>39</v>
      </c>
      <c r="E8" s="44" t="s">
        <v>214</v>
      </c>
      <c r="G8" s="26" t="s">
        <v>36</v>
      </c>
      <c r="H8" s="26" t="s">
        <v>37</v>
      </c>
      <c r="I8" s="26" t="s">
        <v>38</v>
      </c>
      <c r="J8" s="26" t="s">
        <v>39</v>
      </c>
      <c r="L8" s="58" t="s">
        <v>14</v>
      </c>
      <c r="M8" s="58" t="s">
        <v>40</v>
      </c>
      <c r="N8" s="58" t="s">
        <v>41</v>
      </c>
      <c r="O8" s="58" t="s">
        <v>42</v>
      </c>
      <c r="P8" s="58" t="s">
        <v>43</v>
      </c>
    </row>
    <row r="9" customFormat="false" ht="45" hidden="false" customHeight="true" outlineLevel="0" collapsed="false">
      <c r="A9" s="28" t="s">
        <v>44</v>
      </c>
      <c r="B9" s="29" t="n">
        <v>46112</v>
      </c>
      <c r="C9" s="28" t="s">
        <v>45</v>
      </c>
      <c r="D9" s="30" t="n">
        <v>29800</v>
      </c>
      <c r="E9" s="46"/>
      <c r="G9" s="28" t="s">
        <v>46</v>
      </c>
      <c r="H9" s="29" t="n">
        <v>46105</v>
      </c>
      <c r="I9" s="28" t="s">
        <v>47</v>
      </c>
      <c r="J9" s="30" t="n">
        <v>25000</v>
      </c>
      <c r="L9" s="59" t="n">
        <v>1</v>
      </c>
      <c r="M9" s="32" t="s">
        <v>215</v>
      </c>
      <c r="N9" s="48" t="s">
        <v>149</v>
      </c>
      <c r="O9" s="34" t="str">
        <f aca="false">IF(COUNTA($E$9:$E$42)=0,"◯ Not attempted",IF(NOT(_xlfn.ISFORMULA(E9)),"✎ Use a formula",IFERROR(IF(SUMPRODUCT(--(UPPER(TRIM($E$9:$E$42&amp;""))=UPPER(TRIM($R$9:$R$42&amp;""))))=ROWS($E$9:$E$42),"✓ Correct","✗ "&amp;(ROWS($E$9:$E$42)-SUMPRODUCT(--(UPPER(TRIM($E$9:$E$42&amp;""))=UPPER(TRIM($R$9:$R$42&amp;"")))))&amp;" rows differ"),"✗ Check the column")))</f>
        <v>◯ Not attempted</v>
      </c>
      <c r="P9" s="35" t="s">
        <v>216</v>
      </c>
      <c r="R9" s="0" t="str">
        <f aca="false">_xlfn.IFS(COUNTIF($G$9:$G$40,A9)=0,"Not in bank",ABS(D9-SUMIF($G$9:$G$40,A9,$J$9:$J$40))&gt;0.5,"Amount differs",TRUE(),"Matched")</f>
        <v>Not in bank</v>
      </c>
    </row>
    <row r="10" customFormat="false" ht="33.75" hidden="false" customHeight="true" outlineLevel="0" collapsed="false">
      <c r="A10" s="36" t="s">
        <v>50</v>
      </c>
      <c r="B10" s="37" t="n">
        <v>46107</v>
      </c>
      <c r="C10" s="36" t="s">
        <v>51</v>
      </c>
      <c r="D10" s="38" t="n">
        <v>-96500</v>
      </c>
      <c r="E10" s="46"/>
      <c r="G10" s="36" t="s">
        <v>52</v>
      </c>
      <c r="H10" s="37" t="n">
        <v>46108</v>
      </c>
      <c r="I10" s="36" t="s">
        <v>53</v>
      </c>
      <c r="J10" s="38" t="n">
        <v>189000</v>
      </c>
      <c r="L10" s="59" t="n">
        <v>2</v>
      </c>
      <c r="M10" s="32" t="s">
        <v>217</v>
      </c>
      <c r="N10" s="39"/>
      <c r="O10" s="34" t="str">
        <f aca="false">IF(ISBLANK(N10),"◯ Not attempted",IF(NOT(_xlfn.ISFORMULA(N10)),"✎ Use a formula",IF(ISNUMBER(N10),IF(ABS(N10-$Q$10)&lt;0.005,"✓ Correct","✗ Check again"),"✗ Not a number")))</f>
        <v>◯ Not attempted</v>
      </c>
      <c r="P10" s="35" t="s">
        <v>218</v>
      </c>
      <c r="Q10" s="40" t="n">
        <f aca="false">2</f>
        <v>2</v>
      </c>
      <c r="R10" s="0" t="str">
        <f aca="false">_xlfn.IFS(COUNTIF($G$9:$G$40,A10)=0,"Not in bank",ABS(D10-SUMIF($G$9:$G$40,A10,$J$9:$J$40))&gt;0.5,"Amount differs",TRUE(),"Matched")</f>
        <v>Not in bank</v>
      </c>
    </row>
    <row r="11" customFormat="false" ht="33.75" hidden="false" customHeight="true" outlineLevel="0" collapsed="false">
      <c r="A11" s="28" t="s">
        <v>56</v>
      </c>
      <c r="B11" s="29" t="n">
        <v>46108</v>
      </c>
      <c r="C11" s="28" t="s">
        <v>57</v>
      </c>
      <c r="D11" s="30" t="n">
        <v>-41200</v>
      </c>
      <c r="E11" s="46"/>
      <c r="G11" s="28" t="s">
        <v>58</v>
      </c>
      <c r="H11" s="29" t="n">
        <v>46086</v>
      </c>
      <c r="I11" s="28" t="s">
        <v>59</v>
      </c>
      <c r="J11" s="30" t="n">
        <v>75500</v>
      </c>
      <c r="L11" s="59" t="n">
        <v>3</v>
      </c>
      <c r="M11" s="32" t="s">
        <v>219</v>
      </c>
      <c r="N11" s="33"/>
      <c r="O11" s="34" t="str">
        <f aca="false">IF(ISBLANK(N11),"◯ Not attempted",IF(NOT(_xlfn.ISFORMULA(N11)),"✎ Use a formula",IF(ISNUMBER(N11),IF(ABS(N11-$Q$11)&lt;0.005,"✓ Correct","✗ Check again"),"✗ Not a number")))</f>
        <v>◯ Not attempted</v>
      </c>
      <c r="P11" s="35" t="s">
        <v>220</v>
      </c>
      <c r="Q11" s="0" t="n">
        <f aca="false">-140550</f>
        <v>-140550</v>
      </c>
      <c r="R11" s="0" t="str">
        <f aca="false">_xlfn.IFS(COUNTIF($G$9:$G$40,A11)=0,"Not in bank",ABS(D11-SUMIF($G$9:$G$40,A11,$J$9:$J$40))&gt;0.5,"Amount differs",TRUE(),"Matched")</f>
        <v>Not in bank</v>
      </c>
    </row>
    <row r="12" customFormat="false" ht="33.75" hidden="false" customHeight="true" outlineLevel="0" collapsed="false">
      <c r="A12" s="36" t="s">
        <v>62</v>
      </c>
      <c r="B12" s="37" t="n">
        <v>46095</v>
      </c>
      <c r="C12" s="36" t="s">
        <v>63</v>
      </c>
      <c r="D12" s="38" t="n">
        <v>225500</v>
      </c>
      <c r="E12" s="46"/>
      <c r="G12" s="36" t="s">
        <v>62</v>
      </c>
      <c r="H12" s="37" t="n">
        <v>46097</v>
      </c>
      <c r="I12" s="36" t="s">
        <v>64</v>
      </c>
      <c r="J12" s="38" t="n">
        <v>225500</v>
      </c>
      <c r="L12" s="59" t="n">
        <v>4</v>
      </c>
      <c r="M12" s="32" t="s">
        <v>221</v>
      </c>
      <c r="N12" s="49"/>
      <c r="O12" s="34" t="str">
        <f aca="false">IF(ISBLANK(N12),"◯ Not attempted",IF(NOT(_xlfn.ISFORMULA(N12)),"✎ Use a formula",IF(UPPER(TRIM(N12&amp;""))=UPPER(TRIM($Q$12&amp;"")),"✓ Correct","✗ Check again")))</f>
        <v>◯ Not attempted</v>
      </c>
      <c r="P12" s="35" t="s">
        <v>222</v>
      </c>
      <c r="Q12" s="0" t="str">
        <f aca="false">"CHQ-4153"</f>
        <v>CHQ-4153</v>
      </c>
      <c r="R12" s="0" t="str">
        <f aca="false">_xlfn.IFS(COUNTIF($G$9:$G$40,A12)=0,"Not in bank",ABS(D12-SUMIF($G$9:$G$40,A12,$J$9:$J$40))&gt;0.5,"Amount differs",TRUE(),"Matched")</f>
        <v>Matched</v>
      </c>
    </row>
    <row r="13" customFormat="false" ht="45" hidden="false" customHeight="true" outlineLevel="0" collapsed="false">
      <c r="A13" s="28" t="s">
        <v>67</v>
      </c>
      <c r="B13" s="29" t="n">
        <v>46111</v>
      </c>
      <c r="C13" s="28" t="s">
        <v>68</v>
      </c>
      <c r="D13" s="30" t="n">
        <v>-23750</v>
      </c>
      <c r="E13" s="46"/>
      <c r="G13" s="28" t="s">
        <v>69</v>
      </c>
      <c r="H13" s="29" t="n">
        <v>46087</v>
      </c>
      <c r="I13" s="28" t="s">
        <v>70</v>
      </c>
      <c r="J13" s="30" t="n">
        <v>97500</v>
      </c>
      <c r="L13" s="59" t="n">
        <v>5</v>
      </c>
      <c r="M13" s="32" t="s">
        <v>223</v>
      </c>
      <c r="N13" s="33"/>
      <c r="O13" s="34" t="str">
        <f aca="false">IF(ISBLANK(N13),"◯ Not attempted",IF(NOT(_xlfn.ISFORMULA(N13)),"✎ Use a formula",IF(ISNUMBER(N13),IF(ABS(N13-$Q$13)&lt;0.5,"✓ Correct","✗ Check again"),"✗ Not a number")))</f>
        <v>◯ Not attempted</v>
      </c>
      <c r="P13" s="35" t="s">
        <v>224</v>
      </c>
      <c r="Q13" s="0" t="n">
        <f aca="false">0</f>
        <v>0</v>
      </c>
      <c r="R13" s="0" t="str">
        <f aca="false">_xlfn.IFS(COUNTIF($G$9:$G$40,A13)=0,"Not in bank",ABS(D13-SUMIF($G$9:$G$40,A13,$J$9:$J$40))&gt;0.5,"Amount differs",TRUE(),"Matched")</f>
        <v>Not in bank</v>
      </c>
    </row>
    <row r="14" customFormat="false" ht="15" hidden="false" customHeight="false" outlineLevel="0" collapsed="false">
      <c r="A14" s="36" t="s">
        <v>73</v>
      </c>
      <c r="B14" s="37" t="n">
        <v>46106</v>
      </c>
      <c r="C14" s="36" t="s">
        <v>74</v>
      </c>
      <c r="D14" s="38" t="n">
        <v>226500</v>
      </c>
      <c r="E14" s="46"/>
      <c r="G14" s="36" t="s">
        <v>75</v>
      </c>
      <c r="H14" s="37" t="n">
        <v>46099</v>
      </c>
      <c r="I14" s="36" t="s">
        <v>76</v>
      </c>
      <c r="J14" s="38" t="n">
        <v>-155500</v>
      </c>
      <c r="R14" s="0" t="str">
        <f aca="false">_xlfn.IFS(COUNTIF($G$9:$G$40,A14)=0,"Not in bank",ABS(D14-SUMIF($G$9:$G$40,A14,$J$9:$J$40))&gt;0.5,"Amount differs",TRUE(),"Matched")</f>
        <v>Matched</v>
      </c>
    </row>
    <row r="15" customFormat="false" ht="15" hidden="false" customHeight="false" outlineLevel="0" collapsed="false">
      <c r="A15" s="28" t="s">
        <v>52</v>
      </c>
      <c r="B15" s="29" t="n">
        <v>46105</v>
      </c>
      <c r="C15" s="28" t="s">
        <v>79</v>
      </c>
      <c r="D15" s="30" t="n">
        <v>189000</v>
      </c>
      <c r="E15" s="46"/>
      <c r="G15" s="28" t="s">
        <v>80</v>
      </c>
      <c r="H15" s="29" t="n">
        <v>46106</v>
      </c>
      <c r="I15" s="28" t="s">
        <v>81</v>
      </c>
      <c r="J15" s="30" t="n">
        <v>90500</v>
      </c>
      <c r="R15" s="0" t="str">
        <f aca="false">_xlfn.IFS(COUNTIF($G$9:$G$40,A15)=0,"Not in bank",ABS(D15-SUMIF($G$9:$G$40,A15,$J$9:$J$40))&gt;0.5,"Amount differs",TRUE(),"Matched")</f>
        <v>Matched</v>
      </c>
    </row>
    <row r="16" customFormat="false" ht="15" hidden="false" customHeight="false" outlineLevel="0" collapsed="false">
      <c r="A16" s="36" t="s">
        <v>75</v>
      </c>
      <c r="B16" s="37" t="n">
        <v>46099</v>
      </c>
      <c r="C16" s="36" t="s">
        <v>84</v>
      </c>
      <c r="D16" s="38" t="n">
        <v>-155500</v>
      </c>
      <c r="E16" s="46"/>
      <c r="G16" s="36" t="s">
        <v>85</v>
      </c>
      <c r="H16" s="37" t="n">
        <v>46103</v>
      </c>
      <c r="I16" s="36" t="s">
        <v>86</v>
      </c>
      <c r="J16" s="38" t="n">
        <v>68000</v>
      </c>
      <c r="R16" s="0" t="str">
        <f aca="false">_xlfn.IFS(COUNTIF($G$9:$G$40,A16)=0,"Not in bank",ABS(D16-SUMIF($G$9:$G$40,A16,$J$9:$J$40))&gt;0.5,"Amount differs",TRUE(),"Matched")</f>
        <v>Matched</v>
      </c>
    </row>
    <row r="17" customFormat="false" ht="15" hidden="false" customHeight="false" outlineLevel="0" collapsed="false">
      <c r="A17" s="28" t="s">
        <v>87</v>
      </c>
      <c r="B17" s="29" t="n">
        <v>46091</v>
      </c>
      <c r="C17" s="28" t="s">
        <v>84</v>
      </c>
      <c r="D17" s="30" t="n">
        <v>-162500</v>
      </c>
      <c r="E17" s="46"/>
      <c r="G17" s="28" t="s">
        <v>88</v>
      </c>
      <c r="H17" s="29" t="n">
        <v>46101</v>
      </c>
      <c r="I17" s="28" t="s">
        <v>89</v>
      </c>
      <c r="J17" s="30" t="n">
        <v>117410</v>
      </c>
      <c r="R17" s="0" t="str">
        <f aca="false">_xlfn.IFS(COUNTIF($G$9:$G$40,A17)=0,"Not in bank",ABS(D17-SUMIF($G$9:$G$40,A17,$J$9:$J$40))&gt;0.5,"Amount differs",TRUE(),"Matched")</f>
        <v>Matched</v>
      </c>
    </row>
    <row r="18" customFormat="false" ht="15" hidden="false" customHeight="false" outlineLevel="0" collapsed="false">
      <c r="A18" s="36" t="s">
        <v>90</v>
      </c>
      <c r="B18" s="37" t="n">
        <v>46099</v>
      </c>
      <c r="C18" s="36" t="s">
        <v>91</v>
      </c>
      <c r="D18" s="38" t="n">
        <v>146000</v>
      </c>
      <c r="E18" s="46"/>
      <c r="G18" s="36" t="s">
        <v>87</v>
      </c>
      <c r="H18" s="37" t="n">
        <v>46091</v>
      </c>
      <c r="I18" s="36" t="s">
        <v>76</v>
      </c>
      <c r="J18" s="38" t="n">
        <v>-162500</v>
      </c>
      <c r="R18" s="0" t="str">
        <f aca="false">_xlfn.IFS(COUNTIF($G$9:$G$40,A18)=0,"Not in bank",ABS(D18-SUMIF($G$9:$G$40,A18,$J$9:$J$40))&gt;0.5,"Amount differs",TRUE(),"Matched")</f>
        <v>Matched</v>
      </c>
    </row>
    <row r="19" customFormat="false" ht="15" hidden="false" customHeight="false" outlineLevel="0" collapsed="false">
      <c r="A19" s="28" t="s">
        <v>80</v>
      </c>
      <c r="B19" s="29" t="n">
        <v>46104</v>
      </c>
      <c r="C19" s="28" t="s">
        <v>92</v>
      </c>
      <c r="D19" s="30" t="n">
        <v>90500</v>
      </c>
      <c r="E19" s="46"/>
      <c r="G19" s="28" t="s">
        <v>93</v>
      </c>
      <c r="H19" s="29" t="n">
        <v>46112</v>
      </c>
      <c r="I19" s="28" t="s">
        <v>94</v>
      </c>
      <c r="J19" s="30" t="n">
        <v>-1180</v>
      </c>
      <c r="R19" s="0" t="str">
        <f aca="false">_xlfn.IFS(COUNTIF($G$9:$G$40,A19)=0,"Not in bank",ABS(D19-SUMIF($G$9:$G$40,A19,$J$9:$J$40))&gt;0.5,"Amount differs",TRUE(),"Matched")</f>
        <v>Matched</v>
      </c>
    </row>
    <row r="20" customFormat="false" ht="15" hidden="false" customHeight="false" outlineLevel="0" collapsed="false">
      <c r="A20" s="36" t="s">
        <v>69</v>
      </c>
      <c r="B20" s="37" t="n">
        <v>46087</v>
      </c>
      <c r="C20" s="36" t="s">
        <v>95</v>
      </c>
      <c r="D20" s="38" t="n">
        <v>97500</v>
      </c>
      <c r="E20" s="46"/>
      <c r="G20" s="36" t="s">
        <v>96</v>
      </c>
      <c r="H20" s="37" t="n">
        <v>46097</v>
      </c>
      <c r="I20" s="36" t="s">
        <v>97</v>
      </c>
      <c r="J20" s="38" t="n">
        <v>-199000</v>
      </c>
      <c r="R20" s="0" t="str">
        <f aca="false">_xlfn.IFS(COUNTIF($G$9:$G$40,A20)=0,"Not in bank",ABS(D20-SUMIF($G$9:$G$40,A20,$J$9:$J$40))&gt;0.5,"Amount differs",TRUE(),"Matched")</f>
        <v>Matched</v>
      </c>
    </row>
    <row r="21" customFormat="false" ht="15" hidden="false" customHeight="false" outlineLevel="0" collapsed="false">
      <c r="A21" s="28" t="s">
        <v>98</v>
      </c>
      <c r="B21" s="29" t="n">
        <v>46094</v>
      </c>
      <c r="C21" s="28" t="s">
        <v>95</v>
      </c>
      <c r="D21" s="30" t="n">
        <v>88000</v>
      </c>
      <c r="E21" s="46"/>
      <c r="G21" s="28" t="s">
        <v>98</v>
      </c>
      <c r="H21" s="29" t="n">
        <v>46098</v>
      </c>
      <c r="I21" s="28" t="s">
        <v>70</v>
      </c>
      <c r="J21" s="30" t="n">
        <v>88000</v>
      </c>
      <c r="R21" s="0" t="str">
        <f aca="false">_xlfn.IFS(COUNTIF($G$9:$G$40,A21)=0,"Not in bank",ABS(D21-SUMIF($G$9:$G$40,A21,$J$9:$J$40))&gt;0.5,"Amount differs",TRUE(),"Matched")</f>
        <v>Matched</v>
      </c>
    </row>
    <row r="22" customFormat="false" ht="15" hidden="false" customHeight="false" outlineLevel="0" collapsed="false">
      <c r="A22" s="36" t="s">
        <v>99</v>
      </c>
      <c r="B22" s="37" t="n">
        <v>46112</v>
      </c>
      <c r="C22" s="36" t="s">
        <v>100</v>
      </c>
      <c r="D22" s="38" t="n">
        <v>-67400</v>
      </c>
      <c r="E22" s="46"/>
      <c r="G22" s="36" t="s">
        <v>101</v>
      </c>
      <c r="H22" s="37" t="n">
        <v>46092</v>
      </c>
      <c r="I22" s="36" t="s">
        <v>102</v>
      </c>
      <c r="J22" s="38" t="n">
        <v>-80500</v>
      </c>
      <c r="R22" s="0" t="str">
        <f aca="false">_xlfn.IFS(COUNTIF($G$9:$G$40,A22)=0,"Not in bank",ABS(D22-SUMIF($G$9:$G$40,A22,$J$9:$J$40))&gt;0.5,"Amount differs",TRUE(),"Matched")</f>
        <v>Not in bank</v>
      </c>
    </row>
    <row r="23" customFormat="false" ht="15" hidden="false" customHeight="false" outlineLevel="0" collapsed="false">
      <c r="A23" s="28" t="s">
        <v>103</v>
      </c>
      <c r="B23" s="29" t="n">
        <v>46090</v>
      </c>
      <c r="C23" s="28" t="s">
        <v>104</v>
      </c>
      <c r="D23" s="30" t="n">
        <v>-90500</v>
      </c>
      <c r="E23" s="46"/>
      <c r="G23" s="28" t="s">
        <v>90</v>
      </c>
      <c r="H23" s="29" t="n">
        <v>46102</v>
      </c>
      <c r="I23" s="28" t="s">
        <v>105</v>
      </c>
      <c r="J23" s="30" t="n">
        <v>146000</v>
      </c>
      <c r="R23" s="0" t="str">
        <f aca="false">_xlfn.IFS(COUNTIF($G$9:$G$40,A23)=0,"Not in bank",ABS(D23-SUMIF($G$9:$G$40,A23,$J$9:$J$40))&gt;0.5,"Amount differs",TRUE(),"Matched")</f>
        <v>Matched</v>
      </c>
    </row>
    <row r="24" customFormat="false" ht="15" hidden="false" customHeight="false" outlineLevel="0" collapsed="false">
      <c r="A24" s="36" t="s">
        <v>46</v>
      </c>
      <c r="B24" s="37" t="n">
        <v>46102</v>
      </c>
      <c r="C24" s="36" t="s">
        <v>106</v>
      </c>
      <c r="D24" s="38" t="n">
        <v>25000</v>
      </c>
      <c r="E24" s="46"/>
      <c r="G24" s="36" t="s">
        <v>107</v>
      </c>
      <c r="H24" s="37" t="n">
        <v>46101</v>
      </c>
      <c r="I24" s="36" t="s">
        <v>108</v>
      </c>
      <c r="J24" s="38" t="n">
        <v>-25000</v>
      </c>
      <c r="R24" s="0" t="str">
        <f aca="false">_xlfn.IFS(COUNTIF($G$9:$G$40,A24)=0,"Not in bank",ABS(D24-SUMIF($G$9:$G$40,A24,$J$9:$J$40))&gt;0.5,"Amount differs",TRUE(),"Matched")</f>
        <v>Matched</v>
      </c>
    </row>
    <row r="25" customFormat="false" ht="15" hidden="false" customHeight="false" outlineLevel="0" collapsed="false">
      <c r="A25" s="28" t="s">
        <v>109</v>
      </c>
      <c r="B25" s="29" t="n">
        <v>46085</v>
      </c>
      <c r="C25" s="28" t="s">
        <v>110</v>
      </c>
      <c r="D25" s="30" t="n">
        <v>-67500</v>
      </c>
      <c r="E25" s="46"/>
      <c r="G25" s="28" t="s">
        <v>111</v>
      </c>
      <c r="H25" s="29" t="n">
        <v>46098</v>
      </c>
      <c r="I25" s="28" t="s">
        <v>112</v>
      </c>
      <c r="J25" s="30" t="n">
        <v>19000</v>
      </c>
      <c r="R25" s="0" t="str">
        <f aca="false">_xlfn.IFS(COUNTIF($G$9:$G$40,A25)=0,"Not in bank",ABS(D25-SUMIF($G$9:$G$40,A25,$J$9:$J$40))&gt;0.5,"Amount differs",TRUE(),"Matched")</f>
        <v>Matched</v>
      </c>
    </row>
    <row r="26" customFormat="false" ht="15" hidden="false" customHeight="false" outlineLevel="0" collapsed="false">
      <c r="A26" s="36" t="s">
        <v>113</v>
      </c>
      <c r="B26" s="37" t="n">
        <v>46085</v>
      </c>
      <c r="C26" s="36" t="s">
        <v>114</v>
      </c>
      <c r="D26" s="38" t="n">
        <v>-149500</v>
      </c>
      <c r="E26" s="46"/>
      <c r="G26" s="36" t="s">
        <v>115</v>
      </c>
      <c r="H26" s="37" t="n">
        <v>46092</v>
      </c>
      <c r="I26" s="36" t="s">
        <v>116</v>
      </c>
      <c r="J26" s="38" t="n">
        <v>-49500</v>
      </c>
      <c r="R26" s="0" t="str">
        <f aca="false">_xlfn.IFS(COUNTIF($G$9:$G$40,A26)=0,"Not in bank",ABS(D26-SUMIF($G$9:$G$40,A26,$J$9:$J$40))&gt;0.5,"Amount differs",TRUE(),"Matched")</f>
        <v>Matched</v>
      </c>
    </row>
    <row r="27" customFormat="false" ht="15" hidden="false" customHeight="false" outlineLevel="0" collapsed="false">
      <c r="A27" s="28" t="s">
        <v>117</v>
      </c>
      <c r="B27" s="29" t="n">
        <v>46082</v>
      </c>
      <c r="C27" s="28" t="s">
        <v>51</v>
      </c>
      <c r="D27" s="30" t="n">
        <v>-75000</v>
      </c>
      <c r="E27" s="46"/>
      <c r="G27" s="28" t="s">
        <v>118</v>
      </c>
      <c r="H27" s="29" t="n">
        <v>46096</v>
      </c>
      <c r="I27" s="28" t="s">
        <v>119</v>
      </c>
      <c r="J27" s="30" t="n">
        <v>-12500</v>
      </c>
      <c r="R27" s="0" t="str">
        <f aca="false">_xlfn.IFS(COUNTIF($G$9:$G$40,A27)=0,"Not in bank",ABS(D27-SUMIF($G$9:$G$40,A27,$J$9:$J$40))&gt;0.5,"Amount differs",TRUE(),"Matched")</f>
        <v>Matched</v>
      </c>
    </row>
    <row r="28" customFormat="false" ht="15" hidden="false" customHeight="false" outlineLevel="0" collapsed="false">
      <c r="A28" s="36" t="s">
        <v>120</v>
      </c>
      <c r="B28" s="37" t="n">
        <v>46099</v>
      </c>
      <c r="C28" s="36" t="s">
        <v>84</v>
      </c>
      <c r="D28" s="38" t="n">
        <v>-140500</v>
      </c>
      <c r="E28" s="46"/>
      <c r="G28" s="36" t="s">
        <v>103</v>
      </c>
      <c r="H28" s="37" t="n">
        <v>46091</v>
      </c>
      <c r="I28" s="36" t="s">
        <v>121</v>
      </c>
      <c r="J28" s="38" t="n">
        <v>-90500</v>
      </c>
      <c r="R28" s="0" t="str">
        <f aca="false">_xlfn.IFS(COUNTIF($G$9:$G$40,A28)=0,"Not in bank",ABS(D28-SUMIF($G$9:$G$40,A28,$J$9:$J$40))&gt;0.5,"Amount differs",TRUE(),"Matched")</f>
        <v>Matched</v>
      </c>
    </row>
    <row r="29" customFormat="false" ht="15" hidden="false" customHeight="false" outlineLevel="0" collapsed="false">
      <c r="A29" s="28" t="s">
        <v>122</v>
      </c>
      <c r="B29" s="29" t="n">
        <v>46103</v>
      </c>
      <c r="C29" s="28" t="s">
        <v>123</v>
      </c>
      <c r="D29" s="30" t="n">
        <v>160000</v>
      </c>
      <c r="E29" s="46"/>
      <c r="G29" s="28" t="s">
        <v>120</v>
      </c>
      <c r="H29" s="29" t="n">
        <v>46101</v>
      </c>
      <c r="I29" s="28" t="s">
        <v>76</v>
      </c>
      <c r="J29" s="30" t="n">
        <v>-140500</v>
      </c>
      <c r="R29" s="0" t="str">
        <f aca="false">_xlfn.IFS(COUNTIF($G$9:$G$40,A29)=0,"Not in bank",ABS(D29-SUMIF($G$9:$G$40,A29,$J$9:$J$40))&gt;0.5,"Amount differs",TRUE(),"Matched")</f>
        <v>Matched</v>
      </c>
    </row>
    <row r="30" customFormat="false" ht="15" hidden="false" customHeight="false" outlineLevel="0" collapsed="false">
      <c r="A30" s="36" t="s">
        <v>111</v>
      </c>
      <c r="B30" s="37" t="n">
        <v>46095</v>
      </c>
      <c r="C30" s="36" t="s">
        <v>74</v>
      </c>
      <c r="D30" s="38" t="n">
        <v>19000</v>
      </c>
      <c r="E30" s="46"/>
      <c r="G30" s="36" t="s">
        <v>124</v>
      </c>
      <c r="H30" s="37" t="n">
        <v>46109</v>
      </c>
      <c r="I30" s="36" t="s">
        <v>125</v>
      </c>
      <c r="J30" s="38" t="n">
        <v>-100000</v>
      </c>
      <c r="R30" s="0" t="str">
        <f aca="false">_xlfn.IFS(COUNTIF($G$9:$G$40,A30)=0,"Not in bank",ABS(D30-SUMIF($G$9:$G$40,A30,$J$9:$J$40))&gt;0.5,"Amount differs",TRUE(),"Matched")</f>
        <v>Matched</v>
      </c>
    </row>
    <row r="31" customFormat="false" ht="15" hidden="false" customHeight="false" outlineLevel="0" collapsed="false">
      <c r="A31" s="28" t="s">
        <v>115</v>
      </c>
      <c r="B31" s="29" t="n">
        <v>46090</v>
      </c>
      <c r="C31" s="28" t="s">
        <v>100</v>
      </c>
      <c r="D31" s="30" t="n">
        <v>-45900</v>
      </c>
      <c r="E31" s="46"/>
      <c r="G31" s="28" t="s">
        <v>73</v>
      </c>
      <c r="H31" s="29" t="n">
        <v>46108</v>
      </c>
      <c r="I31" s="28" t="s">
        <v>112</v>
      </c>
      <c r="J31" s="30" t="n">
        <v>226500</v>
      </c>
      <c r="R31" s="0" t="str">
        <f aca="false">_xlfn.IFS(COUNTIF($G$9:$G$40,A31)=0,"Not in bank",ABS(D31-SUMIF($G$9:$G$40,A31,$J$9:$J$40))&gt;0.5,"Amount differs",TRUE(),"Matched")</f>
        <v>Amount differs</v>
      </c>
    </row>
    <row r="32" customFormat="false" ht="15" hidden="false" customHeight="false" outlineLevel="0" collapsed="false">
      <c r="A32" s="36" t="s">
        <v>126</v>
      </c>
      <c r="B32" s="37" t="n">
        <v>46109</v>
      </c>
      <c r="C32" s="36" t="s">
        <v>104</v>
      </c>
      <c r="D32" s="38" t="n">
        <v>-158000</v>
      </c>
      <c r="E32" s="46"/>
      <c r="G32" s="36" t="s">
        <v>113</v>
      </c>
      <c r="H32" s="37" t="n">
        <v>46088</v>
      </c>
      <c r="I32" s="36" t="s">
        <v>97</v>
      </c>
      <c r="J32" s="38" t="n">
        <v>-149500</v>
      </c>
      <c r="R32" s="0" t="str">
        <f aca="false">_xlfn.IFS(COUNTIF($G$9:$G$40,A32)=0,"Not in bank",ABS(D32-SUMIF($G$9:$G$40,A32,$J$9:$J$40))&gt;0.5,"Amount differs",TRUE(),"Matched")</f>
        <v>Not in bank</v>
      </c>
    </row>
    <row r="33" customFormat="false" ht="15" hidden="false" customHeight="false" outlineLevel="0" collapsed="false">
      <c r="A33" s="28" t="s">
        <v>96</v>
      </c>
      <c r="B33" s="29" t="n">
        <v>46095</v>
      </c>
      <c r="C33" s="28" t="s">
        <v>114</v>
      </c>
      <c r="D33" s="30" t="n">
        <v>-199000</v>
      </c>
      <c r="E33" s="46"/>
      <c r="G33" s="28" t="s">
        <v>109</v>
      </c>
      <c r="H33" s="29" t="n">
        <v>46087</v>
      </c>
      <c r="I33" s="28" t="s">
        <v>127</v>
      </c>
      <c r="J33" s="30" t="n">
        <v>-67500</v>
      </c>
      <c r="R33" s="0" t="str">
        <f aca="false">_xlfn.IFS(COUNTIF($G$9:$G$40,A33)=0,"Not in bank",ABS(D33-SUMIF($G$9:$G$40,A33,$J$9:$J$40))&gt;0.5,"Amount differs",TRUE(),"Matched")</f>
        <v>Matched</v>
      </c>
    </row>
    <row r="34" customFormat="false" ht="15" hidden="false" customHeight="false" outlineLevel="0" collapsed="false">
      <c r="A34" s="36" t="s">
        <v>101</v>
      </c>
      <c r="B34" s="37" t="n">
        <v>46091</v>
      </c>
      <c r="C34" s="36" t="s">
        <v>128</v>
      </c>
      <c r="D34" s="38" t="n">
        <v>-80500</v>
      </c>
      <c r="E34" s="46"/>
      <c r="G34" s="36" t="s">
        <v>129</v>
      </c>
      <c r="H34" s="37" t="n">
        <v>46106</v>
      </c>
      <c r="I34" s="36" t="s">
        <v>127</v>
      </c>
      <c r="J34" s="38" t="n">
        <v>-233000</v>
      </c>
      <c r="R34" s="0" t="str">
        <f aca="false">_xlfn.IFS(COUNTIF($G$9:$G$40,A34)=0,"Not in bank",ABS(D34-SUMIF($G$9:$G$40,A34,$J$9:$J$40))&gt;0.5,"Amount differs",TRUE(),"Matched")</f>
        <v>Matched</v>
      </c>
    </row>
    <row r="35" customFormat="false" ht="15" hidden="false" customHeight="false" outlineLevel="0" collapsed="false">
      <c r="A35" s="28" t="s">
        <v>130</v>
      </c>
      <c r="B35" s="29" t="n">
        <v>46092</v>
      </c>
      <c r="C35" s="28" t="s">
        <v>95</v>
      </c>
      <c r="D35" s="30" t="n">
        <v>195000</v>
      </c>
      <c r="E35" s="46"/>
      <c r="G35" s="28" t="s">
        <v>122</v>
      </c>
      <c r="H35" s="29" t="n">
        <v>46106</v>
      </c>
      <c r="I35" s="28" t="s">
        <v>131</v>
      </c>
      <c r="J35" s="30" t="n">
        <v>160000</v>
      </c>
      <c r="R35" s="0" t="str">
        <f aca="false">_xlfn.IFS(COUNTIF($G$9:$G$40,A35)=0,"Not in bank",ABS(D35-SUMIF($G$9:$G$40,A35,$J$9:$J$40))&gt;0.5,"Amount differs",TRUE(),"Matched")</f>
        <v>Matched</v>
      </c>
    </row>
    <row r="36" customFormat="false" ht="15" hidden="false" customHeight="false" outlineLevel="0" collapsed="false">
      <c r="A36" s="36" t="s">
        <v>88</v>
      </c>
      <c r="B36" s="37" t="n">
        <v>46099</v>
      </c>
      <c r="C36" s="36" t="s">
        <v>132</v>
      </c>
      <c r="D36" s="38" t="n">
        <v>118000</v>
      </c>
      <c r="E36" s="46"/>
      <c r="G36" s="36" t="s">
        <v>133</v>
      </c>
      <c r="H36" s="37" t="n">
        <v>46092</v>
      </c>
      <c r="I36" s="36" t="s">
        <v>102</v>
      </c>
      <c r="J36" s="38" t="n">
        <v>-42000</v>
      </c>
      <c r="R36" s="0" t="str">
        <f aca="false">_xlfn.IFS(COUNTIF($G$9:$G$40,A36)=0,"Not in bank",ABS(D36-SUMIF($G$9:$G$40,A36,$J$9:$J$40))&gt;0.5,"Amount differs",TRUE(),"Matched")</f>
        <v>Amount differs</v>
      </c>
    </row>
    <row r="37" customFormat="false" ht="15" hidden="false" customHeight="false" outlineLevel="0" collapsed="false">
      <c r="A37" s="28" t="s">
        <v>133</v>
      </c>
      <c r="B37" s="29" t="n">
        <v>46090</v>
      </c>
      <c r="C37" s="28" t="s">
        <v>128</v>
      </c>
      <c r="D37" s="30" t="n">
        <v>-42000</v>
      </c>
      <c r="E37" s="46"/>
      <c r="G37" s="28" t="s">
        <v>134</v>
      </c>
      <c r="H37" s="29" t="n">
        <v>46112</v>
      </c>
      <c r="I37" s="28" t="s">
        <v>135</v>
      </c>
      <c r="J37" s="30" t="n">
        <v>-236</v>
      </c>
      <c r="R37" s="0" t="str">
        <f aca="false">_xlfn.IFS(COUNTIF($G$9:$G$40,A37)=0,"Not in bank",ABS(D37-SUMIF($G$9:$G$40,A37,$J$9:$J$40))&gt;0.5,"Amount differs",TRUE(),"Matched")</f>
        <v>Matched</v>
      </c>
    </row>
    <row r="38" customFormat="false" ht="15" hidden="false" customHeight="false" outlineLevel="0" collapsed="false">
      <c r="A38" s="36" t="s">
        <v>124</v>
      </c>
      <c r="B38" s="37" t="n">
        <v>46105</v>
      </c>
      <c r="C38" s="36" t="s">
        <v>136</v>
      </c>
      <c r="D38" s="38" t="n">
        <v>-100000</v>
      </c>
      <c r="E38" s="46"/>
      <c r="G38" s="36" t="s">
        <v>137</v>
      </c>
      <c r="H38" s="37" t="n">
        <v>46112</v>
      </c>
      <c r="I38" s="36" t="s">
        <v>138</v>
      </c>
      <c r="J38" s="38" t="n">
        <v>4310</v>
      </c>
      <c r="R38" s="0" t="str">
        <f aca="false">_xlfn.IFS(COUNTIF($G$9:$G$40,A38)=0,"Not in bank",ABS(D38-SUMIF($G$9:$G$40,A38,$J$9:$J$40))&gt;0.5,"Amount differs",TRUE(),"Matched")</f>
        <v>Matched</v>
      </c>
    </row>
    <row r="39" customFormat="false" ht="15" hidden="false" customHeight="false" outlineLevel="0" collapsed="false">
      <c r="A39" s="28" t="s">
        <v>139</v>
      </c>
      <c r="B39" s="29" t="n">
        <v>46111</v>
      </c>
      <c r="C39" s="28" t="s">
        <v>140</v>
      </c>
      <c r="D39" s="30" t="n">
        <v>84000</v>
      </c>
      <c r="E39" s="46"/>
      <c r="G39" s="28" t="s">
        <v>117</v>
      </c>
      <c r="H39" s="29" t="n">
        <v>46083</v>
      </c>
      <c r="I39" s="28" t="s">
        <v>141</v>
      </c>
      <c r="J39" s="30" t="n">
        <v>-75000</v>
      </c>
      <c r="R39" s="0" t="str">
        <f aca="false">_xlfn.IFS(COUNTIF($G$9:$G$40,A39)=0,"Not in bank",ABS(D39-SUMIF($G$9:$G$40,A39,$J$9:$J$40))&gt;0.5,"Amount differs",TRUE(),"Matched")</f>
        <v>Not in bank</v>
      </c>
    </row>
    <row r="40" customFormat="false" ht="15" hidden="false" customHeight="false" outlineLevel="0" collapsed="false">
      <c r="A40" s="36" t="s">
        <v>129</v>
      </c>
      <c r="B40" s="37" t="n">
        <v>46102</v>
      </c>
      <c r="C40" s="36" t="s">
        <v>110</v>
      </c>
      <c r="D40" s="38" t="n">
        <v>-233000</v>
      </c>
      <c r="E40" s="46"/>
      <c r="G40" s="36" t="s">
        <v>130</v>
      </c>
      <c r="H40" s="37" t="n">
        <v>46095</v>
      </c>
      <c r="I40" s="36" t="s">
        <v>70</v>
      </c>
      <c r="J40" s="38" t="n">
        <v>195000</v>
      </c>
      <c r="R40" s="0" t="str">
        <f aca="false">_xlfn.IFS(COUNTIF($G$9:$G$40,A40)=0,"Not in bank",ABS(D40-SUMIF($G$9:$G$40,A40,$J$9:$J$40))&gt;0.5,"Amount differs",TRUE(),"Matched")</f>
        <v>Matched</v>
      </c>
    </row>
    <row r="41" customFormat="false" ht="15" hidden="false" customHeight="false" outlineLevel="0" collapsed="false">
      <c r="A41" s="28" t="s">
        <v>58</v>
      </c>
      <c r="B41" s="29" t="n">
        <v>46086</v>
      </c>
      <c r="C41" s="28" t="s">
        <v>142</v>
      </c>
      <c r="D41" s="30" t="n">
        <v>75500</v>
      </c>
      <c r="E41" s="46"/>
      <c r="R41" s="0" t="str">
        <f aca="false">_xlfn.IFS(COUNTIF($G$9:$G$40,A41)=0,"Not in bank",ABS(D41-SUMIF($G$9:$G$40,A41,$J$9:$J$40))&gt;0.5,"Amount differs",TRUE(),"Matched")</f>
        <v>Matched</v>
      </c>
    </row>
    <row r="42" customFormat="false" ht="15" hidden="false" customHeight="false" outlineLevel="0" collapsed="false">
      <c r="A42" s="36" t="s">
        <v>143</v>
      </c>
      <c r="B42" s="37" t="n">
        <v>46112</v>
      </c>
      <c r="C42" s="36" t="s">
        <v>79</v>
      </c>
      <c r="D42" s="38" t="n">
        <v>132500</v>
      </c>
      <c r="E42" s="46"/>
      <c r="R42" s="0" t="str">
        <f aca="false">_xlfn.IFS(COUNTIF($G$9:$G$40,A42)=0,"Not in bank",ABS(D42-SUMIF($G$9:$G$40,A42,$J$9:$J$40))&gt;0.5,"Amount differs",TRUE(),"Matched")</f>
        <v>Not in bank</v>
      </c>
    </row>
  </sheetData>
  <mergeCells count="3">
    <mergeCell ref="A1:P1"/>
    <mergeCell ref="A2:P2"/>
    <mergeCell ref="A3:P5"/>
  </mergeCells>
  <conditionalFormatting sqref="O9:O13">
    <cfRule type="expression" priority="2" aboveAverage="0" equalAverage="0" bottom="0" percent="0" rank="0" text="" dxfId="0">
      <formula>LEFT(O9,1)="✓"</formula>
    </cfRule>
    <cfRule type="expression" priority="3" aboveAverage="0" equalAverage="0" bottom="0" percent="0" rank="0" text="" dxfId="1">
      <formula>LEFT(O9,1)="✗"</formula>
    </cfRule>
    <cfRule type="expression" priority="4" aboveAverage="0" equalAverage="0" bottom="0" percent="0" rank="0" text="" dxfId="2">
      <formula>LEFT(O9,1)="✎"</formula>
    </cfRule>
    <cfRule type="expression" priority="5" aboveAverage="0" equalAverage="0" bottom="0" percent="0" rank="0" text="" dxfId="3">
      <formula>LEFT(O9,1)="◯"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4"/>
    <col collapsed="false" customWidth="true" hidden="false" outlineLevel="0" max="5" min="4" style="0" width="44"/>
    <col collapsed="false" customWidth="true" hidden="false" outlineLevel="0" max="6" min="6" style="0" width="46"/>
  </cols>
  <sheetData>
    <row r="1" customFormat="false" ht="30" hidden="false" customHeight="true" outlineLevel="0" collapsed="false">
      <c r="A1" s="60" t="s">
        <v>225</v>
      </c>
      <c r="B1" s="60"/>
      <c r="C1" s="60"/>
      <c r="D1" s="60"/>
      <c r="E1" s="60"/>
      <c r="F1" s="60"/>
    </row>
    <row r="2" customFormat="false" ht="15" hidden="false" customHeight="false" outlineLevel="0" collapsed="false">
      <c r="A2" s="61" t="s">
        <v>226</v>
      </c>
    </row>
    <row r="4" customFormat="false" ht="21.75" hidden="false" customHeight="true" outlineLevel="0" collapsed="false">
      <c r="A4" s="62" t="s">
        <v>227</v>
      </c>
      <c r="B4" s="62"/>
      <c r="C4" s="62"/>
      <c r="D4" s="62"/>
      <c r="E4" s="62"/>
      <c r="F4" s="62"/>
    </row>
    <row r="5" customFormat="false" ht="15" hidden="false" customHeight="false" outlineLevel="0" collapsed="false">
      <c r="A5" s="63" t="s">
        <v>14</v>
      </c>
      <c r="B5" s="63" t="s">
        <v>40</v>
      </c>
      <c r="C5" s="63" t="s">
        <v>228</v>
      </c>
      <c r="D5" s="63" t="s">
        <v>229</v>
      </c>
      <c r="E5" s="63" t="s">
        <v>230</v>
      </c>
      <c r="F5" s="63" t="s">
        <v>231</v>
      </c>
    </row>
    <row r="6" customFormat="false" ht="30" hidden="false" customHeight="true" outlineLevel="0" collapsed="false">
      <c r="A6" s="64" t="n">
        <v>1</v>
      </c>
      <c r="B6" s="64" t="s">
        <v>48</v>
      </c>
      <c r="C6" s="64" t="s">
        <v>232</v>
      </c>
      <c r="D6" s="65" t="s">
        <v>233</v>
      </c>
      <c r="E6" s="66" t="s">
        <v>234</v>
      </c>
      <c r="F6" s="64" t="s">
        <v>235</v>
      </c>
    </row>
    <row r="7" customFormat="false" ht="30" hidden="false" customHeight="true" outlineLevel="0" collapsed="false">
      <c r="A7" s="64" t="n">
        <v>2</v>
      </c>
      <c r="B7" s="64" t="s">
        <v>54</v>
      </c>
      <c r="C7" s="64" t="s">
        <v>236</v>
      </c>
      <c r="D7" s="65" t="s">
        <v>237</v>
      </c>
      <c r="E7" s="66"/>
      <c r="F7" s="64" t="s">
        <v>238</v>
      </c>
    </row>
    <row r="8" customFormat="false" ht="30" hidden="false" customHeight="true" outlineLevel="0" collapsed="false">
      <c r="A8" s="64" t="n">
        <v>3</v>
      </c>
      <c r="B8" s="64" t="s">
        <v>60</v>
      </c>
      <c r="C8" s="64" t="s">
        <v>239</v>
      </c>
      <c r="D8" s="65" t="s">
        <v>240</v>
      </c>
      <c r="E8" s="66"/>
      <c r="F8" s="64"/>
    </row>
    <row r="9" customFormat="false" ht="30" hidden="false" customHeight="true" outlineLevel="0" collapsed="false">
      <c r="A9" s="64" t="n">
        <v>4</v>
      </c>
      <c r="B9" s="64" t="s">
        <v>65</v>
      </c>
      <c r="C9" s="64" t="s">
        <v>241</v>
      </c>
      <c r="D9" s="65" t="s">
        <v>242</v>
      </c>
      <c r="E9" s="66"/>
      <c r="F9" s="64"/>
    </row>
    <row r="10" customFormat="false" ht="30" hidden="false" customHeight="true" outlineLevel="0" collapsed="false">
      <c r="A10" s="64" t="n">
        <v>5</v>
      </c>
      <c r="B10" s="64" t="s">
        <v>71</v>
      </c>
      <c r="C10" s="64" t="s">
        <v>243</v>
      </c>
      <c r="D10" s="65" t="s">
        <v>244</v>
      </c>
      <c r="E10" s="66"/>
      <c r="F10" s="64" t="s">
        <v>245</v>
      </c>
    </row>
    <row r="11" customFormat="false" ht="30" hidden="false" customHeight="true" outlineLevel="0" collapsed="false">
      <c r="A11" s="64" t="n">
        <v>6</v>
      </c>
      <c r="B11" s="64" t="s">
        <v>77</v>
      </c>
      <c r="C11" s="64" t="s">
        <v>246</v>
      </c>
      <c r="D11" s="65" t="s">
        <v>247</v>
      </c>
      <c r="E11" s="66" t="s">
        <v>248</v>
      </c>
      <c r="F11" s="64"/>
    </row>
    <row r="12" customFormat="false" ht="30" hidden="false" customHeight="true" outlineLevel="0" collapsed="false">
      <c r="A12" s="64" t="n">
        <v>7</v>
      </c>
      <c r="B12" s="64" t="s">
        <v>82</v>
      </c>
      <c r="C12" s="64" t="s">
        <v>249</v>
      </c>
      <c r="D12" s="65" t="s">
        <v>250</v>
      </c>
      <c r="E12" s="66"/>
      <c r="F12" s="64"/>
    </row>
    <row r="14" customFormat="false" ht="21.75" hidden="false" customHeight="true" outlineLevel="0" collapsed="false">
      <c r="A14" s="67" t="s">
        <v>251</v>
      </c>
      <c r="B14" s="67"/>
      <c r="C14" s="67"/>
      <c r="D14" s="67"/>
      <c r="E14" s="67"/>
      <c r="F14" s="67"/>
    </row>
    <row r="15" customFormat="false" ht="15" hidden="false" customHeight="false" outlineLevel="0" collapsed="false">
      <c r="A15" s="63" t="s">
        <v>14</v>
      </c>
      <c r="B15" s="63" t="s">
        <v>40</v>
      </c>
      <c r="C15" s="63" t="s">
        <v>228</v>
      </c>
      <c r="D15" s="63" t="s">
        <v>229</v>
      </c>
      <c r="E15" s="63" t="s">
        <v>230</v>
      </c>
      <c r="F15" s="63" t="s">
        <v>231</v>
      </c>
    </row>
    <row r="16" customFormat="false" ht="42" hidden="false" customHeight="true" outlineLevel="0" collapsed="false">
      <c r="A16" s="64" t="n">
        <v>1</v>
      </c>
      <c r="B16" s="64" t="s">
        <v>148</v>
      </c>
      <c r="C16" s="64" t="s">
        <v>252</v>
      </c>
      <c r="D16" s="65" t="s">
        <v>253</v>
      </c>
      <c r="E16" s="66" t="s">
        <v>254</v>
      </c>
      <c r="F16" s="64" t="s">
        <v>255</v>
      </c>
    </row>
    <row r="17" customFormat="false" ht="30" hidden="false" customHeight="true" outlineLevel="0" collapsed="false">
      <c r="A17" s="64" t="n">
        <v>2</v>
      </c>
      <c r="B17" s="64" t="s">
        <v>151</v>
      </c>
      <c r="C17" s="64" t="s">
        <v>256</v>
      </c>
      <c r="D17" s="65" t="s">
        <v>257</v>
      </c>
      <c r="E17" s="66" t="s">
        <v>258</v>
      </c>
      <c r="F17" s="64"/>
    </row>
    <row r="18" customFormat="false" ht="30" hidden="false" customHeight="true" outlineLevel="0" collapsed="false">
      <c r="A18" s="64" t="n">
        <v>3</v>
      </c>
      <c r="B18" s="64" t="s">
        <v>153</v>
      </c>
      <c r="C18" s="64" t="s">
        <v>259</v>
      </c>
      <c r="D18" s="65" t="s">
        <v>260</v>
      </c>
      <c r="E18" s="66"/>
      <c r="F18" s="64"/>
    </row>
    <row r="19" customFormat="false" ht="42" hidden="false" customHeight="true" outlineLevel="0" collapsed="false">
      <c r="A19" s="64" t="n">
        <v>4</v>
      </c>
      <c r="B19" s="64" t="s">
        <v>155</v>
      </c>
      <c r="C19" s="64" t="s">
        <v>261</v>
      </c>
      <c r="D19" s="65" t="s">
        <v>262</v>
      </c>
      <c r="E19" s="66" t="s">
        <v>263</v>
      </c>
      <c r="F19" s="64" t="s">
        <v>264</v>
      </c>
    </row>
    <row r="20" customFormat="false" ht="30" hidden="false" customHeight="true" outlineLevel="0" collapsed="false">
      <c r="A20" s="64" t="n">
        <v>5</v>
      </c>
      <c r="B20" s="64" t="s">
        <v>157</v>
      </c>
      <c r="C20" s="64" t="s">
        <v>265</v>
      </c>
      <c r="D20" s="65" t="s">
        <v>266</v>
      </c>
      <c r="E20" s="66"/>
      <c r="F20" s="64" t="s">
        <v>267</v>
      </c>
    </row>
    <row r="21" customFormat="false" ht="42" hidden="false" customHeight="true" outlineLevel="0" collapsed="false">
      <c r="A21" s="64" t="n">
        <v>6</v>
      </c>
      <c r="B21" s="64" t="s">
        <v>159</v>
      </c>
      <c r="C21" s="64" t="s">
        <v>268</v>
      </c>
      <c r="D21" s="65" t="s">
        <v>269</v>
      </c>
      <c r="E21" s="66"/>
      <c r="F21" s="64" t="s">
        <v>270</v>
      </c>
    </row>
    <row r="23" customFormat="false" ht="21.75" hidden="false" customHeight="true" outlineLevel="0" collapsed="false">
      <c r="A23" s="67" t="s">
        <v>271</v>
      </c>
      <c r="B23" s="67"/>
      <c r="C23" s="67"/>
      <c r="D23" s="67"/>
      <c r="E23" s="67"/>
      <c r="F23" s="67"/>
    </row>
    <row r="24" customFormat="false" ht="15" hidden="false" customHeight="false" outlineLevel="0" collapsed="false">
      <c r="A24" s="63" t="s">
        <v>14</v>
      </c>
      <c r="B24" s="63" t="s">
        <v>40</v>
      </c>
      <c r="C24" s="63" t="s">
        <v>228</v>
      </c>
      <c r="D24" s="63" t="s">
        <v>229</v>
      </c>
      <c r="E24" s="63" t="s">
        <v>230</v>
      </c>
      <c r="F24" s="63" t="s">
        <v>231</v>
      </c>
    </row>
    <row r="25" customFormat="false" ht="30" hidden="false" customHeight="true" outlineLevel="0" collapsed="false">
      <c r="A25" s="64" t="n">
        <v>1</v>
      </c>
      <c r="B25" s="64" t="s">
        <v>165</v>
      </c>
      <c r="C25" s="64" t="s">
        <v>272</v>
      </c>
      <c r="D25" s="65" t="s">
        <v>273</v>
      </c>
      <c r="E25" s="66"/>
      <c r="F25" s="64"/>
    </row>
    <row r="26" customFormat="false" ht="30" hidden="false" customHeight="true" outlineLevel="0" collapsed="false">
      <c r="A26" s="64" t="n">
        <v>2</v>
      </c>
      <c r="B26" s="64" t="s">
        <v>168</v>
      </c>
      <c r="C26" s="64" t="s">
        <v>256</v>
      </c>
      <c r="D26" s="65" t="s">
        <v>274</v>
      </c>
      <c r="E26" s="66"/>
      <c r="F26" s="64"/>
    </row>
    <row r="27" customFormat="false" ht="30" hidden="false" customHeight="true" outlineLevel="0" collapsed="false">
      <c r="A27" s="64" t="n">
        <v>3</v>
      </c>
      <c r="B27" s="64" t="s">
        <v>170</v>
      </c>
      <c r="C27" s="64" t="s">
        <v>259</v>
      </c>
      <c r="D27" s="65" t="s">
        <v>275</v>
      </c>
      <c r="E27" s="66"/>
      <c r="F27" s="64" t="s">
        <v>276</v>
      </c>
    </row>
    <row r="28" customFormat="false" ht="30" hidden="false" customHeight="true" outlineLevel="0" collapsed="false">
      <c r="A28" s="64" t="n">
        <v>4</v>
      </c>
      <c r="B28" s="64" t="s">
        <v>172</v>
      </c>
      <c r="C28" s="64" t="s">
        <v>261</v>
      </c>
      <c r="D28" s="65" t="s">
        <v>277</v>
      </c>
      <c r="E28" s="66"/>
      <c r="F28" s="64"/>
    </row>
    <row r="29" customFormat="false" ht="30" hidden="false" customHeight="true" outlineLevel="0" collapsed="false">
      <c r="A29" s="64" t="n">
        <v>5</v>
      </c>
      <c r="B29" s="64" t="s">
        <v>174</v>
      </c>
      <c r="C29" s="64" t="s">
        <v>265</v>
      </c>
      <c r="D29" s="65" t="s">
        <v>278</v>
      </c>
      <c r="E29" s="66"/>
      <c r="F29" s="64"/>
    </row>
    <row r="30" customFormat="false" ht="30" hidden="false" customHeight="true" outlineLevel="0" collapsed="false">
      <c r="A30" s="64" t="n">
        <v>6</v>
      </c>
      <c r="B30" s="64" t="s">
        <v>176</v>
      </c>
      <c r="C30" s="64" t="s">
        <v>268</v>
      </c>
      <c r="D30" s="65" t="s">
        <v>279</v>
      </c>
      <c r="E30" s="66" t="s">
        <v>280</v>
      </c>
      <c r="F30" s="64"/>
    </row>
    <row r="32" customFormat="false" ht="21.75" hidden="false" customHeight="true" outlineLevel="0" collapsed="false">
      <c r="A32" s="68" t="s">
        <v>281</v>
      </c>
      <c r="B32" s="68"/>
      <c r="C32" s="68"/>
      <c r="D32" s="68"/>
      <c r="E32" s="68"/>
      <c r="F32" s="68"/>
    </row>
    <row r="33" customFormat="false" ht="15" hidden="false" customHeight="false" outlineLevel="0" collapsed="false">
      <c r="A33" s="63" t="s">
        <v>14</v>
      </c>
      <c r="B33" s="63" t="s">
        <v>40</v>
      </c>
      <c r="C33" s="63" t="s">
        <v>228</v>
      </c>
      <c r="D33" s="63" t="s">
        <v>229</v>
      </c>
      <c r="E33" s="63" t="s">
        <v>230</v>
      </c>
      <c r="F33" s="63" t="s">
        <v>231</v>
      </c>
    </row>
    <row r="34" customFormat="false" ht="55.5" hidden="false" customHeight="true" outlineLevel="0" collapsed="false">
      <c r="A34" s="64" t="n">
        <v>1</v>
      </c>
      <c r="B34" s="64" t="s">
        <v>183</v>
      </c>
      <c r="C34" s="64" t="s">
        <v>252</v>
      </c>
      <c r="D34" s="65" t="s">
        <v>282</v>
      </c>
      <c r="E34" s="66" t="s">
        <v>283</v>
      </c>
      <c r="F34" s="64" t="s">
        <v>284</v>
      </c>
    </row>
    <row r="35" customFormat="false" ht="30" hidden="false" customHeight="true" outlineLevel="0" collapsed="false">
      <c r="A35" s="64" t="n">
        <v>2</v>
      </c>
      <c r="B35" s="64" t="s">
        <v>185</v>
      </c>
      <c r="C35" s="64" t="s">
        <v>285</v>
      </c>
      <c r="D35" s="65" t="s">
        <v>286</v>
      </c>
      <c r="E35" s="66"/>
      <c r="F35" s="64"/>
    </row>
    <row r="36" customFormat="false" ht="42" hidden="false" customHeight="true" outlineLevel="0" collapsed="false">
      <c r="A36" s="64" t="n">
        <v>3</v>
      </c>
      <c r="B36" s="64" t="s">
        <v>188</v>
      </c>
      <c r="C36" s="64" t="s">
        <v>287</v>
      </c>
      <c r="D36" s="65" t="s">
        <v>288</v>
      </c>
      <c r="E36" s="66" t="s">
        <v>289</v>
      </c>
      <c r="F36" s="64" t="s">
        <v>290</v>
      </c>
    </row>
    <row r="37" customFormat="false" ht="42" hidden="false" customHeight="true" outlineLevel="0" collapsed="false">
      <c r="A37" s="64" t="n">
        <v>4</v>
      </c>
      <c r="B37" s="64" t="s">
        <v>190</v>
      </c>
      <c r="C37" s="64" t="s">
        <v>291</v>
      </c>
      <c r="D37" s="65" t="s">
        <v>292</v>
      </c>
      <c r="E37" s="66" t="s">
        <v>293</v>
      </c>
      <c r="F37" s="64"/>
    </row>
    <row r="38" customFormat="false" ht="30" hidden="false" customHeight="true" outlineLevel="0" collapsed="false">
      <c r="A38" s="64" t="n">
        <v>5</v>
      </c>
      <c r="B38" s="64" t="s">
        <v>192</v>
      </c>
      <c r="C38" s="64" t="s">
        <v>294</v>
      </c>
      <c r="D38" s="65" t="s">
        <v>295</v>
      </c>
      <c r="E38" s="66"/>
      <c r="F38" s="64"/>
    </row>
    <row r="40" customFormat="false" ht="21.75" hidden="false" customHeight="true" outlineLevel="0" collapsed="false">
      <c r="A40" s="68" t="s">
        <v>296</v>
      </c>
      <c r="B40" s="68"/>
      <c r="C40" s="68"/>
      <c r="D40" s="68"/>
      <c r="E40" s="68"/>
      <c r="F40" s="68"/>
    </row>
    <row r="41" customFormat="false" ht="15" hidden="false" customHeight="false" outlineLevel="0" collapsed="false">
      <c r="A41" s="63" t="s">
        <v>14</v>
      </c>
      <c r="B41" s="63" t="s">
        <v>40</v>
      </c>
      <c r="C41" s="63" t="s">
        <v>228</v>
      </c>
      <c r="D41" s="63" t="s">
        <v>229</v>
      </c>
      <c r="E41" s="63" t="s">
        <v>230</v>
      </c>
      <c r="F41" s="63" t="s">
        <v>231</v>
      </c>
    </row>
    <row r="42" customFormat="false" ht="30" hidden="false" customHeight="true" outlineLevel="0" collapsed="false">
      <c r="A42" s="64" t="n">
        <v>1</v>
      </c>
      <c r="B42" s="64" t="s">
        <v>197</v>
      </c>
      <c r="C42" s="64" t="s">
        <v>232</v>
      </c>
      <c r="D42" s="65" t="s">
        <v>237</v>
      </c>
      <c r="E42" s="66"/>
      <c r="F42" s="64"/>
    </row>
    <row r="43" customFormat="false" ht="42" hidden="false" customHeight="true" outlineLevel="0" collapsed="false">
      <c r="A43" s="64" t="n">
        <v>2</v>
      </c>
      <c r="B43" s="64" t="s">
        <v>199</v>
      </c>
      <c r="C43" s="64" t="s">
        <v>236</v>
      </c>
      <c r="D43" s="65" t="s">
        <v>297</v>
      </c>
      <c r="E43" s="66"/>
      <c r="F43" s="64" t="s">
        <v>298</v>
      </c>
    </row>
    <row r="44" customFormat="false" ht="30" hidden="false" customHeight="true" outlineLevel="0" collapsed="false">
      <c r="A44" s="64" t="n">
        <v>3</v>
      </c>
      <c r="B44" s="64" t="s">
        <v>201</v>
      </c>
      <c r="C44" s="64" t="s">
        <v>239</v>
      </c>
      <c r="D44" s="65" t="s">
        <v>299</v>
      </c>
      <c r="E44" s="66"/>
      <c r="F44" s="64" t="s">
        <v>300</v>
      </c>
    </row>
    <row r="45" customFormat="false" ht="42" hidden="false" customHeight="true" outlineLevel="0" collapsed="false">
      <c r="A45" s="64" t="n">
        <v>4</v>
      </c>
      <c r="B45" s="64" t="s">
        <v>203</v>
      </c>
      <c r="C45" s="64" t="s">
        <v>241</v>
      </c>
      <c r="D45" s="65" t="s">
        <v>301</v>
      </c>
      <c r="E45" s="66"/>
      <c r="F45" s="64"/>
    </row>
    <row r="46" customFormat="false" ht="42" hidden="false" customHeight="true" outlineLevel="0" collapsed="false">
      <c r="A46" s="64" t="n">
        <v>5</v>
      </c>
      <c r="B46" s="64" t="s">
        <v>205</v>
      </c>
      <c r="C46" s="64" t="s">
        <v>243</v>
      </c>
      <c r="D46" s="65" t="s">
        <v>302</v>
      </c>
      <c r="E46" s="66"/>
      <c r="F46" s="64"/>
    </row>
    <row r="47" customFormat="false" ht="30" hidden="false" customHeight="true" outlineLevel="0" collapsed="false">
      <c r="A47" s="64" t="n">
        <v>6</v>
      </c>
      <c r="B47" s="64" t="s">
        <v>207</v>
      </c>
      <c r="C47" s="64" t="s">
        <v>246</v>
      </c>
      <c r="D47" s="65" t="s">
        <v>208</v>
      </c>
      <c r="E47" s="66"/>
      <c r="F47" s="64" t="s">
        <v>303</v>
      </c>
    </row>
    <row r="48" customFormat="false" ht="42" hidden="false" customHeight="true" outlineLevel="0" collapsed="false">
      <c r="A48" s="64" t="n">
        <v>7</v>
      </c>
      <c r="B48" s="64" t="s">
        <v>209</v>
      </c>
      <c r="C48" s="64" t="s">
        <v>249</v>
      </c>
      <c r="D48" s="65" t="s">
        <v>304</v>
      </c>
      <c r="E48" s="66"/>
      <c r="F48" s="64" t="s">
        <v>305</v>
      </c>
    </row>
    <row r="50" customFormat="false" ht="21.75" hidden="false" customHeight="true" outlineLevel="0" collapsed="false">
      <c r="A50" s="69" t="s">
        <v>306</v>
      </c>
      <c r="B50" s="69"/>
      <c r="C50" s="69"/>
      <c r="D50" s="69"/>
      <c r="E50" s="69"/>
      <c r="F50" s="69"/>
    </row>
    <row r="51" customFormat="false" ht="15" hidden="false" customHeight="false" outlineLevel="0" collapsed="false">
      <c r="A51" s="63" t="s">
        <v>14</v>
      </c>
      <c r="B51" s="63" t="s">
        <v>40</v>
      </c>
      <c r="C51" s="63" t="s">
        <v>228</v>
      </c>
      <c r="D51" s="63" t="s">
        <v>229</v>
      </c>
      <c r="E51" s="63" t="s">
        <v>230</v>
      </c>
      <c r="F51" s="63" t="s">
        <v>231</v>
      </c>
    </row>
    <row r="52" customFormat="false" ht="55.5" hidden="false" customHeight="true" outlineLevel="0" collapsed="false">
      <c r="A52" s="64" t="n">
        <v>1</v>
      </c>
      <c r="B52" s="64" t="s">
        <v>215</v>
      </c>
      <c r="C52" s="64" t="s">
        <v>252</v>
      </c>
      <c r="D52" s="65" t="s">
        <v>307</v>
      </c>
      <c r="E52" s="66" t="s">
        <v>308</v>
      </c>
      <c r="F52" s="64" t="s">
        <v>309</v>
      </c>
    </row>
    <row r="53" customFormat="false" ht="30" hidden="false" customHeight="true" outlineLevel="0" collapsed="false">
      <c r="A53" s="64" t="n">
        <v>2</v>
      </c>
      <c r="B53" s="64" t="s">
        <v>217</v>
      </c>
      <c r="C53" s="64" t="s">
        <v>256</v>
      </c>
      <c r="D53" s="65" t="s">
        <v>310</v>
      </c>
      <c r="E53" s="66"/>
      <c r="F53" s="64"/>
    </row>
    <row r="54" customFormat="false" ht="30" hidden="false" customHeight="true" outlineLevel="0" collapsed="false">
      <c r="A54" s="64" t="n">
        <v>3</v>
      </c>
      <c r="B54" s="64" t="s">
        <v>219</v>
      </c>
      <c r="C54" s="64" t="s">
        <v>259</v>
      </c>
      <c r="D54" s="65" t="s">
        <v>311</v>
      </c>
      <c r="E54" s="66"/>
      <c r="F54" s="64"/>
    </row>
    <row r="55" customFormat="false" ht="42" hidden="false" customHeight="true" outlineLevel="0" collapsed="false">
      <c r="A55" s="64" t="n">
        <v>4</v>
      </c>
      <c r="B55" s="64" t="s">
        <v>221</v>
      </c>
      <c r="C55" s="64" t="s">
        <v>261</v>
      </c>
      <c r="D55" s="65" t="s">
        <v>312</v>
      </c>
      <c r="E55" s="66"/>
      <c r="F55" s="64"/>
    </row>
    <row r="56" customFormat="false" ht="42" hidden="false" customHeight="true" outlineLevel="0" collapsed="false">
      <c r="A56" s="64" t="n">
        <v>5</v>
      </c>
      <c r="B56" s="64" t="s">
        <v>223</v>
      </c>
      <c r="C56" s="64" t="s">
        <v>265</v>
      </c>
      <c r="D56" s="65" t="s">
        <v>313</v>
      </c>
      <c r="E56" s="66"/>
      <c r="F56" s="64" t="s">
        <v>314</v>
      </c>
    </row>
  </sheetData>
  <mergeCells count="7">
    <mergeCell ref="A1:F1"/>
    <mergeCell ref="A4:F4"/>
    <mergeCell ref="A14:F14"/>
    <mergeCell ref="A23:F23"/>
    <mergeCell ref="A32:F32"/>
    <mergeCell ref="A40:F40"/>
    <mergeCell ref="A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2026-09-25T07:00:47Z</dcterms:created>
  <dc:creator>openpyxl</dc:creator>
  <dc:description/>
  <dc:language>en-US</dc:language>
  <cp:lastModifiedBy/>
  <dcterms:modified xsi:type="dcterms:W3CDTF">2026-09-25T07:00:48Z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