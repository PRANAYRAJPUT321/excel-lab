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Vendor Master" sheetId="2" state="visible" r:id="rId4"/>
    <sheet name="L1 VLOOKUP exact match" sheetId="3" state="visible" r:id="rId5"/>
    <sheet name="L2 Approximate match — slabs" sheetId="4" state="visible" r:id="rId6"/>
    <sheet name="L3 INDEX-MATCH and left lookups" sheetId="5" state="visible" r:id="rId7"/>
    <sheet name="L4 Two-way lookup" sheetId="6" state="visible" r:id="rId8"/>
    <sheet name="L5 Error-proof lookups" sheetId="7" state="visible" r:id="rId9"/>
    <sheet name="L6 Boss round — two-condition l" sheetId="8" state="visible" r:id="rId10"/>
    <sheet name="Solution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<sst xmlns="http://schemas.openxmlformats.org/spreadsheetml/2006/main" count="787" uniqueCount="438">
  <si>
    <t xml:space="preserve">EXCEL LAB  ·  02 LOOKUP MASTERY</t>
  </si>
  <si>
    <t xml:space="preserve">VLOOKUP exact and approximate, INDEX-MATCH, two-way lookups, error-proofing and a two-condition boss round — against a real vendor master.</t>
  </si>
  <si>
    <t xml:space="preserve">HOW TO USE THIS WORKBOOK</t>
  </si>
  <si>
    <t xml:space="preserve">Work through the lessons in order — each one is harder than the last (★ to ★★★★★).</t>
  </si>
  <si>
    <t xml:space="preserve">Read the Concept box at the top of each lesson, then look at the data.</t>
  </si>
  <si>
    <t xml:space="preserve">Type a FORMULA in each yellow cell. The Check column marks it ✓ or ✗ instantly.</t>
  </si>
  <si>
    <t xml:space="preserve">Blue cells are inputs. Change them and watch every answer update — that is how you know your formula is really right.</t>
  </si>
  <si>
    <t xml:space="preserve">Stuck? Read the Hint. Still stuck? The Solutions sheet shows the model answer and other ways to do it.</t>
  </si>
  <si>
    <t xml:space="preserve">COLOUR CODE</t>
  </si>
  <si>
    <t xml:space="preserve">Yellow — your answer goes here (always a formula)</t>
  </si>
  <si>
    <t xml:space="preserve">Blue — an input you can change</t>
  </si>
  <si>
    <t xml:space="preserve">✓ Correct — marked automatically</t>
  </si>
  <si>
    <t xml:space="preserve">✗ Check again — the result does not match</t>
  </si>
  <si>
    <t xml:space="preserve">✎ You typed a value — replace it with a formula</t>
  </si>
  <si>
    <t xml:space="preserve">#</t>
  </si>
  <si>
    <t xml:space="preserve">Lesson</t>
  </si>
  <si>
    <t xml:space="preserve">Difficulty</t>
  </si>
  <si>
    <t xml:space="preserve">Tasks</t>
  </si>
  <si>
    <t xml:space="preserve">Solved</t>
  </si>
  <si>
    <t xml:space="preserve">Progress</t>
  </si>
  <si>
    <t xml:space="preserve">L1 VLOOKUP exact match</t>
  </si>
  <si>
    <t xml:space="preserve">★★☆☆☆</t>
  </si>
  <si>
    <t xml:space="preserve">L2 Approximate match — slabs</t>
  </si>
  <si>
    <t xml:space="preserve">★★★☆☆</t>
  </si>
  <si>
    <t xml:space="preserve">L3 INDEX-MATCH and left lookups</t>
  </si>
  <si>
    <t xml:space="preserve">L4 Two-way lookup</t>
  </si>
  <si>
    <t xml:space="preserve">★★★★☆</t>
  </si>
  <si>
    <t xml:space="preserve">L5 Error-proof lookups</t>
  </si>
  <si>
    <t xml:space="preserve">L6 Boss round — two-condition l</t>
  </si>
  <si>
    <t xml:space="preserve">★★★★★</t>
  </si>
  <si>
    <t xml:space="preserve">OVERALL</t>
  </si>
  <si>
    <t xml:space="preserve">Excel Lab — created by Pranay  ·  excel-lab-by-pranay.vercel.app  ·  free for every student</t>
  </si>
  <si>
    <t xml:space="preserve">VENDOR MASTER</t>
  </si>
  <si>
    <t xml:space="preserve">Reference data used by the lessons. Don't edit it unless a lesson asks you to.</t>
  </si>
  <si>
    <t xml:space="preserve">Code</t>
  </si>
  <si>
    <t xml:space="preserve">Vendor</t>
  </si>
  <si>
    <t xml:space="preserve">City</t>
  </si>
  <si>
    <t xml:space="preserve">GSTIN</t>
  </si>
  <si>
    <t xml:space="preserve">Credit Days</t>
  </si>
  <si>
    <t xml:space="preserve">Category</t>
  </si>
  <si>
    <t xml:space="preserve">V001</t>
  </si>
  <si>
    <t xml:space="preserve">Deccan Supplies</t>
  </si>
  <si>
    <t xml:space="preserve">Delhi</t>
  </si>
  <si>
    <t xml:space="preserve">33AABCN4245G1ZV</t>
  </si>
  <si>
    <t xml:space="preserve">Raw material</t>
  </si>
  <si>
    <t xml:space="preserve">V002</t>
  </si>
  <si>
    <t xml:space="preserve">Orbit Systems</t>
  </si>
  <si>
    <t xml:space="preserve">33AABCO1591Q1ZK</t>
  </si>
  <si>
    <t xml:space="preserve">Packaging</t>
  </si>
  <si>
    <t xml:space="preserve">V003</t>
  </si>
  <si>
    <t xml:space="preserve">Sagar Metals</t>
  </si>
  <si>
    <t xml:space="preserve">Surat</t>
  </si>
  <si>
    <t xml:space="preserve">33AABCM6353P1ZE</t>
  </si>
  <si>
    <t xml:space="preserve">Logistics</t>
  </si>
  <si>
    <t xml:space="preserve">V004</t>
  </si>
  <si>
    <t xml:space="preserve">Nandini Foods</t>
  </si>
  <si>
    <t xml:space="preserve">27AABCY5167O1ZP</t>
  </si>
  <si>
    <t xml:space="preserve">Services</t>
  </si>
  <si>
    <t xml:space="preserve">V005</t>
  </si>
  <si>
    <t xml:space="preserve">Bharat Electricals</t>
  </si>
  <si>
    <t xml:space="preserve">Nagpur</t>
  </si>
  <si>
    <t xml:space="preserve">27AABCU2636B1ZM</t>
  </si>
  <si>
    <t xml:space="preserve">V006</t>
  </si>
  <si>
    <t xml:space="preserve">Meera Pharma</t>
  </si>
  <si>
    <t xml:space="preserve">24AABCG3044L1ZE</t>
  </si>
  <si>
    <t xml:space="preserve">V007</t>
  </si>
  <si>
    <t xml:space="preserve">Kiran Agencies</t>
  </si>
  <si>
    <t xml:space="preserve">33AABCJ6745G1ZJ</t>
  </si>
  <si>
    <t xml:space="preserve">V008</t>
  </si>
  <si>
    <t xml:space="preserve">Vaibhav Textiles</t>
  </si>
  <si>
    <t xml:space="preserve">33AABCL1940T1ZG</t>
  </si>
  <si>
    <t xml:space="preserve">V009</t>
  </si>
  <si>
    <t xml:space="preserve">Patel &amp; Co</t>
  </si>
  <si>
    <t xml:space="preserve">Bengaluru</t>
  </si>
  <si>
    <t xml:space="preserve">07AABCL7707F1ZH</t>
  </si>
  <si>
    <t xml:space="preserve">V010</t>
  </si>
  <si>
    <t xml:space="preserve">Nova Industries</t>
  </si>
  <si>
    <t xml:space="preserve">Mumbai</t>
  </si>
  <si>
    <t xml:space="preserve">29AABCG6314A1ZC</t>
  </si>
  <si>
    <t xml:space="preserve">V011</t>
  </si>
  <si>
    <t xml:space="preserve">Shree Enterprises</t>
  </si>
  <si>
    <t xml:space="preserve">07AABCD5717X1ZF</t>
  </si>
  <si>
    <t xml:space="preserve">IT</t>
  </si>
  <si>
    <t xml:space="preserve">V012</t>
  </si>
  <si>
    <t xml:space="preserve">ABC Traders</t>
  </si>
  <si>
    <t xml:space="preserve">Ahmedabad</t>
  </si>
  <si>
    <t xml:space="preserve">33AABCU3111R1ZF</t>
  </si>
  <si>
    <t xml:space="preserve">V013</t>
  </si>
  <si>
    <t xml:space="preserve">Ganesh Logistics</t>
  </si>
  <si>
    <t xml:space="preserve">24AABCB1254F1ZL</t>
  </si>
  <si>
    <t xml:space="preserve">V014</t>
  </si>
  <si>
    <t xml:space="preserve">Sunrise Packaging</t>
  </si>
  <si>
    <t xml:space="preserve">07AABCA9189D1ZG</t>
  </si>
  <si>
    <t xml:space="preserve">V015</t>
  </si>
  <si>
    <t xml:space="preserve">Apex Chemicals</t>
  </si>
  <si>
    <t xml:space="preserve">Pune</t>
  </si>
  <si>
    <t xml:space="preserve">27AABCZ2433P1ZM</t>
  </si>
  <si>
    <t xml:space="preserve">V016</t>
  </si>
  <si>
    <t xml:space="preserve">Lotus Paper Mills</t>
  </si>
  <si>
    <t xml:space="preserve">24AABCG7753O1ZB</t>
  </si>
  <si>
    <t xml:space="preserve">V017</t>
  </si>
  <si>
    <t xml:space="preserve">Metro Freight</t>
  </si>
  <si>
    <t xml:space="preserve">33AABCH4837V1ZP</t>
  </si>
  <si>
    <t xml:space="preserve">V018</t>
  </si>
  <si>
    <t xml:space="preserve">Crystal Glassworks</t>
  </si>
  <si>
    <t xml:space="preserve">27AABCO8696T1ZZ</t>
  </si>
  <si>
    <t xml:space="preserve">V019</t>
  </si>
  <si>
    <t xml:space="preserve">Everest Steel</t>
  </si>
  <si>
    <t xml:space="preserve">07AABCA1693N1ZB</t>
  </si>
  <si>
    <t xml:space="preserve">V020</t>
  </si>
  <si>
    <t xml:space="preserve">Pioneer Plastics</t>
  </si>
  <si>
    <t xml:space="preserve">Chennai</t>
  </si>
  <si>
    <t xml:space="preserve">07AABCM8988L1ZJ</t>
  </si>
  <si>
    <t xml:space="preserve">V021</t>
  </si>
  <si>
    <t xml:space="preserve">Harbour Shipping</t>
  </si>
  <si>
    <t xml:space="preserve">24AABCT9803X1ZY</t>
  </si>
  <si>
    <t xml:space="preserve">V022</t>
  </si>
  <si>
    <t xml:space="preserve">Zenith Software</t>
  </si>
  <si>
    <t xml:space="preserve">33AABCR2950I1ZH</t>
  </si>
  <si>
    <t xml:space="preserve">V023</t>
  </si>
  <si>
    <t xml:space="preserve">Tulip Printers</t>
  </si>
  <si>
    <t xml:space="preserve">07AABCT5563Z1ZH</t>
  </si>
  <si>
    <t xml:space="preserve">V024</t>
  </si>
  <si>
    <t xml:space="preserve">Royal Castings</t>
  </si>
  <si>
    <t xml:space="preserve">33AABCE1853S1ZY</t>
  </si>
  <si>
    <t xml:space="preserve">V025</t>
  </si>
  <si>
    <t xml:space="preserve">Silverline Tools</t>
  </si>
  <si>
    <t xml:space="preserve">33AABCK4894X1ZT</t>
  </si>
  <si>
    <t xml:space="preserve">LESSON 1  ·  VLOOKUP EXACT MATCH</t>
  </si>
  <si>
    <t xml:space="preserve">★★☆☆☆   Pull vendor details from the master into a purchase register.</t>
  </si>
  <si>
    <t xml:space="preserve">CONCEPT  ·  VLOOKUP(what, table, column number, 0) searches the FIRST column of the table and returns a value from the column you name. The final 0 (or FALSE) forces an exact match — never leave it out. The master is on the 'Vendor Master' sheet; its data is A9:F33.</t>
  </si>
  <si>
    <t xml:space="preserve">Bill No</t>
  </si>
  <si>
    <t xml:space="preserve">Amount</t>
  </si>
  <si>
    <t xml:space="preserve">Task</t>
  </si>
  <si>
    <t xml:space="preserve">Your answer</t>
  </si>
  <si>
    <t xml:space="preserve">Check</t>
  </si>
  <si>
    <t xml:space="preserve">Hint</t>
  </si>
  <si>
    <t xml:space="preserve">B-1001</t>
  </si>
  <si>
    <t xml:space="preserve">Fill Vendor: the vendor name for each bill's code.</t>
  </si>
  <si>
    <t xml:space="preserve">→ fill column D</t>
  </si>
  <si>
    <t xml:space="preserve">=VLOOKUP(B9,'Vendor Master'!$A$9:$F$33,2,0) — lock the table with $.</t>
  </si>
  <si>
    <t xml:space="preserve">B-1002</t>
  </si>
  <si>
    <t xml:space="preserve">Fill Credit Days from the master.</t>
  </si>
  <si>
    <t xml:space="preserve">→ fill column E</t>
  </si>
  <si>
    <t xml:space="preserve">Same lookup, column 5.</t>
  </si>
  <si>
    <t xml:space="preserve">B-1003</t>
  </si>
  <si>
    <t xml:space="preserve">Which city is vendor V017 in?</t>
  </si>
  <si>
    <t xml:space="preserve">The lookup value can be typed in quotes.</t>
  </si>
  <si>
    <t xml:space="preserve">B-1004</t>
  </si>
  <si>
    <t xml:space="preserve">Total amount billed by vendors on 45-day credit.</t>
  </si>
  <si>
    <t xml:space="preserve">SUMIF on your Credit Days column.</t>
  </si>
  <si>
    <t xml:space="preserve">B-1005</t>
  </si>
  <si>
    <t xml:space="preserve">B-1006</t>
  </si>
  <si>
    <t xml:space="preserve">B-1007</t>
  </si>
  <si>
    <t xml:space="preserve">B-1008</t>
  </si>
  <si>
    <t xml:space="preserve">B-1009</t>
  </si>
  <si>
    <t xml:space="preserve">B-1010</t>
  </si>
  <si>
    <t xml:space="preserve">B-1011</t>
  </si>
  <si>
    <t xml:space="preserve">B-1012</t>
  </si>
  <si>
    <t xml:space="preserve">B-1013</t>
  </si>
  <si>
    <t xml:space="preserve">B-1014</t>
  </si>
  <si>
    <t xml:space="preserve">B-1015</t>
  </si>
  <si>
    <t xml:space="preserve">B-1016</t>
  </si>
  <si>
    <t xml:space="preserve">B-1017</t>
  </si>
  <si>
    <t xml:space="preserve">B-1018</t>
  </si>
  <si>
    <t xml:space="preserve">B-1019</t>
  </si>
  <si>
    <t xml:space="preserve">B-1020</t>
  </si>
  <si>
    <t xml:space="preserve">B-1021</t>
  </si>
  <si>
    <t xml:space="preserve">B-1022</t>
  </si>
  <si>
    <t xml:space="preserve">B-1023</t>
  </si>
  <si>
    <t xml:space="preserve">B-1024</t>
  </si>
  <si>
    <t xml:space="preserve">B-1025</t>
  </si>
  <si>
    <t xml:space="preserve">LESSON 2  ·  APPROXIMATE MATCH — SLABS</t>
  </si>
  <si>
    <t xml:space="preserve">★★★☆☆   Use a sorted slab table to find commission rates — the same trick powers tax slabs.</t>
  </si>
  <si>
    <t xml:space="preserve">CONCEPT  ·  VLOOKUP with TRUE (or no 4th argument) finds the LARGEST value that is not more than what you're looking for. The first column must be sorted ascending. The slab table is below the tasks, at the right.</t>
  </si>
  <si>
    <t xml:space="preserve">Salesperson</t>
  </si>
  <si>
    <t xml:space="preserve">Sales</t>
  </si>
  <si>
    <t xml:space="preserve">Rate</t>
  </si>
  <si>
    <t xml:space="preserve">Commission</t>
  </si>
  <si>
    <t xml:space="preserve">Aarav</t>
  </si>
  <si>
    <t xml:space="preserve">Fill Rate: the commission rate for each salesperson's sales.</t>
  </si>
  <si>
    <t xml:space="preserve">→ fill column C</t>
  </si>
  <si>
    <t xml:space="preserve">=VLOOKUP(B9,slab table,2,TRUE) — lock the slab table with $.</t>
  </si>
  <si>
    <t xml:space="preserve">Diya</t>
  </si>
  <si>
    <t xml:space="preserve">Fill Commission = Sales × Rate, rounded to whole rupees.</t>
  </si>
  <si>
    <t xml:space="preserve">=ROUND(B9*C9,0)</t>
  </si>
  <si>
    <t xml:space="preserve">Kabir</t>
  </si>
  <si>
    <t xml:space="preserve">Total commission payable.</t>
  </si>
  <si>
    <t xml:space="preserve">SUM your Commission column.</t>
  </si>
  <si>
    <t xml:space="preserve">Ishita</t>
  </si>
  <si>
    <t xml:space="preserve">Commission rate for a sale of exactly ₹2,50,000.</t>
  </si>
  <si>
    <t xml:space="preserve">An exact threshold lands on its own row.</t>
  </si>
  <si>
    <t xml:space="preserve">Rohan</t>
  </si>
  <si>
    <t xml:space="preserve">Meera</t>
  </si>
  <si>
    <t xml:space="preserve">Commission slabs (sorted ascending)</t>
  </si>
  <si>
    <t xml:space="preserve">Arjun</t>
  </si>
  <si>
    <t xml:space="preserve">From</t>
  </si>
  <si>
    <t xml:space="preserve">Sana</t>
  </si>
  <si>
    <t xml:space="preserve">Vikram</t>
  </si>
  <si>
    <t xml:space="preserve">Pooja</t>
  </si>
  <si>
    <t xml:space="preserve">Neel</t>
  </si>
  <si>
    <t xml:space="preserve">Riya</t>
  </si>
  <si>
    <t xml:space="preserve">Kunal</t>
  </si>
  <si>
    <t xml:space="preserve">Tara</t>
  </si>
  <si>
    <t xml:space="preserve">Omkar</t>
  </si>
  <si>
    <t xml:space="preserve">Zoya</t>
  </si>
  <si>
    <t xml:space="preserve">Aditya</t>
  </si>
  <si>
    <t xml:space="preserve">Nisha</t>
  </si>
  <si>
    <t xml:space="preserve">Farhan</t>
  </si>
  <si>
    <t xml:space="preserve">Leela</t>
  </si>
  <si>
    <t xml:space="preserve">LESSON 3  ·  INDEX-MATCH AND LEFT LOOKUPS</t>
  </si>
  <si>
    <t xml:space="preserve">★★★☆☆   Look up in any direction — including to the left, where VLOOKUP can't reach.</t>
  </si>
  <si>
    <t xml:space="preserve">CONCEPT  ·  MATCH(what, list, 0) returns the position of a value. INDEX(list, position) returns the item at that position. Together: INDEX(return column, MATCH(value, search column, 0)). Here you know the vendor NAME and need its CODE, which sits to the left of the name in the master.</t>
  </si>
  <si>
    <t xml:space="preserve">PO No</t>
  </si>
  <si>
    <t xml:space="preserve">PO-501</t>
  </si>
  <si>
    <t xml:space="preserve">Fill Code: the vendor code for each PO's vendor name.</t>
  </si>
  <si>
    <t xml:space="preserve">=INDEX(master Code column, MATCH(B9, master Vendor column, 0))</t>
  </si>
  <si>
    <t xml:space="preserve">PO-502</t>
  </si>
  <si>
    <t xml:space="preserve">Fill GSTIN for each PO's vendor.</t>
  </si>
  <si>
    <t xml:space="preserve">Same MATCH, different INDEX column.</t>
  </si>
  <si>
    <t xml:space="preserve">PO-503</t>
  </si>
  <si>
    <t xml:space="preserve">At what position in the master list does 'Metro Freight' appear?</t>
  </si>
  <si>
    <t xml:space="preserve">MATCH on its own returns a position.</t>
  </si>
  <si>
    <t xml:space="preserve">PO-504</t>
  </si>
  <si>
    <t xml:space="preserve">Category of the vendor on the largest PO.</t>
  </si>
  <si>
    <t xml:space="preserve">First find the vendor with the MAX amount, then look up its category.</t>
  </si>
  <si>
    <t xml:space="preserve">PO-505</t>
  </si>
  <si>
    <t xml:space="preserve">PO-506</t>
  </si>
  <si>
    <t xml:space="preserve">PO-507</t>
  </si>
  <si>
    <t xml:space="preserve">PO-508</t>
  </si>
  <si>
    <t xml:space="preserve">PO-509</t>
  </si>
  <si>
    <t xml:space="preserve">PO-510</t>
  </si>
  <si>
    <t xml:space="preserve">PO-511</t>
  </si>
  <si>
    <t xml:space="preserve">PO-512</t>
  </si>
  <si>
    <t xml:space="preserve">PO-513</t>
  </si>
  <si>
    <t xml:space="preserve">PO-514</t>
  </si>
  <si>
    <t xml:space="preserve">PO-515</t>
  </si>
  <si>
    <t xml:space="preserve">PO-516</t>
  </si>
  <si>
    <t xml:space="preserve">PO-517</t>
  </si>
  <si>
    <t xml:space="preserve">PO-518</t>
  </si>
  <si>
    <t xml:space="preserve">PO-519</t>
  </si>
  <si>
    <t xml:space="preserve">PO-520</t>
  </si>
  <si>
    <t xml:space="preserve">LESSON 4  ·  TWO-WAY LOOKUP</t>
  </si>
  <si>
    <t xml:space="preserve">★★★★☆   Find a value where a row and a column meet — the rate-card lookup.</t>
  </si>
  <si>
    <t xml:space="preserve">CONCEPT  ·  INDEX(table, row number, column number) returns the cell where they cross. Use one MATCH for the row (product) and another for the column (region): INDEX(body, MATCH(product, products, 0), MATCH(region, regions, 0)).</t>
  </si>
  <si>
    <t xml:space="preserve">Order</t>
  </si>
  <si>
    <t xml:space="preserve">Product</t>
  </si>
  <si>
    <t xml:space="preserve">Region</t>
  </si>
  <si>
    <t xml:space="preserve">Qty</t>
  </si>
  <si>
    <t xml:space="preserve">Value</t>
  </si>
  <si>
    <t xml:space="preserve">ORD-001</t>
  </si>
  <si>
    <t xml:space="preserve">P3</t>
  </si>
  <si>
    <t xml:space="preserve">South</t>
  </si>
  <si>
    <t xml:space="preserve">Fill Rate: the price for each order's product and region.</t>
  </si>
  <si>
    <t xml:space="preserve">INDEX(rate body, MATCH(B9,products,0), MATCH(C9,region headers,0))</t>
  </si>
  <si>
    <t xml:space="preserve">ORD-002</t>
  </si>
  <si>
    <t xml:space="preserve">P2</t>
  </si>
  <si>
    <t xml:space="preserve">East</t>
  </si>
  <si>
    <t xml:space="preserve">Fill Value = Qty × Rate.</t>
  </si>
  <si>
    <t xml:space="preserve">→ fill column F</t>
  </si>
  <si>
    <t xml:space="preserve">=D9*E9</t>
  </si>
  <si>
    <t xml:space="preserve">ORD-003</t>
  </si>
  <si>
    <t xml:space="preserve">P4</t>
  </si>
  <si>
    <t xml:space="preserve">Total value of all orders.</t>
  </si>
  <si>
    <t xml:space="preserve">SUM your Value column.</t>
  </si>
  <si>
    <t xml:space="preserve">ORD-004</t>
  </si>
  <si>
    <t xml:space="preserve">Rate for product P3 in the East region.</t>
  </si>
  <si>
    <t xml:space="preserve">Type the product and region in quotes.</t>
  </si>
  <si>
    <t xml:space="preserve">ORD-005</t>
  </si>
  <si>
    <t xml:space="preserve">West</t>
  </si>
  <si>
    <t xml:space="preserve">ORD-006</t>
  </si>
  <si>
    <t xml:space="preserve">P5</t>
  </si>
  <si>
    <t xml:space="preserve">Rate card (₹ per unit)</t>
  </si>
  <si>
    <t xml:space="preserve">ORD-007</t>
  </si>
  <si>
    <t xml:space="preserve">P1</t>
  </si>
  <si>
    <t xml:space="preserve">North</t>
  </si>
  <si>
    <t xml:space="preserve">ORD-008</t>
  </si>
  <si>
    <t xml:space="preserve">ORD-009</t>
  </si>
  <si>
    <t xml:space="preserve">ORD-010</t>
  </si>
  <si>
    <t xml:space="preserve">ORD-011</t>
  </si>
  <si>
    <t xml:space="preserve">ORD-012</t>
  </si>
  <si>
    <t xml:space="preserve">ORD-013</t>
  </si>
  <si>
    <t xml:space="preserve">ORD-014</t>
  </si>
  <si>
    <t xml:space="preserve">ORD-015</t>
  </si>
  <si>
    <t xml:space="preserve">ORD-016</t>
  </si>
  <si>
    <t xml:space="preserve">ORD-017</t>
  </si>
  <si>
    <t xml:space="preserve">ORD-018</t>
  </si>
  <si>
    <t xml:space="preserve">ORD-019</t>
  </si>
  <si>
    <t xml:space="preserve">ORD-020</t>
  </si>
  <si>
    <t xml:space="preserve">ORD-021</t>
  </si>
  <si>
    <t xml:space="preserve">ORD-022</t>
  </si>
  <si>
    <t xml:space="preserve">ORD-023</t>
  </si>
  <si>
    <t xml:space="preserve">ORD-024</t>
  </si>
  <si>
    <t xml:space="preserve">ORD-025</t>
  </si>
  <si>
    <t xml:space="preserve">LESSON 5  ·  ERROR-PROOF LOOKUPS</t>
  </si>
  <si>
    <t xml:space="preserve">★★★★☆   Handle codes that aren't in the master — and count them, because that's the finding.</t>
  </si>
  <si>
    <t xml:space="preserve">CONCEPT  ·  A lookup that finds nothing returns #N/A. IFERROR(formula, "Not in master") swaps any error for your text; IFNA does the same only for #N/A, so real mistakes stay visible. ISNA(MATCH(…)) is TRUE when a value is missing — perfect for counting exceptions.</t>
  </si>
  <si>
    <t xml:space="preserve">B-2001</t>
  </si>
  <si>
    <t xml:space="preserve">Fill Vendor, showing "Not in master" when the code is missing.</t>
  </si>
  <si>
    <t xml:space="preserve">Wrap the VLOOKUP in IFERROR(…,"Not in master").</t>
  </si>
  <si>
    <t xml:space="preserve">B-2002</t>
  </si>
  <si>
    <t xml:space="preserve">How many bills have a code that isn't in the master?</t>
  </si>
  <si>
    <t xml:space="preserve">COUNTIF on your Vendor column.</t>
  </si>
  <si>
    <t xml:space="preserve">B-2003</t>
  </si>
  <si>
    <t xml:space="preserve">Total amount of those unmatched bills.</t>
  </si>
  <si>
    <t xml:space="preserve">SUMIF with the same label.</t>
  </si>
  <si>
    <t xml:space="preserve">B-2004</t>
  </si>
  <si>
    <t xml:space="preserve">V031</t>
  </si>
  <si>
    <t xml:space="preserve">Credit days for code V099 — show 0 if it's missing.</t>
  </si>
  <si>
    <t xml:space="preserve">IFNA(…,0)</t>
  </si>
  <si>
    <t xml:space="preserve">B-2005</t>
  </si>
  <si>
    <t xml:space="preserve">B-2006</t>
  </si>
  <si>
    <t xml:space="preserve">B-2007</t>
  </si>
  <si>
    <t xml:space="preserve">B-2008</t>
  </si>
  <si>
    <t xml:space="preserve">B-2009</t>
  </si>
  <si>
    <t xml:space="preserve">B-2010</t>
  </si>
  <si>
    <t xml:space="preserve">V040</t>
  </si>
  <si>
    <t xml:space="preserve">B-2011</t>
  </si>
  <si>
    <t xml:space="preserve">B-2012</t>
  </si>
  <si>
    <t xml:space="preserve">B-2013</t>
  </si>
  <si>
    <t xml:space="preserve">B-2014</t>
  </si>
  <si>
    <t xml:space="preserve">B-2015</t>
  </si>
  <si>
    <t xml:space="preserve">B-2016</t>
  </si>
  <si>
    <t xml:space="preserve">V099</t>
  </si>
  <si>
    <t xml:space="preserve">B-2017</t>
  </si>
  <si>
    <t xml:space="preserve">B-2018</t>
  </si>
  <si>
    <t xml:space="preserve">B-2019</t>
  </si>
  <si>
    <t xml:space="preserve">B-2020</t>
  </si>
  <si>
    <t xml:space="preserve">B-2021</t>
  </si>
  <si>
    <t xml:space="preserve">B-2022</t>
  </si>
  <si>
    <t xml:space="preserve">V077</t>
  </si>
  <si>
    <t xml:space="preserve">B-2023</t>
  </si>
  <si>
    <t xml:space="preserve">B-2024</t>
  </si>
  <si>
    <t xml:space="preserve">B-2025</t>
  </si>
  <si>
    <t xml:space="preserve">LESSON 6  ·  BOSS ROUND — TWO-CONDITION LOOKUP</t>
  </si>
  <si>
    <t xml:space="preserve">★★★★★   The price depends on product AND size. Find it without rearranging the price list.</t>
  </si>
  <si>
    <t xml:space="preserve">CONCEPT  ·  Three routes: (1) a helper key column Product&amp;"|"&amp;Size on both sides; (2) SUMIFS as a lookup when each combination is unique; (3) INDEX(Price, MATCH(1,(Product=x)*(Size=y),0)) — array logic, where multiplying two tests means AND.</t>
  </si>
  <si>
    <t xml:space="preserve">Size</t>
  </si>
  <si>
    <t xml:space="preserve">Price</t>
  </si>
  <si>
    <t xml:space="preserve">SO-001</t>
  </si>
  <si>
    <t xml:space="preserve">Shirt</t>
  </si>
  <si>
    <t xml:space="preserve">M</t>
  </si>
  <si>
    <t xml:space="preserve">Fill Price for each order's product and size.</t>
  </si>
  <si>
    <t xml:space="preserve">SUMIFS(price column, product column, B9, size column, C9)</t>
  </si>
  <si>
    <t xml:space="preserve">SO-002</t>
  </si>
  <si>
    <t xml:space="preserve">Jacket</t>
  </si>
  <si>
    <t xml:space="preserve">L</t>
  </si>
  <si>
    <t xml:space="preserve">Fill Value = Qty × Price.</t>
  </si>
  <si>
    <t xml:space="preserve">SO-003</t>
  </si>
  <si>
    <t xml:space="preserve">Total order value.</t>
  </si>
  <si>
    <t xml:space="preserve">SO-004</t>
  </si>
  <si>
    <t xml:space="preserve">S</t>
  </si>
  <si>
    <t xml:space="preserve">How many units of size L were ordered in total?</t>
  </si>
  <si>
    <t xml:space="preserve">SUMIF on size.</t>
  </si>
  <si>
    <t xml:space="preserve">SO-005</t>
  </si>
  <si>
    <t xml:space="preserve">Kurta</t>
  </si>
  <si>
    <t xml:space="preserve">SO-006</t>
  </si>
  <si>
    <t xml:space="preserve">Price list (unique product + size)</t>
  </si>
  <si>
    <t xml:space="preserve">SO-007</t>
  </si>
  <si>
    <t xml:space="preserve">SO-008</t>
  </si>
  <si>
    <t xml:space="preserve">SO-009</t>
  </si>
  <si>
    <t xml:space="preserve">SO-010</t>
  </si>
  <si>
    <t xml:space="preserve">SO-011</t>
  </si>
  <si>
    <t xml:space="preserve">Trouser</t>
  </si>
  <si>
    <t xml:space="preserve">SO-012</t>
  </si>
  <si>
    <t xml:space="preserve">SO-013</t>
  </si>
  <si>
    <t xml:space="preserve">SO-014</t>
  </si>
  <si>
    <t xml:space="preserve">SO-015</t>
  </si>
  <si>
    <t xml:space="preserve">SO-016</t>
  </si>
  <si>
    <t xml:space="preserve">SO-017</t>
  </si>
  <si>
    <t xml:space="preserve">SO-018</t>
  </si>
  <si>
    <t xml:space="preserve">SO-019</t>
  </si>
  <si>
    <t xml:space="preserve">SO-020</t>
  </si>
  <si>
    <t xml:space="preserve">SO-021</t>
  </si>
  <si>
    <t xml:space="preserve">SO-022</t>
  </si>
  <si>
    <t xml:space="preserve">SO-023</t>
  </si>
  <si>
    <t xml:space="preserve">SO-024</t>
  </si>
  <si>
    <t xml:space="preserve">SO-025</t>
  </si>
  <si>
    <t xml:space="preserve">SOLUTIONS &amp; OTHER WAYS — open only after you have tried</t>
  </si>
  <si>
    <t xml:space="preserve">Model answers are shapes, not the only answer. If your formula gives the same result, it is right — compare the logic.</t>
  </si>
  <si>
    <t xml:space="preserve">L1 VLOOKUP exact match   ★★</t>
  </si>
  <si>
    <t xml:space="preserve">Answer cell</t>
  </si>
  <si>
    <t xml:space="preserve">Model formula</t>
  </si>
  <si>
    <t xml:space="preserve">Other ways</t>
  </si>
  <si>
    <t xml:space="preserve">Why it works</t>
  </si>
  <si>
    <t xml:space="preserve">column D</t>
  </si>
  <si>
    <t xml:space="preserve">=VLOOKUP(B9,'Vendor Master'!$A$9:$F$33,2,0)   (row 9, then fill down)</t>
  </si>
  <si>
    <t xml:space="preserve">=INDEX('Vendor Master'!$B$9:$B$33,MATCH(B9,'Vendor Master'!$A$9:$A$33,0))
=XLOOKUP(B9,'Vendor Master'!A9:A33,'Vendor Master'!B9:B33)</t>
  </si>
  <si>
    <t xml:space="preserve">Column 2 of the table is Vendor.</t>
  </si>
  <si>
    <t xml:space="preserve">column E</t>
  </si>
  <si>
    <t xml:space="preserve">=VLOOKUP(B9,'Vendor Master'!$A$9:$F$33,5,0)   (row 9, then fill down)</t>
  </si>
  <si>
    <t xml:space="preserve">I11</t>
  </si>
  <si>
    <t xml:space="preserve">=VLOOKUP("V017",'Vendor Master'!$A$9:$F$33,3,0)</t>
  </si>
  <si>
    <t xml:space="preserve">I12</t>
  </si>
  <si>
    <t xml:space="preserve">=SUMIF($E$9:$E$33,45,$C$9:$C$33)</t>
  </si>
  <si>
    <t xml:space="preserve">L2 Approximate match — slabs   ★★★</t>
  </si>
  <si>
    <t xml:space="preserve">column C</t>
  </si>
  <si>
    <t xml:space="preserve">=VLOOKUP(B9,$G$16:$H$20,2,TRUE)   (row 9, then fill down)</t>
  </si>
  <si>
    <t xml:space="preserve">=LOOKUP(B9,From column,Rate column)
=INDEX(Rate,MATCH(B9,From,1))</t>
  </si>
  <si>
    <t xml:space="preserve">3,00,000 isn't in the table; approximate match picks the 2,50,000 row.</t>
  </si>
  <si>
    <t xml:space="preserve">=ROUND(B9*C9,0)   (row 9, then fill down)</t>
  </si>
  <si>
    <t xml:space="preserve">H11</t>
  </si>
  <si>
    <t xml:space="preserve">=SUM($D$9:$D$28)</t>
  </si>
  <si>
    <t xml:space="preserve">H12</t>
  </si>
  <si>
    <t xml:space="preserve">=VLOOKUP(250000,$G$16:$H$20,2,TRUE)</t>
  </si>
  <si>
    <t xml:space="preserve">L3 INDEX-MATCH and left lookups   ★★★</t>
  </si>
  <si>
    <t xml:space="preserve">=INDEX('Vendor Master'!$A$9:$A$33,MATCH(B9,'Vendor Master'!$B$9:$B$33,0))   (row 9, then fill down)</t>
  </si>
  <si>
    <t xml:space="preserve">=XLOOKUP(B9,'Vendor Master'!B9:B33,'Vendor Master'!A9:A33)</t>
  </si>
  <si>
    <t xml:space="preserve">VLOOKUP only returns columns to the RIGHT of the search column.</t>
  </si>
  <si>
    <t xml:space="preserve">=INDEX('Vendor Master'!$D$9:$D$33,MATCH(B9,'Vendor Master'!$B$9:$B$33,0))   (row 9, then fill down)</t>
  </si>
  <si>
    <t xml:space="preserve">=MATCH("Metro Freight",'Vendor Master'!$B$9:$B$33,0)</t>
  </si>
  <si>
    <t xml:space="preserve">=INDEX('Vendor Master'!$F$9:$F$33,MATCH(INDEX($B$9:$B$28,MATCH(MAX($C$9:$C$28),$C$9:$C$28,0)),'Vendor Master'!$B$9:$B$33,0))</t>
  </si>
  <si>
    <t xml:space="preserve">Nesting one lookup inside another is normal — build it in two cells first if it helps.</t>
  </si>
  <si>
    <t xml:space="preserve">L4 Two-way lookup   ★★★★</t>
  </si>
  <si>
    <t xml:space="preserve">=INDEX($J$16:$M$20,MATCH(B9,$I$16:$I$20,0),MATCH(C9,$J$15:$M$15,0))   (row 9, then fill down)</t>
  </si>
  <si>
    <t xml:space="preserve">=XLOOKUP(C9,regions,XLOOKUP(B9,products,body))
=SUMIFS(INDEX(body,0,MATCH(C9,regions,0)),products,B9)</t>
  </si>
  <si>
    <t xml:space="preserve">Two MATCHes give the coordinates; INDEX reads the crossing cell.</t>
  </si>
  <si>
    <t xml:space="preserve">column F</t>
  </si>
  <si>
    <t xml:space="preserve">=D9*E9   (row 9, then fill down)</t>
  </si>
  <si>
    <t xml:space="preserve">J11</t>
  </si>
  <si>
    <t xml:space="preserve">=SUM($F$9:$F$33)</t>
  </si>
  <si>
    <t xml:space="preserve">J12</t>
  </si>
  <si>
    <t xml:space="preserve">=INDEX($J$16:$M$20,MATCH("P3",$I$16:$I$20,0),MATCH("East",$J$15:$M$15,0))</t>
  </si>
  <si>
    <t xml:space="preserve">L5 Error-proof lookups   ★★★★</t>
  </si>
  <si>
    <t xml:space="preserve">=IFERROR(VLOOKUP(B9,'Vendor Master'!$A$9:$F$33,2,0),"Not in master")   (row 9, then fill down)</t>
  </si>
  <si>
    <t xml:space="preserve">=IFNA(VLOOKUP(B9,…,2,0),"Not in master")
=XLOOKUP(B9,codes,names,"Not in master")</t>
  </si>
  <si>
    <t xml:space="preserve">The exceptions are the audit finding — label them, don't hide them.</t>
  </si>
  <si>
    <t xml:space="preserve">H10</t>
  </si>
  <si>
    <t xml:space="preserve">=COUNTIF($D$9:$D$33,"Not in master")</t>
  </si>
  <si>
    <t xml:space="preserve">=SUMPRODUCT(--ISNA(MATCH(B9:B33,'Vendor Master'!A9:A33,0)))</t>
  </si>
  <si>
    <t xml:space="preserve">=SUMIF($D$9:$D$33,"Not in master",$C$9:$C$33)</t>
  </si>
  <si>
    <t xml:space="preserve">=IFNA(VLOOKUP("V099",'Vendor Master'!$A$9:$F$33,5,0),0)</t>
  </si>
  <si>
    <t xml:space="preserve">=IFERROR(VLOOKUP("V099",…,5,0),0)</t>
  </si>
  <si>
    <t xml:space="preserve">L6 Boss round — two-condition l   ★★★★★</t>
  </si>
  <si>
    <t xml:space="preserve">=SUMIFS(Price,Product,B9,Size,C9)</t>
  </si>
  <si>
    <t xml:space="preserve">=INDEX(Price,MATCH(1,(ProductCol=B9)*(SizeCol=C9),0))
=XLOOKUP(B9&amp;"|"&amp;C9,ProductCol&amp;"|"&amp;SizeCol,Price)
Helper key =B9&amp;"|"&amp;C9 on both sides + VLOOKUP</t>
  </si>
  <si>
    <t xml:space="preserve">Each product-size pair appears once, so the 'sum' of matching prices is just the price.</t>
  </si>
  <si>
    <t xml:space="preserve">=SUMIF($C$9:$C$33,"L",$D$9:$D$33)</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</si>
</sst>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General"/>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1E293B"/>
      <name val="Arial"/>
      <family val="0"/>
      <charset val="1"/>
    </font>
    <font>
      <b val="true"/>
      <sz val="11"/>
      <color rgb="FF0A76A7"/>
      <name val="Arial"/>
      <family val="0"/>
      <charset val="1"/>
    </font>
    <font>
      <b val="true"/>
      <sz val="10"/>
      <color rgb="FF0EA5E9"/>
      <name val="Arial"/>
      <family val="0"/>
      <charset val="1"/>
    </font>
    <font>
      <b val="true"/>
      <sz val="10"/>
      <color rgb="FFFFFFFF"/>
      <name val="Arial"/>
      <family val="0"/>
      <charset val="1"/>
    </font>
    <font>
      <b val="true"/>
      <sz val="10"/>
      <color rgb="FF1E293B"/>
      <name val="Arial"/>
      <family val="0"/>
      <charset val="1"/>
    </font>
    <font>
      <b val="true"/>
      <sz val="10"/>
      <color rgb="FF1D4ED8"/>
      <name val="Arial"/>
      <family val="0"/>
      <charset val="1"/>
    </font>
    <font>
      <b val="true"/>
      <sz val="10"/>
      <color rgb="FFD97706"/>
      <name val="Arial"/>
      <family val="0"/>
      <charset val="1"/>
    </font>
    <font>
      <b val="true"/>
      <sz val="9"/>
      <color rgb="FF64748B"/>
      <name val="Arial"/>
      <family val="0"/>
      <charset val="1"/>
    </font>
    <font>
      <b val="true"/>
      <sz val="14"/>
      <color rgb="FFFFFFFF"/>
      <name val="Arial"/>
      <family val="0"/>
      <charset val="1"/>
    </font>
    <font>
      <i val="true"/>
      <sz val="9"/>
      <color rgb="FF64748B"/>
      <name val="Arial"/>
      <family val="0"/>
      <charset val="1"/>
    </font>
    <font>
      <b val="true"/>
      <sz val="15"/>
      <color rgb="FFFFFFFF"/>
      <name val="Arial"/>
      <family val="0"/>
      <charset val="1"/>
    </font>
    <font>
      <b val="true"/>
      <sz val="10"/>
      <color rgb="FF0E8477"/>
      <name val="Arial"/>
      <family val="0"/>
      <charset val="1"/>
    </font>
    <font>
      <b val="true"/>
      <sz val="9"/>
      <color rgb="FF92400E"/>
      <name val="Arial"/>
      <family val="0"/>
      <charset val="1"/>
    </font>
    <font>
      <b val="true"/>
      <sz val="11"/>
      <color rgb="FF1E293B"/>
      <name val="Arial"/>
      <family val="0"/>
      <charset val="1"/>
    </font>
    <font>
      <b val="true"/>
      <sz val="10"/>
      <color rgb="FF2A5DB1"/>
      <name val="Arial"/>
      <family val="0"/>
      <charset val="1"/>
    </font>
    <font>
      <b val="true"/>
      <sz val="10"/>
      <color rgb="FF6442B1"/>
      <name val="Arial"/>
      <family val="0"/>
      <charset val="1"/>
    </font>
    <font>
      <b val="true"/>
      <sz val="10"/>
      <color rgb="FFA21433"/>
      <name val="Arial"/>
      <family val="0"/>
      <charset val="1"/>
    </font>
    <font>
      <b val="true"/>
      <sz val="11"/>
      <color rgb="FFFFFFFF"/>
      <name val="Arial"/>
      <family val="0"/>
      <charset val="1"/>
    </font>
    <font>
      <b val="true"/>
      <sz val="10"/>
      <color rgb="FF1E293B"/>
      <name val="Consolas"/>
      <family val="0"/>
      <charset val="1"/>
    </font>
    <font>
      <sz val="10"/>
      <color rgb="FF1E293B"/>
      <name val="Consolas"/>
      <family val="0"/>
      <charset val="1"/>
    </font>
  </fonts>
  <fills count="27">
    <fill>
      <patternFill patternType="none"/>
    </fill>
    <fill>
      <patternFill patternType="gray125"/>
    </fill>
    <fill>
      <patternFill patternType="solid">
        <fgColor rgb="FF0EA5E9"/>
        <bgColor rgb="FF14B8A6"/>
      </patternFill>
    </fill>
    <fill>
      <patternFill patternType="solid">
        <fgColor rgb="FFFFF3B0"/>
        <bgColor rgb="FFFEF3C7"/>
      </patternFill>
    </fill>
    <fill>
      <patternFill patternType="solid">
        <fgColor rgb="FFDBEAFE"/>
        <bgColor rgb="FFEBF2FE"/>
      </patternFill>
    </fill>
    <fill>
      <patternFill patternType="solid">
        <fgColor rgb="FFD1FAE5"/>
        <bgColor rgb="FFE7F7F6"/>
      </patternFill>
    </fill>
    <fill>
      <patternFill patternType="solid">
        <fgColor rgb="FFFEE2E2"/>
        <bgColor rgb="FFFCE8EC"/>
      </patternFill>
    </fill>
    <fill>
      <patternFill patternType="solid">
        <fgColor rgb="FFFEF3C7"/>
        <bgColor rgb="FFFFF3B0"/>
      </patternFill>
    </fill>
    <fill>
      <patternFill patternType="solid">
        <fgColor rgb="FF0A76A7"/>
        <bgColor rgb="FF0E8477"/>
      </patternFill>
    </fill>
    <fill>
      <patternFill patternType="solid">
        <fgColor rgb="FF334155"/>
        <bgColor rgb="FF475569"/>
      </patternFill>
    </fill>
    <fill>
      <patternFill patternType="solid">
        <fgColor rgb="FFF8FAFC"/>
        <bgColor rgb="FFFFFFFF"/>
      </patternFill>
    </fill>
    <fill>
      <patternFill patternType="solid">
        <fgColor rgb="FF14B8A6"/>
        <bgColor rgb="FF0EA5E9"/>
      </patternFill>
    </fill>
    <fill>
      <patternFill patternType="solid">
        <fgColor rgb="FFE7F7F6"/>
        <bgColor rgb="FFEBF2FE"/>
      </patternFill>
    </fill>
    <fill>
      <patternFill patternType="solid">
        <fgColor rgb="FF0F172A"/>
        <bgColor rgb="FF1E293B"/>
      </patternFill>
    </fill>
    <fill>
      <patternFill patternType="solid">
        <fgColor rgb="FFF59E0B"/>
        <bgColor rgb="FFD97706"/>
      </patternFill>
    </fill>
    <fill>
      <patternFill patternType="solid">
        <fgColor rgb="FF0E8477"/>
        <bgColor rgb="FF0A76A7"/>
      </patternFill>
    </fill>
    <fill>
      <patternFill patternType="solid">
        <fgColor rgb="FF3B82F6"/>
        <bgColor rgb="FF0EA5E9"/>
      </patternFill>
    </fill>
    <fill>
      <patternFill patternType="solid">
        <fgColor rgb="FFEBF2FE"/>
        <bgColor rgb="FFF1F5F9"/>
      </patternFill>
    </fill>
    <fill>
      <patternFill patternType="solid">
        <fgColor rgb="FF2A5DB1"/>
        <bgColor rgb="FF1D4ED8"/>
      </patternFill>
    </fill>
    <fill>
      <patternFill patternType="solid">
        <fgColor rgb="FF475569"/>
        <bgColor rgb="FF334155"/>
      </patternFill>
    </fill>
    <fill>
      <patternFill patternType="solid">
        <fgColor rgb="FFF1F5F9"/>
        <bgColor rgb="FFEBF2FE"/>
      </patternFill>
    </fill>
    <fill>
      <patternFill patternType="solid">
        <fgColor rgb="FF8B5CF6"/>
        <bgColor rgb="FF6442B1"/>
      </patternFill>
    </fill>
    <fill>
      <patternFill patternType="solid">
        <fgColor rgb="FFF3EEFE"/>
        <bgColor rgb="FFEBF2FE"/>
      </patternFill>
    </fill>
    <fill>
      <patternFill patternType="solid">
        <fgColor rgb="FF6442B1"/>
        <bgColor rgb="FF475569"/>
      </patternFill>
    </fill>
    <fill>
      <patternFill patternType="solid">
        <fgColor rgb="FFE11D48"/>
        <bgColor rgb="FFA21433"/>
      </patternFill>
    </fill>
    <fill>
      <patternFill patternType="solid">
        <fgColor rgb="FFFCE8EC"/>
        <bgColor rgb="FFFEE2E2"/>
      </patternFill>
    </fill>
    <fill>
      <patternFill patternType="solid">
        <fgColor rgb="FFA21433"/>
        <bgColor rgb="FF991B1B"/>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F59E0B"/>
      </left>
      <right style="medium">
        <color rgb="FFF59E0B"/>
      </right>
      <top style="medium">
        <color rgb="FFF59E0B"/>
      </top>
      <bottom style="medium">
        <color rgb="FFF59E0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false" applyProtection="false">
      <alignment horizontal="general" vertical="bottom" textRotation="0" wrapText="false" indent="0" shrinkToFit="false"/>
      <protection locked="true" hidden="false"/>
    </xf>
    <xf numFmtId="165" fontId="5" fillId="10" borderId="1" xfId="0" applyFont="true" applyBorder="true" applyAlignment="false" applyProtection="false">
      <alignment horizontal="general" vertical="bottom" textRotation="0" wrapText="false" indent="0" shrinkToFit="false"/>
      <protection locked="true" hidden="false"/>
    </xf>
    <xf numFmtId="164" fontId="15" fillId="11" borderId="0" xfId="0" applyFont="true" applyBorder="true" applyAlignment="true" applyProtection="false">
      <alignment horizontal="general" vertical="center" textRotation="0" wrapText="false" indent="1" shrinkToFit="false"/>
      <protection locked="true" hidden="false"/>
    </xf>
    <xf numFmtId="164" fontId="16" fillId="0" borderId="0" xfId="0" applyFont="true" applyBorder="true" applyAlignment="true" applyProtection="false">
      <alignment horizontal="general" vertical="center" textRotation="0" wrapText="false" indent="1" shrinkToFit="false"/>
      <protection locked="true" hidden="false"/>
    </xf>
    <xf numFmtId="164" fontId="5" fillId="12" borderId="0" xfId="0" applyFont="true" applyBorder="true" applyAlignment="true" applyProtection="false">
      <alignment horizontal="general" vertical="top" textRotation="0" wrapText="true" indent="1"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5" fillId="10" borderId="1" xfId="0" applyFont="true" applyBorder="true" applyAlignment="false" applyProtection="false">
      <alignment horizontal="general" vertical="bottom"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7" fontId="18" fillId="3" borderId="2" xfId="0" applyFont="true" applyBorder="true" applyAlignment="true" applyProtection="false">
      <alignment horizontal="center" vertical="center" textRotation="0" wrapText="false" indent="0" shrinkToFit="false"/>
      <protection locked="true" hidden="false"/>
    </xf>
    <xf numFmtId="164" fontId="15" fillId="16" borderId="0" xfId="0" applyFont="true" applyBorder="true" applyAlignment="true" applyProtection="false">
      <alignment horizontal="general" vertical="center" textRotation="0" wrapText="false" indent="1" shrinkToFit="false"/>
      <protection locked="true" hidden="false"/>
    </xf>
    <xf numFmtId="164" fontId="19" fillId="0" borderId="0" xfId="0" applyFont="true" applyBorder="true" applyAlignment="true" applyProtection="false">
      <alignment horizontal="general" vertical="center" textRotation="0" wrapText="false" indent="1" shrinkToFit="false"/>
      <protection locked="true" hidden="false"/>
    </xf>
    <xf numFmtId="164" fontId="5" fillId="17" borderId="0" xfId="0" applyFont="true" applyBorder="true" applyAlignment="true" applyProtection="false">
      <alignment horizontal="general" vertical="top" textRotation="0" wrapText="true" indent="1"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6" fontId="18" fillId="3" borderId="2" xfId="0" applyFont="tru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7" fontId="5" fillId="20" borderId="1" xfId="0" applyFont="true" applyBorder="true" applyAlignment="false" applyProtection="false">
      <alignment horizontal="general" vertical="bottom" textRotation="0" wrapText="false" indent="0" shrinkToFit="false"/>
      <protection locked="true" hidden="false"/>
    </xf>
    <xf numFmtId="166" fontId="5" fillId="20" borderId="1" xfId="0" applyFont="true" applyBorder="true" applyAlignment="false" applyProtection="false">
      <alignment horizontal="general" vertical="bottom" textRotation="0" wrapText="false" indent="0" shrinkToFit="false"/>
      <protection locked="true" hidden="false"/>
    </xf>
    <xf numFmtId="165" fontId="18" fillId="3" borderId="2"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5" fillId="21"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5" fillId="22" borderId="0" xfId="0" applyFont="true" applyBorder="true" applyAlignment="true" applyProtection="false">
      <alignment horizontal="general" vertical="top" textRotation="0" wrapText="true" indent="1"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5" fillId="20" borderId="1" xfId="0" applyFont="true" applyBorder="true" applyAlignment="false" applyProtection="false">
      <alignment horizontal="general" vertical="bottom" textRotation="0" wrapText="false" indent="0" shrinkToFit="false"/>
      <protection locked="true" hidden="false"/>
    </xf>
    <xf numFmtId="164" fontId="15" fillId="24"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true" applyAlignment="true" applyProtection="false">
      <alignment horizontal="general" vertical="center" textRotation="0" wrapText="false" indent="1" shrinkToFit="false"/>
      <protection locked="true" hidden="false"/>
    </xf>
    <xf numFmtId="164" fontId="5" fillId="25" borderId="0" xfId="0" applyFont="true" applyBorder="true" applyAlignment="true" applyProtection="false">
      <alignment horizontal="general" vertical="top" textRotation="0" wrapText="true" indent="1"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5" fontId="21" fillId="0"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3" fillId="13" borderId="0" xfId="0" applyFont="true" applyBorder="true" applyAlignment="true" applyProtection="false">
      <alignment horizontal="general" vertical="center" textRotation="0" wrapText="false" indent="1" shrinkToFit="false"/>
      <protection locked="true" hidden="false"/>
    </xf>
    <xf numFmtId="164" fontId="22" fillId="11" borderId="0" xfId="0" applyFont="true" applyBorder="true" applyAlignment="true" applyProtection="false">
      <alignment horizontal="general" vertical="center" textRotation="0" wrapText="false" indent="1"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2" fillId="16" borderId="0" xfId="0" applyFont="true" applyBorder="true" applyAlignment="true" applyProtection="false">
      <alignment horizontal="general" vertical="center" textRotation="0" wrapText="false" indent="1" shrinkToFit="false"/>
      <protection locked="true" hidden="false"/>
    </xf>
    <xf numFmtId="164" fontId="22" fillId="21" borderId="0" xfId="0" applyFont="true" applyBorder="true" applyAlignment="true" applyProtection="false">
      <alignment horizontal="general" vertical="center" textRotation="0" wrapText="false" indent="1" shrinkToFit="false"/>
      <protection locked="true" hidden="false"/>
    </xf>
    <xf numFmtId="164" fontId="22" fillId="24"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65F46"/>
      </font>
      <fill>
        <patternFill>
          <bgColor rgb="FFD1FAE5"/>
        </patternFill>
      </fill>
    </dxf>
    <dxf>
      <font>
        <name val="Arial"/>
        <charset val="1"/>
        <family val="0"/>
        <b val="1"/>
        <color rgb="FF991B1B"/>
      </font>
      <fill>
        <patternFill>
          <bgColor rgb="FFFEE2E2"/>
        </patternFill>
      </fill>
    </dxf>
    <dxf>
      <font>
        <name val="Arial"/>
        <charset val="1"/>
        <family val="0"/>
        <b val="1"/>
        <color rgb="FF92400E"/>
      </font>
      <fill>
        <patternFill>
          <bgColor rgb="FFFEF3C7"/>
        </patternFill>
      </fill>
    </dxf>
    <dxf>
      <font>
        <name val="Arial"/>
        <charset val="1"/>
        <family val="0"/>
        <b val="1"/>
        <color rgb="FF64748B"/>
      </font>
      <fill>
        <patternFill>
          <bgColor rgb="FFF1F5F9"/>
        </patternFill>
      </fill>
    </dxf>
  </dxfs>
  <colors>
    <indexedColors>
      <rgbColor rgb="FF000000"/>
      <rgbColor rgb="FFFFFFFF"/>
      <rgbColor rgb="FFE11D48"/>
      <rgbColor rgb="FF00FF00"/>
      <rgbColor rgb="FF0000FF"/>
      <rgbColor rgb="FFF8FAFC"/>
      <rgbColor rgb="FFFF00FF"/>
      <rgbColor rgb="FF00FFFF"/>
      <rgbColor rgb="FF991B1B"/>
      <rgbColor rgb="FF065F46"/>
      <rgbColor rgb="FF000080"/>
      <rgbColor rgb="FF808000"/>
      <rgbColor rgb="FF800080"/>
      <rgbColor rgb="FF0E8477"/>
      <rgbColor rgb="FFFCE8EC"/>
      <rgbColor rgb="FF808080"/>
      <rgbColor rgb="FF8B5CF6"/>
      <rgbColor rgb="FF6442B1"/>
      <rgbColor rgb="FFFEF3C7"/>
      <rgbColor rgb="FFE7F7F6"/>
      <rgbColor rgb="FF660066"/>
      <rgbColor rgb="FFFF8080"/>
      <rgbColor rgb="FF1D4ED8"/>
      <rgbColor rgb="FFCBD5E1"/>
      <rgbColor rgb="FF000080"/>
      <rgbColor rgb="FFFF00FF"/>
      <rgbColor rgb="FFFFFF00"/>
      <rgbColor rgb="FF00FFFF"/>
      <rgbColor rgb="FF800080"/>
      <rgbColor rgb="FFA21433"/>
      <rgbColor rgb="FF0A76A7"/>
      <rgbColor rgb="FF0000FF"/>
      <rgbColor rgb="FF0EA5E9"/>
      <rgbColor rgb="FFDBEAFE"/>
      <rgbColor rgb="FFD1FAE5"/>
      <rgbColor rgb="FFFFF3B0"/>
      <rgbColor rgb="FFEBF2FE"/>
      <rgbColor rgb="FFF3EEFE"/>
      <rgbColor rgb="FFF1F5F9"/>
      <rgbColor rgb="FFFEE2E2"/>
      <rgbColor rgb="FF3B82F6"/>
      <rgbColor rgb="FF14B8A6"/>
      <rgbColor rgb="FF99CC00"/>
      <rgbColor rgb="FFFFCC00"/>
      <rgbColor rgb="FFF59E0B"/>
      <rgbColor rgb="FFD97706"/>
      <rgbColor rgb="FF64748B"/>
      <rgbColor rgb="FF969696"/>
      <rgbColor rgb="FF2A5DB1"/>
      <rgbColor rgb="FF339966"/>
      <rgbColor rgb="FF0F172A"/>
      <rgbColor rgb="FF475569"/>
      <rgbColor rgb="FF92400E"/>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xcel-lab-02-lookups.xlsx" TargetMode="External"/><Relationship Id="rId2" Type="http://schemas.openxmlformats.org/officeDocument/2006/relationships/hyperlink" Target="excel-lab-02-lookups.xlsx" TargetMode="External"/><Relationship Id="rId3" Type="http://schemas.openxmlformats.org/officeDocument/2006/relationships/hyperlink" Target="excel-lab-02-lookups.xlsx" TargetMode="External"/><Relationship Id="rId4" Type="http://schemas.openxmlformats.org/officeDocument/2006/relationships/hyperlink" Target="excel-lab-02-lookups.xlsx" TargetMode="External"/><Relationship Id="rId5" Type="http://schemas.openxmlformats.org/officeDocument/2006/relationships/hyperlink" Target="excel-lab-02-lookups.xlsx" TargetMode="External"/><Relationship Id="rId6" Type="http://schemas.openxmlformats.org/officeDocument/2006/relationships/hyperlink" Target="excel-lab-02-lookup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A5E9"/>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4"/>
    <col collapsed="false" customWidth="true" hidden="false" outlineLevel="0" max="5" min="4" style="0" width="10"/>
    <col collapsed="false" customWidth="true" hidden="false" outlineLevel="0" max="6" min="6" style="0" width="16"/>
    <col collapsed="false" customWidth="true" hidden="false" outlineLevel="0" max="8" min="7" style="0" width="4"/>
  </cols>
  <sheetData>
    <row r="1" customFormat="false" ht="43.5" hidden="false" customHeight="true" outlineLevel="0" collapsed="false">
      <c r="A1" s="1" t="s">
        <v>0</v>
      </c>
      <c r="B1" s="1"/>
      <c r="C1" s="1"/>
      <c r="D1" s="1"/>
      <c r="E1" s="1"/>
      <c r="F1" s="1"/>
    </row>
    <row r="2" customFormat="false" ht="43.5" hidden="false" customHeight="true" outlineLevel="0" collapsed="false">
      <c r="A2" s="2" t="s">
        <v>1</v>
      </c>
      <c r="B2" s="2"/>
      <c r="C2" s="2"/>
      <c r="D2" s="2"/>
      <c r="E2" s="2"/>
      <c r="F2" s="2"/>
    </row>
    <row r="4" customFormat="false" ht="15" hidden="false" customHeight="false" outlineLevel="0" collapsed="false">
      <c r="A4" s="3" t="s">
        <v>2</v>
      </c>
    </row>
    <row r="5" customFormat="false" ht="27.75" hidden="false" customHeight="true" outlineLevel="0" collapsed="false">
      <c r="A5" s="4" t="n">
        <v>1</v>
      </c>
      <c r="B5" s="5" t="s">
        <v>3</v>
      </c>
      <c r="C5" s="5"/>
      <c r="D5" s="5"/>
      <c r="E5" s="5"/>
      <c r="F5" s="5"/>
    </row>
    <row r="6" customFormat="false" ht="27.75" hidden="false" customHeight="true" outlineLevel="0" collapsed="false">
      <c r="A6" s="4" t="n">
        <v>2</v>
      </c>
      <c r="B6" s="5" t="s">
        <v>4</v>
      </c>
      <c r="C6" s="5"/>
      <c r="D6" s="5"/>
      <c r="E6" s="5"/>
      <c r="F6" s="5"/>
    </row>
    <row r="7" customFormat="false" ht="27.75" hidden="false" customHeight="true" outlineLevel="0" collapsed="false">
      <c r="A7" s="4" t="n">
        <v>3</v>
      </c>
      <c r="B7" s="5" t="s">
        <v>5</v>
      </c>
      <c r="C7" s="5"/>
      <c r="D7" s="5"/>
      <c r="E7" s="5"/>
      <c r="F7" s="5"/>
    </row>
    <row r="8" customFormat="false" ht="27.75" hidden="false" customHeight="true" outlineLevel="0" collapsed="false">
      <c r="A8" s="4" t="n">
        <v>4</v>
      </c>
      <c r="B8" s="5" t="s">
        <v>6</v>
      </c>
      <c r="C8" s="5"/>
      <c r="D8" s="5"/>
      <c r="E8" s="5"/>
      <c r="F8" s="5"/>
    </row>
    <row r="9" customFormat="false" ht="27.75" hidden="false" customHeight="true" outlineLevel="0" collapsed="false">
      <c r="A9" s="4" t="n">
        <v>5</v>
      </c>
      <c r="B9" s="5" t="s">
        <v>7</v>
      </c>
      <c r="C9" s="5"/>
      <c r="D9" s="5"/>
      <c r="E9" s="5"/>
      <c r="F9" s="5"/>
    </row>
    <row r="11" customFormat="false" ht="15" hidden="false" customHeight="false" outlineLevel="0" collapsed="false">
      <c r="A11" s="3" t="s">
        <v>8</v>
      </c>
    </row>
    <row r="12" customFormat="false" ht="19.5" hidden="false" customHeight="true" outlineLevel="0" collapsed="false">
      <c r="A12" s="6"/>
      <c r="B12" s="7" t="s">
        <v>9</v>
      </c>
      <c r="C12" s="7"/>
      <c r="D12" s="7"/>
      <c r="E12" s="7"/>
      <c r="F12" s="7"/>
    </row>
    <row r="13" customFormat="false" ht="19.5" hidden="false" customHeight="true" outlineLevel="0" collapsed="false">
      <c r="A13" s="8"/>
      <c r="B13" s="7" t="s">
        <v>10</v>
      </c>
      <c r="C13" s="7"/>
      <c r="D13" s="7"/>
      <c r="E13" s="7"/>
      <c r="F13" s="7"/>
    </row>
    <row r="14" customFormat="false" ht="19.5" hidden="false" customHeight="true" outlineLevel="0" collapsed="false">
      <c r="A14" s="9"/>
      <c r="B14" s="7" t="s">
        <v>11</v>
      </c>
      <c r="C14" s="7"/>
      <c r="D14" s="7"/>
      <c r="E14" s="7"/>
      <c r="F14" s="7"/>
    </row>
    <row r="15" customFormat="false" ht="19.5" hidden="false" customHeight="true" outlineLevel="0" collapsed="false">
      <c r="A15" s="10"/>
      <c r="B15" s="7" t="s">
        <v>12</v>
      </c>
      <c r="C15" s="7"/>
      <c r="D15" s="7"/>
      <c r="E15" s="7"/>
      <c r="F15" s="7"/>
    </row>
    <row r="16" customFormat="false" ht="19.5" hidden="false" customHeight="true" outlineLevel="0" collapsed="false">
      <c r="A16" s="11"/>
      <c r="B16" s="7" t="s">
        <v>13</v>
      </c>
      <c r="C16" s="7"/>
      <c r="D16" s="7"/>
      <c r="E16" s="7"/>
      <c r="F16" s="7"/>
    </row>
    <row r="18" customFormat="false" ht="21.75" hidden="false" customHeight="true" outlineLevel="0" collapsed="false">
      <c r="A18" s="12" t="s">
        <v>14</v>
      </c>
      <c r="B18" s="12" t="s">
        <v>15</v>
      </c>
      <c r="C18" s="12" t="s">
        <v>16</v>
      </c>
      <c r="D18" s="12" t="s">
        <v>17</v>
      </c>
      <c r="E18" s="12" t="s">
        <v>18</v>
      </c>
      <c r="F18" s="12" t="s">
        <v>19</v>
      </c>
    </row>
    <row r="19" customFormat="false" ht="19.5" hidden="false" customHeight="true" outlineLevel="0" collapsed="false">
      <c r="A19" s="13" t="n">
        <v>1</v>
      </c>
      <c r="B19" s="14" t="s">
        <v>20</v>
      </c>
      <c r="C19" s="15" t="s">
        <v>21</v>
      </c>
      <c r="D19" s="16" t="n">
        <v>4</v>
      </c>
      <c r="E19" s="13" t="n">
        <f aca="false">COUNTIF('L1 VLOOKUP exact match'!J9:J12,"✓*")</f>
        <v>0</v>
      </c>
      <c r="F19" s="17" t="n">
        <f aca="false">IFERROR(E19/D19,0)</f>
        <v>0</v>
      </c>
    </row>
    <row r="20" customFormat="false" ht="19.5" hidden="false" customHeight="true" outlineLevel="0" collapsed="false">
      <c r="A20" s="13" t="n">
        <v>2</v>
      </c>
      <c r="B20" s="14" t="s">
        <v>22</v>
      </c>
      <c r="C20" s="15" t="s">
        <v>23</v>
      </c>
      <c r="D20" s="16" t="n">
        <v>4</v>
      </c>
      <c r="E20" s="13" t="n">
        <f aca="false">COUNTIF('L2 Approximate match — slabs'!I9:I12,"✓*")</f>
        <v>0</v>
      </c>
      <c r="F20" s="17" t="n">
        <f aca="false">IFERROR(E20/D20,0)</f>
        <v>0</v>
      </c>
    </row>
    <row r="21" customFormat="false" ht="19.5" hidden="false" customHeight="true" outlineLevel="0" collapsed="false">
      <c r="A21" s="13" t="n">
        <v>3</v>
      </c>
      <c r="B21" s="14" t="s">
        <v>24</v>
      </c>
      <c r="C21" s="15" t="s">
        <v>23</v>
      </c>
      <c r="D21" s="16" t="n">
        <v>4</v>
      </c>
      <c r="E21" s="13" t="n">
        <f aca="false">COUNTIF('L3 INDEX-MATCH and left lookups'!J9:J12,"✓*")</f>
        <v>0</v>
      </c>
      <c r="F21" s="17" t="n">
        <f aca="false">IFERROR(E21/D21,0)</f>
        <v>0</v>
      </c>
    </row>
    <row r="22" customFormat="false" ht="19.5" hidden="false" customHeight="true" outlineLevel="0" collapsed="false">
      <c r="A22" s="13" t="n">
        <v>4</v>
      </c>
      <c r="B22" s="14" t="s">
        <v>25</v>
      </c>
      <c r="C22" s="15" t="s">
        <v>26</v>
      </c>
      <c r="D22" s="16" t="n">
        <v>4</v>
      </c>
      <c r="E22" s="13" t="n">
        <f aca="false">COUNTIF('L4 Two-way lookup'!K9:K12,"✓*")</f>
        <v>0</v>
      </c>
      <c r="F22" s="17" t="n">
        <f aca="false">IFERROR(E22/D22,0)</f>
        <v>0</v>
      </c>
    </row>
    <row r="23" customFormat="false" ht="19.5" hidden="false" customHeight="true" outlineLevel="0" collapsed="false">
      <c r="A23" s="13" t="n">
        <v>5</v>
      </c>
      <c r="B23" s="14" t="s">
        <v>27</v>
      </c>
      <c r="C23" s="15" t="s">
        <v>26</v>
      </c>
      <c r="D23" s="16" t="n">
        <v>4</v>
      </c>
      <c r="E23" s="13" t="n">
        <f aca="false">COUNTIF('L5 Error-proof lookups'!I9:I12,"✓*")</f>
        <v>0</v>
      </c>
      <c r="F23" s="17" t="n">
        <f aca="false">IFERROR(E23/D23,0)</f>
        <v>0</v>
      </c>
    </row>
    <row r="24" customFormat="false" ht="19.5" hidden="false" customHeight="true" outlineLevel="0" collapsed="false">
      <c r="A24" s="13" t="n">
        <v>6</v>
      </c>
      <c r="B24" s="14" t="s">
        <v>28</v>
      </c>
      <c r="C24" s="15" t="s">
        <v>29</v>
      </c>
      <c r="D24" s="16" t="n">
        <v>4</v>
      </c>
      <c r="E24" s="13" t="n">
        <f aca="false">COUNTIF('L6 Boss round — two-condition l'!K9:K12,"✓*")</f>
        <v>0</v>
      </c>
      <c r="F24" s="17" t="n">
        <f aca="false">IFERROR(E24/D24,0)</f>
        <v>0</v>
      </c>
    </row>
    <row r="25" customFormat="false" ht="15" hidden="false" customHeight="false" outlineLevel="0" collapsed="false">
      <c r="B25" s="18" t="s">
        <v>30</v>
      </c>
      <c r="D25" s="13" t="n">
        <f aca="false">SUM(D19:D24)</f>
        <v>24</v>
      </c>
      <c r="E25" s="13" t="n">
        <f aca="false">SUM(E19:E24)</f>
        <v>0</v>
      </c>
      <c r="F25" s="19" t="n">
        <f aca="false">IFERROR(E25/D25,0)</f>
        <v>0</v>
      </c>
    </row>
    <row r="27" customFormat="false" ht="15" hidden="false" customHeight="false" outlineLevel="0" collapsed="false">
      <c r="A27" s="20" t="s">
        <v>31</v>
      </c>
      <c r="B27" s="20"/>
      <c r="C27" s="20"/>
      <c r="D27" s="20"/>
      <c r="E27" s="20"/>
      <c r="F27" s="20"/>
    </row>
  </sheetData>
  <mergeCells count="13">
    <mergeCell ref="A1:F1"/>
    <mergeCell ref="A2:F2"/>
    <mergeCell ref="B5:F5"/>
    <mergeCell ref="B6:F6"/>
    <mergeCell ref="B7:F7"/>
    <mergeCell ref="B8:F8"/>
    <mergeCell ref="B9:F9"/>
    <mergeCell ref="B12:F12"/>
    <mergeCell ref="B13:F13"/>
    <mergeCell ref="B14:F14"/>
    <mergeCell ref="B15:F15"/>
    <mergeCell ref="B16:F16"/>
    <mergeCell ref="A27:F27"/>
  </mergeCells>
  <conditionalFormatting sqref="F19:F25">
    <cfRule type="dataBar" priority="2">
      <dataBar showValue="1" minLength="10" maxLength="90">
        <cfvo type="num" val="0"/>
        <cfvo type="num" val="1"/>
        <color rgb="FF0EA5E9"/>
      </dataBar>
      <extLst>
        <ext xmlns:x14="http://schemas.microsoft.com/office/spreadsheetml/2009/9/main" uri="{B025F937-C7B1-47D3-B67F-A62EFF666E3E}">
          <x14:id>{F5C9FA50-2A38-41EB-814A-648E997920CE}</x14:id>
        </ext>
      </extLst>
    </cfRule>
  </conditionalFormatting>
  <hyperlinks>
    <hyperlink ref="B19" r:id="rId1" location="'L1%20VLOOKUP%20exact%20match'!A1" display="L1 VLOOKUP exact match"/>
    <hyperlink ref="B20" r:id="rId2" location="'L2%20Approximate%20match%20—%20slabs'!A1" display="L2 Approximate match — slabs"/>
    <hyperlink ref="B21" r:id="rId3" location="'L3%20INDEX-MATCH%20and%20left%20lookups'!A1" display="L3 INDEX-MATCH and left lookups"/>
    <hyperlink ref="B22" r:id="rId4" location="'L4%20Two-way%20lookup'!A1" display="L4 Two-way lookup"/>
    <hyperlink ref="B23" r:id="rId5" location="'L5%20Error-proof%20lookups'!A1" display="L5 Error-proof lookups"/>
    <hyperlink ref="B24" r:id="rId6" location="'L6%20Boss%20round%20—%20two-condition%20l'!A1" display="L6 Boss round — two-condition 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F5C9FA50-2A38-41EB-814A-648E997920CE}">
            <x14:dataBar minLength="10" maxLength="90" axisPosition="none" gradient="true">
              <x14:cfvo type="num">
                <xm:f>0</xm:f>
              </x14:cfvo>
              <x14:cfvo type="num">
                <xm:f>1</xm:f>
              </x14:cfvo>
              <x14:negativeFillColor rgb="FF0EA5E9"/>
              <x14:axisColor rgb="FF000000"/>
            </x14:dataBar>
          </x14:cfRule>
          <xm:sqref>F19:F25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748B"/>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2"/>
    <col collapsed="false" customWidth="true" hidden="false" outlineLevel="0" max="4" min="4" style="0" width="18"/>
    <col collapsed="false" customWidth="true" hidden="false" outlineLevel="0" max="5" min="5" style="0" width="11"/>
    <col collapsed="false" customWidth="true" hidden="false" outlineLevel="0" max="6" min="6" style="0" width="14"/>
  </cols>
  <sheetData>
    <row r="1" customFormat="false" ht="30" hidden="false" customHeight="true" outlineLevel="0" collapsed="false">
      <c r="A1" s="21" t="s">
        <v>32</v>
      </c>
      <c r="B1" s="21"/>
      <c r="C1" s="21"/>
      <c r="D1" s="21"/>
      <c r="E1" s="21"/>
      <c r="F1" s="21"/>
    </row>
    <row r="2" customFormat="false" ht="15" hidden="false" customHeight="false" outlineLevel="0" collapsed="false">
      <c r="A2" s="22" t="s">
        <v>33</v>
      </c>
    </row>
    <row r="8" customFormat="false" ht="15" hidden="false" customHeight="false" outlineLevel="0" collapsed="false">
      <c r="A8" s="23" t="s">
        <v>34</v>
      </c>
      <c r="B8" s="23" t="s">
        <v>35</v>
      </c>
      <c r="C8" s="23" t="s">
        <v>36</v>
      </c>
      <c r="D8" s="23" t="s">
        <v>37</v>
      </c>
      <c r="E8" s="23" t="s">
        <v>38</v>
      </c>
      <c r="F8" s="23" t="s">
        <v>39</v>
      </c>
    </row>
    <row r="9" customFormat="false" ht="15" hidden="false" customHeight="false" outlineLevel="0" collapsed="false">
      <c r="A9" s="24" t="s">
        <v>40</v>
      </c>
      <c r="B9" s="24" t="s">
        <v>41</v>
      </c>
      <c r="C9" s="24" t="s">
        <v>42</v>
      </c>
      <c r="D9" s="24" t="s">
        <v>43</v>
      </c>
      <c r="E9" s="25" t="n">
        <v>60</v>
      </c>
      <c r="F9" s="24" t="s">
        <v>44</v>
      </c>
    </row>
    <row r="10" customFormat="false" ht="15" hidden="false" customHeight="false" outlineLevel="0" collapsed="false">
      <c r="A10" s="26" t="s">
        <v>45</v>
      </c>
      <c r="B10" s="26" t="s">
        <v>46</v>
      </c>
      <c r="C10" s="26" t="s">
        <v>42</v>
      </c>
      <c r="D10" s="26" t="s">
        <v>47</v>
      </c>
      <c r="E10" s="27" t="n">
        <v>30</v>
      </c>
      <c r="F10" s="26" t="s">
        <v>48</v>
      </c>
    </row>
    <row r="11" customFormat="false" ht="15" hidden="false" customHeight="false" outlineLevel="0" collapsed="false">
      <c r="A11" s="24" t="s">
        <v>49</v>
      </c>
      <c r="B11" s="24" t="s">
        <v>50</v>
      </c>
      <c r="C11" s="24" t="s">
        <v>51</v>
      </c>
      <c r="D11" s="24" t="s">
        <v>52</v>
      </c>
      <c r="E11" s="25" t="n">
        <v>60</v>
      </c>
      <c r="F11" s="24" t="s">
        <v>53</v>
      </c>
    </row>
    <row r="12" customFormat="false" ht="15" hidden="false" customHeight="false" outlineLevel="0" collapsed="false">
      <c r="A12" s="26" t="s">
        <v>54</v>
      </c>
      <c r="B12" s="26" t="s">
        <v>55</v>
      </c>
      <c r="C12" s="26" t="s">
        <v>51</v>
      </c>
      <c r="D12" s="26" t="s">
        <v>56</v>
      </c>
      <c r="E12" s="27" t="n">
        <v>60</v>
      </c>
      <c r="F12" s="26" t="s">
        <v>57</v>
      </c>
    </row>
    <row r="13" customFormat="false" ht="15" hidden="false" customHeight="false" outlineLevel="0" collapsed="false">
      <c r="A13" s="24" t="s">
        <v>58</v>
      </c>
      <c r="B13" s="24" t="s">
        <v>59</v>
      </c>
      <c r="C13" s="24" t="s">
        <v>60</v>
      </c>
      <c r="D13" s="24" t="s">
        <v>61</v>
      </c>
      <c r="E13" s="25" t="n">
        <v>45</v>
      </c>
      <c r="F13" s="24" t="s">
        <v>44</v>
      </c>
    </row>
    <row r="14" customFormat="false" ht="15" hidden="false" customHeight="false" outlineLevel="0" collapsed="false">
      <c r="A14" s="26" t="s">
        <v>62</v>
      </c>
      <c r="B14" s="26" t="s">
        <v>63</v>
      </c>
      <c r="C14" s="26" t="s">
        <v>51</v>
      </c>
      <c r="D14" s="26" t="s">
        <v>64</v>
      </c>
      <c r="E14" s="27" t="n">
        <v>30</v>
      </c>
      <c r="F14" s="26" t="s">
        <v>48</v>
      </c>
    </row>
    <row r="15" customFormat="false" ht="15" hidden="false" customHeight="false" outlineLevel="0" collapsed="false">
      <c r="A15" s="24" t="s">
        <v>65</v>
      </c>
      <c r="B15" s="24" t="s">
        <v>66</v>
      </c>
      <c r="C15" s="24" t="s">
        <v>51</v>
      </c>
      <c r="D15" s="24" t="s">
        <v>67</v>
      </c>
      <c r="E15" s="25" t="n">
        <v>45</v>
      </c>
      <c r="F15" s="24" t="s">
        <v>57</v>
      </c>
    </row>
    <row r="16" customFormat="false" ht="15" hidden="false" customHeight="false" outlineLevel="0" collapsed="false">
      <c r="A16" s="26" t="s">
        <v>68</v>
      </c>
      <c r="B16" s="26" t="s">
        <v>69</v>
      </c>
      <c r="C16" s="26" t="s">
        <v>51</v>
      </c>
      <c r="D16" s="26" t="s">
        <v>70</v>
      </c>
      <c r="E16" s="27" t="n">
        <v>60</v>
      </c>
      <c r="F16" s="26" t="s">
        <v>53</v>
      </c>
    </row>
    <row r="17" customFormat="false" ht="15" hidden="false" customHeight="false" outlineLevel="0" collapsed="false">
      <c r="A17" s="24" t="s">
        <v>71</v>
      </c>
      <c r="B17" s="24" t="s">
        <v>72</v>
      </c>
      <c r="C17" s="24" t="s">
        <v>73</v>
      </c>
      <c r="D17" s="24" t="s">
        <v>74</v>
      </c>
      <c r="E17" s="25" t="n">
        <v>90</v>
      </c>
      <c r="F17" s="24" t="s">
        <v>57</v>
      </c>
    </row>
    <row r="18" customFormat="false" ht="15" hidden="false" customHeight="false" outlineLevel="0" collapsed="false">
      <c r="A18" s="26" t="s">
        <v>75</v>
      </c>
      <c r="B18" s="26" t="s">
        <v>76</v>
      </c>
      <c r="C18" s="26" t="s">
        <v>77</v>
      </c>
      <c r="D18" s="26" t="s">
        <v>78</v>
      </c>
      <c r="E18" s="27" t="n">
        <v>90</v>
      </c>
      <c r="F18" s="26" t="s">
        <v>53</v>
      </c>
    </row>
    <row r="19" customFormat="false" ht="15" hidden="false" customHeight="false" outlineLevel="0" collapsed="false">
      <c r="A19" s="24" t="s">
        <v>79</v>
      </c>
      <c r="B19" s="24" t="s">
        <v>80</v>
      </c>
      <c r="C19" s="24" t="s">
        <v>73</v>
      </c>
      <c r="D19" s="24" t="s">
        <v>81</v>
      </c>
      <c r="E19" s="25" t="n">
        <v>45</v>
      </c>
      <c r="F19" s="24" t="s">
        <v>82</v>
      </c>
    </row>
    <row r="20" customFormat="false" ht="15" hidden="false" customHeight="false" outlineLevel="0" collapsed="false">
      <c r="A20" s="26" t="s">
        <v>83</v>
      </c>
      <c r="B20" s="26" t="s">
        <v>84</v>
      </c>
      <c r="C20" s="26" t="s">
        <v>85</v>
      </c>
      <c r="D20" s="26" t="s">
        <v>86</v>
      </c>
      <c r="E20" s="27" t="n">
        <v>90</v>
      </c>
      <c r="F20" s="26" t="s">
        <v>53</v>
      </c>
    </row>
    <row r="21" customFormat="false" ht="15" hidden="false" customHeight="false" outlineLevel="0" collapsed="false">
      <c r="A21" s="24" t="s">
        <v>87</v>
      </c>
      <c r="B21" s="24" t="s">
        <v>88</v>
      </c>
      <c r="C21" s="24" t="s">
        <v>42</v>
      </c>
      <c r="D21" s="24" t="s">
        <v>89</v>
      </c>
      <c r="E21" s="25" t="n">
        <v>60</v>
      </c>
      <c r="F21" s="24" t="s">
        <v>53</v>
      </c>
    </row>
    <row r="22" customFormat="false" ht="15" hidden="false" customHeight="false" outlineLevel="0" collapsed="false">
      <c r="A22" s="26" t="s">
        <v>90</v>
      </c>
      <c r="B22" s="26" t="s">
        <v>91</v>
      </c>
      <c r="C22" s="26" t="s">
        <v>60</v>
      </c>
      <c r="D22" s="26" t="s">
        <v>92</v>
      </c>
      <c r="E22" s="27" t="n">
        <v>90</v>
      </c>
      <c r="F22" s="26" t="s">
        <v>48</v>
      </c>
    </row>
    <row r="23" customFormat="false" ht="15" hidden="false" customHeight="false" outlineLevel="0" collapsed="false">
      <c r="A23" s="24" t="s">
        <v>93</v>
      </c>
      <c r="B23" s="24" t="s">
        <v>94</v>
      </c>
      <c r="C23" s="24" t="s">
        <v>95</v>
      </c>
      <c r="D23" s="24" t="s">
        <v>96</v>
      </c>
      <c r="E23" s="25" t="n">
        <v>15</v>
      </c>
      <c r="F23" s="24" t="s">
        <v>57</v>
      </c>
    </row>
    <row r="24" customFormat="false" ht="15" hidden="false" customHeight="false" outlineLevel="0" collapsed="false">
      <c r="A24" s="26" t="s">
        <v>97</v>
      </c>
      <c r="B24" s="26" t="s">
        <v>98</v>
      </c>
      <c r="C24" s="26" t="s">
        <v>77</v>
      </c>
      <c r="D24" s="26" t="s">
        <v>99</v>
      </c>
      <c r="E24" s="27" t="n">
        <v>90</v>
      </c>
      <c r="F24" s="26" t="s">
        <v>57</v>
      </c>
    </row>
    <row r="25" customFormat="false" ht="15" hidden="false" customHeight="false" outlineLevel="0" collapsed="false">
      <c r="A25" s="24" t="s">
        <v>100</v>
      </c>
      <c r="B25" s="24" t="s">
        <v>101</v>
      </c>
      <c r="C25" s="24" t="s">
        <v>42</v>
      </c>
      <c r="D25" s="24" t="s">
        <v>102</v>
      </c>
      <c r="E25" s="25" t="n">
        <v>90</v>
      </c>
      <c r="F25" s="24" t="s">
        <v>48</v>
      </c>
    </row>
    <row r="26" customFormat="false" ht="15" hidden="false" customHeight="false" outlineLevel="0" collapsed="false">
      <c r="A26" s="26" t="s">
        <v>103</v>
      </c>
      <c r="B26" s="26" t="s">
        <v>104</v>
      </c>
      <c r="C26" s="26" t="s">
        <v>51</v>
      </c>
      <c r="D26" s="26" t="s">
        <v>105</v>
      </c>
      <c r="E26" s="27" t="n">
        <v>30</v>
      </c>
      <c r="F26" s="26" t="s">
        <v>44</v>
      </c>
    </row>
    <row r="27" customFormat="false" ht="15" hidden="false" customHeight="false" outlineLevel="0" collapsed="false">
      <c r="A27" s="24" t="s">
        <v>106</v>
      </c>
      <c r="B27" s="24" t="s">
        <v>107</v>
      </c>
      <c r="C27" s="24" t="s">
        <v>51</v>
      </c>
      <c r="D27" s="24" t="s">
        <v>108</v>
      </c>
      <c r="E27" s="25" t="n">
        <v>45</v>
      </c>
      <c r="F27" s="24" t="s">
        <v>82</v>
      </c>
    </row>
    <row r="28" customFormat="false" ht="15" hidden="false" customHeight="false" outlineLevel="0" collapsed="false">
      <c r="A28" s="26" t="s">
        <v>109</v>
      </c>
      <c r="B28" s="26" t="s">
        <v>110</v>
      </c>
      <c r="C28" s="26" t="s">
        <v>111</v>
      </c>
      <c r="D28" s="26" t="s">
        <v>112</v>
      </c>
      <c r="E28" s="27" t="n">
        <v>30</v>
      </c>
      <c r="F28" s="26" t="s">
        <v>48</v>
      </c>
    </row>
    <row r="29" customFormat="false" ht="15" hidden="false" customHeight="false" outlineLevel="0" collapsed="false">
      <c r="A29" s="24" t="s">
        <v>113</v>
      </c>
      <c r="B29" s="24" t="s">
        <v>114</v>
      </c>
      <c r="C29" s="24" t="s">
        <v>77</v>
      </c>
      <c r="D29" s="24" t="s">
        <v>115</v>
      </c>
      <c r="E29" s="25" t="n">
        <v>90</v>
      </c>
      <c r="F29" s="24" t="s">
        <v>53</v>
      </c>
    </row>
    <row r="30" customFormat="false" ht="15" hidden="false" customHeight="false" outlineLevel="0" collapsed="false">
      <c r="A30" s="26" t="s">
        <v>116</v>
      </c>
      <c r="B30" s="26" t="s">
        <v>117</v>
      </c>
      <c r="C30" s="26" t="s">
        <v>111</v>
      </c>
      <c r="D30" s="26" t="s">
        <v>118</v>
      </c>
      <c r="E30" s="27" t="n">
        <v>45</v>
      </c>
      <c r="F30" s="26" t="s">
        <v>53</v>
      </c>
    </row>
    <row r="31" customFormat="false" ht="15" hidden="false" customHeight="false" outlineLevel="0" collapsed="false">
      <c r="A31" s="24" t="s">
        <v>119</v>
      </c>
      <c r="B31" s="24" t="s">
        <v>120</v>
      </c>
      <c r="C31" s="24" t="s">
        <v>77</v>
      </c>
      <c r="D31" s="24" t="s">
        <v>121</v>
      </c>
      <c r="E31" s="25" t="n">
        <v>45</v>
      </c>
      <c r="F31" s="24" t="s">
        <v>82</v>
      </c>
    </row>
    <row r="32" customFormat="false" ht="15" hidden="false" customHeight="false" outlineLevel="0" collapsed="false">
      <c r="A32" s="26" t="s">
        <v>122</v>
      </c>
      <c r="B32" s="26" t="s">
        <v>123</v>
      </c>
      <c r="C32" s="26" t="s">
        <v>42</v>
      </c>
      <c r="D32" s="26" t="s">
        <v>124</v>
      </c>
      <c r="E32" s="27" t="n">
        <v>90</v>
      </c>
      <c r="F32" s="26" t="s">
        <v>48</v>
      </c>
    </row>
    <row r="33" customFormat="false" ht="15" hidden="false" customHeight="false" outlineLevel="0" collapsed="false">
      <c r="A33" s="24" t="s">
        <v>125</v>
      </c>
      <c r="B33" s="24" t="s">
        <v>126</v>
      </c>
      <c r="C33" s="24" t="s">
        <v>73</v>
      </c>
      <c r="D33" s="24" t="s">
        <v>127</v>
      </c>
      <c r="E33" s="25" t="n">
        <v>90</v>
      </c>
      <c r="F33" s="24" t="s">
        <v>48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22"/>
    <col collapsed="false" customWidth="true" hidden="false" outlineLevel="0" max="5" min="5" style="0" width="11"/>
    <col collapsed="false" customWidth="true" hidden="false" outlineLevel="0" max="6" min="6" style="0" width="3"/>
    <col collapsed="false" customWidth="true" hidden="false" outlineLevel="0" max="7" min="7" style="0" width="5"/>
    <col collapsed="false" customWidth="true" hidden="false" outlineLevel="0" max="8" min="8" style="0" width="46"/>
    <col collapsed="false" customWidth="true" hidden="false" outlineLevel="0" max="9" min="9" style="0" width="18"/>
    <col collapsed="false" customWidth="true" hidden="false" outlineLevel="0" max="10" min="10" style="0" width="17"/>
    <col collapsed="false" customWidth="true" hidden="false" outlineLevel="0" max="11" min="11" style="0" width="38"/>
    <col collapsed="false" customWidth="true" hidden="true" outlineLevel="0" max="15" min="12" style="0" width="13"/>
  </cols>
  <sheetData>
    <row r="1" customFormat="false" ht="31.5" hidden="false" customHeight="true" outlineLevel="0" collapsed="false">
      <c r="A1" s="28" t="s">
        <v>128</v>
      </c>
      <c r="B1" s="28"/>
      <c r="C1" s="28"/>
      <c r="D1" s="28"/>
      <c r="E1" s="28"/>
      <c r="F1" s="28"/>
      <c r="G1" s="28"/>
      <c r="H1" s="28"/>
      <c r="I1" s="28"/>
      <c r="J1" s="28"/>
      <c r="K1" s="28"/>
    </row>
    <row r="2" customFormat="false" ht="19.5" hidden="false" customHeight="true" outlineLevel="0" collapsed="false">
      <c r="A2" s="29" t="s">
        <v>129</v>
      </c>
      <c r="B2" s="29"/>
      <c r="C2" s="29"/>
      <c r="D2" s="29"/>
      <c r="E2" s="29"/>
      <c r="F2" s="29"/>
      <c r="G2" s="29"/>
      <c r="H2" s="29"/>
      <c r="I2" s="29"/>
      <c r="J2" s="29"/>
      <c r="K2" s="29"/>
    </row>
    <row r="3" customFormat="false" ht="18.75" hidden="false" customHeight="true" outlineLevel="0" collapsed="false">
      <c r="A3" s="30" t="s">
        <v>130</v>
      </c>
      <c r="B3" s="30"/>
      <c r="C3" s="30"/>
      <c r="D3" s="30"/>
      <c r="E3" s="30"/>
      <c r="F3" s="30"/>
      <c r="G3" s="30"/>
      <c r="H3" s="30"/>
      <c r="I3" s="30"/>
      <c r="J3" s="30"/>
      <c r="K3" s="30"/>
    </row>
    <row r="4" customFormat="false" ht="18.75" hidden="false" customHeight="true" outlineLevel="0" collapsed="false">
      <c r="A4" s="30"/>
      <c r="B4" s="30"/>
      <c r="C4" s="30"/>
      <c r="D4" s="30"/>
      <c r="E4" s="30"/>
      <c r="F4" s="30"/>
      <c r="G4" s="30"/>
      <c r="H4" s="30"/>
      <c r="I4" s="30"/>
      <c r="J4" s="30"/>
      <c r="K4" s="30"/>
    </row>
    <row r="5" customFormat="false" ht="18.75" hidden="false" customHeight="true" outlineLevel="0" collapsed="false">
      <c r="A5" s="30"/>
      <c r="B5" s="30"/>
      <c r="C5" s="30"/>
      <c r="D5" s="30"/>
      <c r="E5" s="30"/>
      <c r="F5" s="30"/>
      <c r="G5" s="30"/>
      <c r="H5" s="30"/>
      <c r="I5" s="30"/>
      <c r="J5" s="30"/>
      <c r="K5" s="30"/>
    </row>
    <row r="6" customFormat="false" ht="19.5" hidden="false" customHeight="true" outlineLevel="0" collapsed="false"/>
    <row r="8" customFormat="false" ht="24" hidden="false" customHeight="true" outlineLevel="0" collapsed="false">
      <c r="A8" s="31" t="s">
        <v>131</v>
      </c>
      <c r="B8" s="31" t="s">
        <v>34</v>
      </c>
      <c r="C8" s="31" t="s">
        <v>132</v>
      </c>
      <c r="D8" s="32" t="s">
        <v>35</v>
      </c>
      <c r="E8" s="32" t="s">
        <v>38</v>
      </c>
      <c r="G8" s="33" t="s">
        <v>14</v>
      </c>
      <c r="H8" s="33" t="s">
        <v>133</v>
      </c>
      <c r="I8" s="33" t="s">
        <v>134</v>
      </c>
      <c r="J8" s="33" t="s">
        <v>135</v>
      </c>
      <c r="K8" s="33" t="s">
        <v>136</v>
      </c>
    </row>
    <row r="9" customFormat="false" ht="33.75" hidden="false" customHeight="true" outlineLevel="0" collapsed="false">
      <c r="A9" s="24" t="s">
        <v>137</v>
      </c>
      <c r="B9" s="24" t="s">
        <v>68</v>
      </c>
      <c r="C9" s="34" t="n">
        <v>37800</v>
      </c>
      <c r="D9" s="35"/>
      <c r="E9" s="36"/>
      <c r="G9" s="37" t="n">
        <v>1</v>
      </c>
      <c r="H9" s="38" t="s">
        <v>138</v>
      </c>
      <c r="I9" s="39" t="s">
        <v>139</v>
      </c>
      <c r="J9" s="40" t="str">
        <f aca="false">IF(COUNTA($D$9:$D$33)=0,"◯ Not attempted",IF(NOT(_xlfn.ISFORMULA(D9)),"✎ Use a formula",IFERROR(IF(SUMPRODUCT(--(UPPER(TRIM($D$9:$D$33&amp;""))=UPPER(TRIM($M$9:$M$33&amp;""))))=ROWS($D$9:$D$33),"✓ Correct","✗ "&amp;(ROWS($D$9:$D$33)-SUMPRODUCT(--(UPPER(TRIM($D$9:$D$33&amp;""))=UPPER(TRIM($M$9:$M$33&amp;"")))))&amp;" rows differ"),"✗ Check the column")))</f>
        <v>◯ Not attempted</v>
      </c>
      <c r="K9" s="41" t="s">
        <v>140</v>
      </c>
      <c r="M9" s="0" t="str">
        <f aca="false">VLOOKUP(B9,'Vendor Master'!$A$9:$F$33,2,0)</f>
        <v>Vaibhav Textiles</v>
      </c>
      <c r="N9" s="42" t="n">
        <f aca="false">VLOOKUP(B9,'Vendor Master'!$A$9:$F$33,5,0)</f>
        <v>60</v>
      </c>
    </row>
    <row r="10" customFormat="false" ht="33.75" hidden="false" customHeight="true" outlineLevel="0" collapsed="false">
      <c r="A10" s="26" t="s">
        <v>141</v>
      </c>
      <c r="B10" s="26" t="s">
        <v>83</v>
      </c>
      <c r="C10" s="43" t="n">
        <v>283900</v>
      </c>
      <c r="D10" s="35"/>
      <c r="E10" s="36"/>
      <c r="G10" s="37" t="n">
        <v>2</v>
      </c>
      <c r="H10" s="38" t="s">
        <v>142</v>
      </c>
      <c r="I10" s="39" t="s">
        <v>143</v>
      </c>
      <c r="J10" s="40" t="str">
        <f aca="false">IF(COUNTA($E$9:$E$33)=0,"◯ Not attempted",IF(NOT(_xlfn.ISFORMULA(E9)),"✎ Use a formula",IFERROR(IF(SUMPRODUCT(--(ABS($E$9:$E$33-$N$9:$N$33)&lt;0.01))=ROWS($E$9:$E$33),"✓ Correct","✗ "&amp;(ROWS($E$9:$E$33)-SUMPRODUCT(--(ABS($E$9:$E$33-$N$9:$N$33)&lt;0.01)))&amp;" rows differ"),"✗ Check the column")))</f>
        <v>◯ Not attempted</v>
      </c>
      <c r="K10" s="41" t="s">
        <v>144</v>
      </c>
      <c r="M10" s="0" t="str">
        <f aca="false">VLOOKUP(B10,'Vendor Master'!$A$9:$F$33,2,0)</f>
        <v>ABC Traders</v>
      </c>
      <c r="N10" s="42" t="n">
        <f aca="false">VLOOKUP(B10,'Vendor Master'!$A$9:$F$33,5,0)</f>
        <v>90</v>
      </c>
    </row>
    <row r="11" customFormat="false" ht="33.75" hidden="false" customHeight="true" outlineLevel="0" collapsed="false">
      <c r="A11" s="24" t="s">
        <v>145</v>
      </c>
      <c r="B11" s="24" t="s">
        <v>71</v>
      </c>
      <c r="C11" s="34" t="n">
        <v>263600</v>
      </c>
      <c r="D11" s="35"/>
      <c r="E11" s="36"/>
      <c r="G11" s="37" t="n">
        <v>3</v>
      </c>
      <c r="H11" s="38" t="s">
        <v>146</v>
      </c>
      <c r="I11" s="44"/>
      <c r="J11" s="40" t="str">
        <f aca="false">IF(ISBLANK(I11),"◯ Not attempted",IF(NOT(_xlfn.ISFORMULA(I11)),"✎ Use a formula",IF(UPPER(TRIM(I11&amp;""))=UPPER(TRIM($L$11&amp;"")),"✓ Correct","✗ Check again")))</f>
        <v>◯ Not attempted</v>
      </c>
      <c r="K11" s="41" t="s">
        <v>147</v>
      </c>
      <c r="L11" s="0" t="str">
        <f aca="false">VLOOKUP("V017",'Vendor Master'!$A$9:$F$33,3,0)</f>
        <v>Delhi</v>
      </c>
      <c r="M11" s="0" t="str">
        <f aca="false">VLOOKUP(B11,'Vendor Master'!$A$9:$F$33,2,0)</f>
        <v>Patel &amp; Co</v>
      </c>
      <c r="N11" s="42" t="n">
        <f aca="false">VLOOKUP(B11,'Vendor Master'!$A$9:$F$33,5,0)</f>
        <v>90</v>
      </c>
    </row>
    <row r="12" customFormat="false" ht="33.75" hidden="false" customHeight="true" outlineLevel="0" collapsed="false">
      <c r="A12" s="26" t="s">
        <v>148</v>
      </c>
      <c r="B12" s="26" t="s">
        <v>65</v>
      </c>
      <c r="C12" s="43" t="n">
        <v>85100</v>
      </c>
      <c r="D12" s="35"/>
      <c r="E12" s="36"/>
      <c r="G12" s="37" t="n">
        <v>4</v>
      </c>
      <c r="H12" s="38" t="s">
        <v>149</v>
      </c>
      <c r="I12" s="45"/>
      <c r="J12" s="40" t="str">
        <f aca="false">IF(ISBLANK(I12),"◯ Not attempted",IF(NOT(_xlfn.ISFORMULA(I12)),"✎ Use a formula",IF(ISNUMBER(I12),IF(ABS(I12-$L$12)&lt;0.005,"✓ Correct","✗ Check again"),"✗ Not a number")))</f>
        <v>◯ Not attempted</v>
      </c>
      <c r="K12" s="41" t="s">
        <v>150</v>
      </c>
      <c r="L12" s="42" t="n">
        <f aca="false">SUMPRODUCT((SUMIFS('Vendor Master'!$E$9:$E$33,'Vendor Master'!$A$9:$A$33,$B$9:$B$33)=45)*$C$9:$C$33)</f>
        <v>907800</v>
      </c>
      <c r="M12" s="0" t="str">
        <f aca="false">VLOOKUP(B12,'Vendor Master'!$A$9:$F$33,2,0)</f>
        <v>Kiran Agencies</v>
      </c>
      <c r="N12" s="42" t="n">
        <f aca="false">VLOOKUP(B12,'Vendor Master'!$A$9:$F$33,5,0)</f>
        <v>45</v>
      </c>
    </row>
    <row r="13" customFormat="false" ht="15" hidden="false" customHeight="false" outlineLevel="0" collapsed="false">
      <c r="A13" s="24" t="s">
        <v>151</v>
      </c>
      <c r="B13" s="24" t="s">
        <v>100</v>
      </c>
      <c r="C13" s="34" t="n">
        <v>84300</v>
      </c>
      <c r="D13" s="35"/>
      <c r="E13" s="36"/>
      <c r="M13" s="0" t="str">
        <f aca="false">VLOOKUP(B13,'Vendor Master'!$A$9:$F$33,2,0)</f>
        <v>Metro Freight</v>
      </c>
      <c r="N13" s="42" t="n">
        <f aca="false">VLOOKUP(B13,'Vendor Master'!$A$9:$F$33,5,0)</f>
        <v>90</v>
      </c>
    </row>
    <row r="14" customFormat="false" ht="15" hidden="false" customHeight="false" outlineLevel="0" collapsed="false">
      <c r="A14" s="26" t="s">
        <v>152</v>
      </c>
      <c r="B14" s="26" t="s">
        <v>62</v>
      </c>
      <c r="C14" s="43" t="n">
        <v>185400</v>
      </c>
      <c r="D14" s="35"/>
      <c r="E14" s="36"/>
      <c r="M14" s="0" t="str">
        <f aca="false">VLOOKUP(B14,'Vendor Master'!$A$9:$F$33,2,0)</f>
        <v>Meera Pharma</v>
      </c>
      <c r="N14" s="42" t="n">
        <f aca="false">VLOOKUP(B14,'Vendor Master'!$A$9:$F$33,5,0)</f>
        <v>30</v>
      </c>
    </row>
    <row r="15" customFormat="false" ht="15" hidden="false" customHeight="false" outlineLevel="0" collapsed="false">
      <c r="A15" s="24" t="s">
        <v>153</v>
      </c>
      <c r="B15" s="24" t="s">
        <v>40</v>
      </c>
      <c r="C15" s="34" t="n">
        <v>291200</v>
      </c>
      <c r="D15" s="35"/>
      <c r="E15" s="36"/>
      <c r="M15" s="0" t="str">
        <f aca="false">VLOOKUP(B15,'Vendor Master'!$A$9:$F$33,2,0)</f>
        <v>Deccan Supplies</v>
      </c>
      <c r="N15" s="42" t="n">
        <f aca="false">VLOOKUP(B15,'Vendor Master'!$A$9:$F$33,5,0)</f>
        <v>60</v>
      </c>
    </row>
    <row r="16" customFormat="false" ht="15" hidden="false" customHeight="false" outlineLevel="0" collapsed="false">
      <c r="A16" s="26" t="s">
        <v>154</v>
      </c>
      <c r="B16" s="26" t="s">
        <v>45</v>
      </c>
      <c r="C16" s="43" t="n">
        <v>287300</v>
      </c>
      <c r="D16" s="35"/>
      <c r="E16" s="36"/>
      <c r="M16" s="0" t="str">
        <f aca="false">VLOOKUP(B16,'Vendor Master'!$A$9:$F$33,2,0)</f>
        <v>Orbit Systems</v>
      </c>
      <c r="N16" s="42" t="n">
        <f aca="false">VLOOKUP(B16,'Vendor Master'!$A$9:$F$33,5,0)</f>
        <v>30</v>
      </c>
    </row>
    <row r="17" customFormat="false" ht="15" hidden="false" customHeight="false" outlineLevel="0" collapsed="false">
      <c r="A17" s="24" t="s">
        <v>155</v>
      </c>
      <c r="B17" s="24" t="s">
        <v>79</v>
      </c>
      <c r="C17" s="34" t="n">
        <v>122300</v>
      </c>
      <c r="D17" s="35"/>
      <c r="E17" s="36"/>
      <c r="M17" s="0" t="str">
        <f aca="false">VLOOKUP(B17,'Vendor Master'!$A$9:$F$33,2,0)</f>
        <v>Shree Enterprises</v>
      </c>
      <c r="N17" s="42" t="n">
        <f aca="false">VLOOKUP(B17,'Vendor Master'!$A$9:$F$33,5,0)</f>
        <v>45</v>
      </c>
    </row>
    <row r="18" customFormat="false" ht="15" hidden="false" customHeight="false" outlineLevel="0" collapsed="false">
      <c r="A18" s="26" t="s">
        <v>156</v>
      </c>
      <c r="B18" s="26" t="s">
        <v>79</v>
      </c>
      <c r="C18" s="43" t="n">
        <v>86600</v>
      </c>
      <c r="D18" s="35"/>
      <c r="E18" s="36"/>
      <c r="M18" s="0" t="str">
        <f aca="false">VLOOKUP(B18,'Vendor Master'!$A$9:$F$33,2,0)</f>
        <v>Shree Enterprises</v>
      </c>
      <c r="N18" s="42" t="n">
        <f aca="false">VLOOKUP(B18,'Vendor Master'!$A$9:$F$33,5,0)</f>
        <v>45</v>
      </c>
    </row>
    <row r="19" customFormat="false" ht="15" hidden="false" customHeight="false" outlineLevel="0" collapsed="false">
      <c r="A19" s="24" t="s">
        <v>157</v>
      </c>
      <c r="B19" s="24" t="s">
        <v>58</v>
      </c>
      <c r="C19" s="34" t="n">
        <v>61600</v>
      </c>
      <c r="D19" s="35"/>
      <c r="E19" s="36"/>
      <c r="M19" s="0" t="str">
        <f aca="false">VLOOKUP(B19,'Vendor Master'!$A$9:$F$33,2,0)</f>
        <v>Bharat Electricals</v>
      </c>
      <c r="N19" s="42" t="n">
        <f aca="false">VLOOKUP(B19,'Vendor Master'!$A$9:$F$33,5,0)</f>
        <v>45</v>
      </c>
    </row>
    <row r="20" customFormat="false" ht="15" hidden="false" customHeight="false" outlineLevel="0" collapsed="false">
      <c r="A20" s="26" t="s">
        <v>158</v>
      </c>
      <c r="B20" s="26" t="s">
        <v>122</v>
      </c>
      <c r="C20" s="43" t="n">
        <v>166200</v>
      </c>
      <c r="D20" s="35"/>
      <c r="E20" s="36"/>
      <c r="M20" s="0" t="str">
        <f aca="false">VLOOKUP(B20,'Vendor Master'!$A$9:$F$33,2,0)</f>
        <v>Royal Castings</v>
      </c>
      <c r="N20" s="42" t="n">
        <f aca="false">VLOOKUP(B20,'Vendor Master'!$A$9:$F$33,5,0)</f>
        <v>90</v>
      </c>
    </row>
    <row r="21" customFormat="false" ht="15" hidden="false" customHeight="false" outlineLevel="0" collapsed="false">
      <c r="A21" s="24" t="s">
        <v>159</v>
      </c>
      <c r="B21" s="24" t="s">
        <v>40</v>
      </c>
      <c r="C21" s="34" t="n">
        <v>12700</v>
      </c>
      <c r="D21" s="35"/>
      <c r="E21" s="36"/>
      <c r="M21" s="0" t="str">
        <f aca="false">VLOOKUP(B21,'Vendor Master'!$A$9:$F$33,2,0)</f>
        <v>Deccan Supplies</v>
      </c>
      <c r="N21" s="42" t="n">
        <f aca="false">VLOOKUP(B21,'Vendor Master'!$A$9:$F$33,5,0)</f>
        <v>60</v>
      </c>
    </row>
    <row r="22" customFormat="false" ht="15" hidden="false" customHeight="false" outlineLevel="0" collapsed="false">
      <c r="A22" s="26" t="s">
        <v>160</v>
      </c>
      <c r="B22" s="26" t="s">
        <v>45</v>
      </c>
      <c r="C22" s="43" t="n">
        <v>127200</v>
      </c>
      <c r="D22" s="35"/>
      <c r="E22" s="36"/>
      <c r="M22" s="0" t="str">
        <f aca="false">VLOOKUP(B22,'Vendor Master'!$A$9:$F$33,2,0)</f>
        <v>Orbit Systems</v>
      </c>
      <c r="N22" s="42" t="n">
        <f aca="false">VLOOKUP(B22,'Vendor Master'!$A$9:$F$33,5,0)</f>
        <v>30</v>
      </c>
    </row>
    <row r="23" customFormat="false" ht="15" hidden="false" customHeight="false" outlineLevel="0" collapsed="false">
      <c r="A23" s="24" t="s">
        <v>161</v>
      </c>
      <c r="B23" s="24" t="s">
        <v>125</v>
      </c>
      <c r="C23" s="34" t="n">
        <v>288600</v>
      </c>
      <c r="D23" s="35"/>
      <c r="E23" s="36"/>
      <c r="M23" s="0" t="str">
        <f aca="false">VLOOKUP(B23,'Vendor Master'!$A$9:$F$33,2,0)</f>
        <v>Silverline Tools</v>
      </c>
      <c r="N23" s="42" t="n">
        <f aca="false">VLOOKUP(B23,'Vendor Master'!$A$9:$F$33,5,0)</f>
        <v>90</v>
      </c>
    </row>
    <row r="24" customFormat="false" ht="15" hidden="false" customHeight="false" outlineLevel="0" collapsed="false">
      <c r="A24" s="26" t="s">
        <v>162</v>
      </c>
      <c r="B24" s="26" t="s">
        <v>87</v>
      </c>
      <c r="C24" s="43" t="n">
        <v>135000</v>
      </c>
      <c r="D24" s="35"/>
      <c r="E24" s="36"/>
      <c r="M24" s="0" t="str">
        <f aca="false">VLOOKUP(B24,'Vendor Master'!$A$9:$F$33,2,0)</f>
        <v>Ganesh Logistics</v>
      </c>
      <c r="N24" s="42" t="n">
        <f aca="false">VLOOKUP(B24,'Vendor Master'!$A$9:$F$33,5,0)</f>
        <v>60</v>
      </c>
    </row>
    <row r="25" customFormat="false" ht="15" hidden="false" customHeight="false" outlineLevel="0" collapsed="false">
      <c r="A25" s="24" t="s">
        <v>163</v>
      </c>
      <c r="B25" s="24" t="s">
        <v>58</v>
      </c>
      <c r="C25" s="34" t="n">
        <v>243300</v>
      </c>
      <c r="D25" s="35"/>
      <c r="E25" s="36"/>
      <c r="M25" s="0" t="str">
        <f aca="false">VLOOKUP(B25,'Vendor Master'!$A$9:$F$33,2,0)</f>
        <v>Bharat Electricals</v>
      </c>
      <c r="N25" s="42" t="n">
        <f aca="false">VLOOKUP(B25,'Vendor Master'!$A$9:$F$33,5,0)</f>
        <v>45</v>
      </c>
    </row>
    <row r="26" customFormat="false" ht="15" hidden="false" customHeight="false" outlineLevel="0" collapsed="false">
      <c r="A26" s="26" t="s">
        <v>164</v>
      </c>
      <c r="B26" s="26" t="s">
        <v>49</v>
      </c>
      <c r="C26" s="43" t="n">
        <v>162200</v>
      </c>
      <c r="D26" s="35"/>
      <c r="E26" s="36"/>
      <c r="M26" s="0" t="str">
        <f aca="false">VLOOKUP(B26,'Vendor Master'!$A$9:$F$33,2,0)</f>
        <v>Sagar Metals</v>
      </c>
      <c r="N26" s="42" t="n">
        <f aca="false">VLOOKUP(B26,'Vendor Master'!$A$9:$F$33,5,0)</f>
        <v>60</v>
      </c>
    </row>
    <row r="27" customFormat="false" ht="15" hidden="false" customHeight="false" outlineLevel="0" collapsed="false">
      <c r="A27" s="24" t="s">
        <v>165</v>
      </c>
      <c r="B27" s="24" t="s">
        <v>45</v>
      </c>
      <c r="C27" s="34" t="n">
        <v>273800</v>
      </c>
      <c r="D27" s="35"/>
      <c r="E27" s="36"/>
      <c r="M27" s="0" t="str">
        <f aca="false">VLOOKUP(B27,'Vendor Master'!$A$9:$F$33,2,0)</f>
        <v>Orbit Systems</v>
      </c>
      <c r="N27" s="42" t="n">
        <f aca="false">VLOOKUP(B27,'Vendor Master'!$A$9:$F$33,5,0)</f>
        <v>30</v>
      </c>
    </row>
    <row r="28" customFormat="false" ht="15" hidden="false" customHeight="false" outlineLevel="0" collapsed="false">
      <c r="A28" s="26" t="s">
        <v>166</v>
      </c>
      <c r="B28" s="26" t="s">
        <v>106</v>
      </c>
      <c r="C28" s="43" t="n">
        <v>188600</v>
      </c>
      <c r="D28" s="35"/>
      <c r="E28" s="36"/>
      <c r="M28" s="0" t="str">
        <f aca="false">VLOOKUP(B28,'Vendor Master'!$A$9:$F$33,2,0)</f>
        <v>Everest Steel</v>
      </c>
      <c r="N28" s="42" t="n">
        <f aca="false">VLOOKUP(B28,'Vendor Master'!$A$9:$F$33,5,0)</f>
        <v>45</v>
      </c>
    </row>
    <row r="29" customFormat="false" ht="15" hidden="false" customHeight="false" outlineLevel="0" collapsed="false">
      <c r="A29" s="24" t="s">
        <v>167</v>
      </c>
      <c r="B29" s="24" t="s">
        <v>83</v>
      </c>
      <c r="C29" s="34" t="n">
        <v>281600</v>
      </c>
      <c r="D29" s="35"/>
      <c r="E29" s="36"/>
      <c r="M29" s="0" t="str">
        <f aca="false">VLOOKUP(B29,'Vendor Master'!$A$9:$F$33,2,0)</f>
        <v>ABC Traders</v>
      </c>
      <c r="N29" s="42" t="n">
        <f aca="false">VLOOKUP(B29,'Vendor Master'!$A$9:$F$33,5,0)</f>
        <v>90</v>
      </c>
    </row>
    <row r="30" customFormat="false" ht="15" hidden="false" customHeight="false" outlineLevel="0" collapsed="false">
      <c r="A30" s="26" t="s">
        <v>168</v>
      </c>
      <c r="B30" s="26" t="s">
        <v>58</v>
      </c>
      <c r="C30" s="43" t="n">
        <v>120300</v>
      </c>
      <c r="D30" s="35"/>
      <c r="E30" s="36"/>
      <c r="M30" s="0" t="str">
        <f aca="false">VLOOKUP(B30,'Vendor Master'!$A$9:$F$33,2,0)</f>
        <v>Bharat Electricals</v>
      </c>
      <c r="N30" s="42" t="n">
        <f aca="false">VLOOKUP(B30,'Vendor Master'!$A$9:$F$33,5,0)</f>
        <v>45</v>
      </c>
    </row>
    <row r="31" customFormat="false" ht="15" hidden="false" customHeight="false" outlineLevel="0" collapsed="false">
      <c r="A31" s="24" t="s">
        <v>169</v>
      </c>
      <c r="B31" s="24" t="s">
        <v>71</v>
      </c>
      <c r="C31" s="34" t="n">
        <v>230700</v>
      </c>
      <c r="D31" s="35"/>
      <c r="E31" s="36"/>
      <c r="M31" s="0" t="str">
        <f aca="false">VLOOKUP(B31,'Vendor Master'!$A$9:$F$33,2,0)</f>
        <v>Patel &amp; Co</v>
      </c>
      <c r="N31" s="42" t="n">
        <f aca="false">VLOOKUP(B31,'Vendor Master'!$A$9:$F$33,5,0)</f>
        <v>90</v>
      </c>
    </row>
    <row r="32" customFormat="false" ht="15" hidden="false" customHeight="false" outlineLevel="0" collapsed="false">
      <c r="A32" s="26" t="s">
        <v>170</v>
      </c>
      <c r="B32" s="26" t="s">
        <v>90</v>
      </c>
      <c r="C32" s="43" t="n">
        <v>137300</v>
      </c>
      <c r="D32" s="35"/>
      <c r="E32" s="36"/>
      <c r="M32" s="0" t="str">
        <f aca="false">VLOOKUP(B32,'Vendor Master'!$A$9:$F$33,2,0)</f>
        <v>Sunrise Packaging</v>
      </c>
      <c r="N32" s="42" t="n">
        <f aca="false">VLOOKUP(B32,'Vendor Master'!$A$9:$F$33,5,0)</f>
        <v>90</v>
      </c>
    </row>
    <row r="33" customFormat="false" ht="15" hidden="false" customHeight="false" outlineLevel="0" collapsed="false">
      <c r="A33" s="24" t="s">
        <v>171</v>
      </c>
      <c r="B33" s="24" t="s">
        <v>62</v>
      </c>
      <c r="C33" s="34" t="n">
        <v>288300</v>
      </c>
      <c r="D33" s="35"/>
      <c r="E33" s="36"/>
      <c r="M33" s="0" t="str">
        <f aca="false">VLOOKUP(B33,'Vendor Master'!$A$9:$F$33,2,0)</f>
        <v>Meera Pharma</v>
      </c>
      <c r="N33" s="42" t="n">
        <f aca="false">VLOOKUP(B33,'Vendor Master'!$A$9:$F$33,5,0)</f>
        <v>30</v>
      </c>
    </row>
  </sheetData>
  <mergeCells count="3">
    <mergeCell ref="A1:K1"/>
    <mergeCell ref="A2:K2"/>
    <mergeCell ref="A3:K5"/>
  </mergeCells>
  <conditionalFormatting sqref="J9:J12">
    <cfRule type="expression" priority="2" aboveAverage="0" equalAverage="0" bottom="0" percent="0" rank="0" text="" dxfId="0">
      <formula>LEFT(J9,1)="✓"</formula>
    </cfRule>
    <cfRule type="expression" priority="3" aboveAverage="0" equalAverage="0" bottom="0" percent="0" rank="0" text="" dxfId="1">
      <formula>LEFT(J9,1)="✗"</formula>
    </cfRule>
    <cfRule type="expression" priority="4" aboveAverage="0" equalAverage="0" bottom="0" percent="0" rank="0" text="" dxfId="2">
      <formula>LEFT(J9,1)="✎"</formula>
    </cfRule>
    <cfRule type="expression" priority="5" aboveAverage="0" equalAverage="0" bottom="0" percent="0" rank="0" text="" dxfId="3">
      <formula>LEFT(J9,1)="◯"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9"/>
    <col collapsed="false" customWidth="true" hidden="false" outlineLevel="0" max="4" min="4" style="0" width="13"/>
    <col collapsed="false" customWidth="true" hidden="false" outlineLevel="0" max="5" min="5" style="0" width="3"/>
    <col collapsed="false" customWidth="true" hidden="false" outlineLevel="0" max="6" min="6" style="0" width="5"/>
    <col collapsed="false" customWidth="true" hidden="false" outlineLevel="0" max="7" min="7" style="0" width="46"/>
    <col collapsed="false" customWidth="true" hidden="false" outlineLevel="0" max="8" min="8" style="0" width="18"/>
    <col collapsed="false" customWidth="true" hidden="false" outlineLevel="0" max="9" min="9" style="0" width="17"/>
    <col collapsed="false" customWidth="true" hidden="false" outlineLevel="0" max="10" min="10" style="0" width="38"/>
    <col collapsed="false" customWidth="true" hidden="true" outlineLevel="0" max="14" min="11" style="0" width="13"/>
  </cols>
  <sheetData>
    <row r="1" customFormat="false" ht="31.5" hidden="false" customHeight="true" outlineLevel="0" collapsed="false">
      <c r="A1" s="46" t="s">
        <v>172</v>
      </c>
      <c r="B1" s="46"/>
      <c r="C1" s="46"/>
      <c r="D1" s="46"/>
      <c r="E1" s="46"/>
      <c r="F1" s="46"/>
      <c r="G1" s="46"/>
      <c r="H1" s="46"/>
      <c r="I1" s="46"/>
      <c r="J1" s="46"/>
    </row>
    <row r="2" customFormat="false" ht="19.5" hidden="false" customHeight="true" outlineLevel="0" collapsed="false">
      <c r="A2" s="47" t="s">
        <v>173</v>
      </c>
      <c r="B2" s="47"/>
      <c r="C2" s="47"/>
      <c r="D2" s="47"/>
      <c r="E2" s="47"/>
      <c r="F2" s="47"/>
      <c r="G2" s="47"/>
      <c r="H2" s="47"/>
      <c r="I2" s="47"/>
      <c r="J2" s="47"/>
    </row>
    <row r="3" customFormat="false" ht="18.75" hidden="false" customHeight="true" outlineLevel="0" collapsed="false">
      <c r="A3" s="48" t="s">
        <v>174</v>
      </c>
      <c r="B3" s="48"/>
      <c r="C3" s="48"/>
      <c r="D3" s="48"/>
      <c r="E3" s="48"/>
      <c r="F3" s="48"/>
      <c r="G3" s="48"/>
      <c r="H3" s="48"/>
      <c r="I3" s="48"/>
      <c r="J3" s="48"/>
    </row>
    <row r="4" customFormat="false" ht="18.75" hidden="false" customHeight="true" outlineLevel="0" collapsed="false">
      <c r="A4" s="48"/>
      <c r="B4" s="48"/>
      <c r="C4" s="48"/>
      <c r="D4" s="48"/>
      <c r="E4" s="48"/>
      <c r="F4" s="48"/>
      <c r="G4" s="48"/>
      <c r="H4" s="48"/>
      <c r="I4" s="48"/>
      <c r="J4" s="48"/>
    </row>
    <row r="5" customFormat="false" ht="18.75" hidden="false" customHeight="true" outlineLevel="0" collapsed="false">
      <c r="A5" s="48"/>
      <c r="B5" s="48"/>
      <c r="C5" s="48"/>
      <c r="D5" s="48"/>
      <c r="E5" s="48"/>
      <c r="F5" s="48"/>
      <c r="G5" s="48"/>
      <c r="H5" s="48"/>
      <c r="I5" s="48"/>
      <c r="J5" s="48"/>
    </row>
    <row r="6" customFormat="false" ht="19.5" hidden="false" customHeight="true" outlineLevel="0" collapsed="false"/>
    <row r="8" customFormat="false" ht="24" hidden="false" customHeight="true" outlineLevel="0" collapsed="false">
      <c r="A8" s="31" t="s">
        <v>175</v>
      </c>
      <c r="B8" s="31" t="s">
        <v>176</v>
      </c>
      <c r="C8" s="32" t="s">
        <v>177</v>
      </c>
      <c r="D8" s="32" t="s">
        <v>178</v>
      </c>
      <c r="F8" s="49" t="s">
        <v>14</v>
      </c>
      <c r="G8" s="49" t="s">
        <v>133</v>
      </c>
      <c r="H8" s="49" t="s">
        <v>134</v>
      </c>
      <c r="I8" s="49" t="s">
        <v>135</v>
      </c>
      <c r="J8" s="49" t="s">
        <v>136</v>
      </c>
    </row>
    <row r="9" customFormat="false" ht="33.75" hidden="false" customHeight="true" outlineLevel="0" collapsed="false">
      <c r="A9" s="24" t="s">
        <v>179</v>
      </c>
      <c r="B9" s="34" t="n">
        <v>404500</v>
      </c>
      <c r="C9" s="50"/>
      <c r="D9" s="51"/>
      <c r="F9" s="52" t="n">
        <v>1</v>
      </c>
      <c r="G9" s="38" t="s">
        <v>180</v>
      </c>
      <c r="H9" s="39" t="s">
        <v>181</v>
      </c>
      <c r="I9" s="40" t="str">
        <f aca="false">IF(COUNTA($C$9:$C$28)=0,"◯ Not attempted",IF(NOT(_xlfn.ISFORMULA(C9)),"✎ Use a formula",IFERROR(IF(SUMPRODUCT(--(ABS($C$9:$C$28-$L$9:$L$28)&lt;0.000001))=ROWS($C$9:$C$28),"✓ Correct","✗ "&amp;(ROWS($C$9:$C$28)-SUMPRODUCT(--(ABS($C$9:$C$28-$L$9:$L$28)&lt;0.000001)))&amp;" rows differ"),"✗ Check the column")))</f>
        <v>◯ Not attempted</v>
      </c>
      <c r="J9" s="41" t="s">
        <v>182</v>
      </c>
      <c r="L9" s="0" t="n">
        <f aca="false">VLOOKUP(B9,$G$16:$H$20,2,TRUE())</f>
        <v>0.035</v>
      </c>
      <c r="M9" s="0" t="n">
        <f aca="false">ROUND(B9*VLOOKUP(B9,$G$16:$H$20,2,TRUE()),0)</f>
        <v>14158</v>
      </c>
    </row>
    <row r="10" customFormat="false" ht="33.75" hidden="false" customHeight="true" outlineLevel="0" collapsed="false">
      <c r="A10" s="26" t="s">
        <v>183</v>
      </c>
      <c r="B10" s="43" t="n">
        <v>553500</v>
      </c>
      <c r="C10" s="50"/>
      <c r="D10" s="51"/>
      <c r="F10" s="52" t="n">
        <v>2</v>
      </c>
      <c r="G10" s="38" t="s">
        <v>184</v>
      </c>
      <c r="H10" s="39" t="s">
        <v>139</v>
      </c>
      <c r="I10" s="40" t="str">
        <f aca="false">IF(COUNTA($D$9:$D$28)=0,"◯ Not attempted",IF(NOT(_xlfn.ISFORMULA(D9)),"✎ Use a formula",IFERROR(IF(SUMPRODUCT(--(ABS($D$9:$D$28-$M$9:$M$28)&lt;0.01))=ROWS($D$9:$D$28),"✓ Correct","✗ "&amp;(ROWS($D$9:$D$28)-SUMPRODUCT(--(ABS($D$9:$D$28-$M$9:$M$28)&lt;0.01)))&amp;" rows differ"),"✗ Check the column")))</f>
        <v>◯ Not attempted</v>
      </c>
      <c r="J10" s="41" t="s">
        <v>185</v>
      </c>
      <c r="L10" s="0" t="n">
        <f aca="false">VLOOKUP(B10,$G$16:$H$20,2,TRUE())</f>
        <v>0.05</v>
      </c>
      <c r="M10" s="0" t="n">
        <f aca="false">ROUND(B10*VLOOKUP(B10,$G$16:$H$20,2,TRUE()),0)</f>
        <v>27675</v>
      </c>
    </row>
    <row r="11" customFormat="false" ht="33.75" hidden="false" customHeight="true" outlineLevel="0" collapsed="false">
      <c r="A11" s="24" t="s">
        <v>186</v>
      </c>
      <c r="B11" s="34" t="n">
        <v>1557000</v>
      </c>
      <c r="C11" s="50"/>
      <c r="D11" s="51"/>
      <c r="F11" s="52" t="n">
        <v>3</v>
      </c>
      <c r="G11" s="38" t="s">
        <v>187</v>
      </c>
      <c r="H11" s="45"/>
      <c r="I11" s="40" t="str">
        <f aca="false">IF(ISBLANK(H11),"◯ Not attempted",IF(NOT(_xlfn.ISFORMULA(H11)),"✎ Use a formula",IF(ISNUMBER(H11),IF(ABS(H11-$K$11)&lt;0.005,"✓ Correct","✗ Check again"),"✗ Not a number")))</f>
        <v>◯ Not attempted</v>
      </c>
      <c r="J11" s="41" t="s">
        <v>188</v>
      </c>
      <c r="K11" s="0" t="n">
        <f aca="false">SUMPRODUCT(ROUND($B$9:$B$28*LOOKUP($B$9:$B$28,$G$16:$G$20,$H$16:$H$20),0))</f>
        <v>1108875</v>
      </c>
      <c r="L11" s="0" t="n">
        <f aca="false">VLOOKUP(B11,$G$16:$H$20,2,TRUE())</f>
        <v>0.065</v>
      </c>
      <c r="M11" s="0" t="n">
        <f aca="false">ROUND(B11*VLOOKUP(B11,$G$16:$H$20,2,TRUE()),0)</f>
        <v>101205</v>
      </c>
    </row>
    <row r="12" customFormat="false" ht="33.75" hidden="false" customHeight="true" outlineLevel="0" collapsed="false">
      <c r="A12" s="26" t="s">
        <v>189</v>
      </c>
      <c r="B12" s="43" t="n">
        <v>1394000</v>
      </c>
      <c r="C12" s="50"/>
      <c r="D12" s="51"/>
      <c r="F12" s="52" t="n">
        <v>4</v>
      </c>
      <c r="G12" s="38" t="s">
        <v>190</v>
      </c>
      <c r="H12" s="53"/>
      <c r="I12" s="40" t="str">
        <f aca="false">IF(ISBLANK(H12),"◯ Not attempted",IF(NOT(_xlfn.ISFORMULA(H12)),"✎ Use a formula",IF(ISNUMBER(H12),IF(ABS(H12-$K$12)&lt;0.000001,"✓ Correct","✗ Check again"),"✗ Not a number")))</f>
        <v>◯ Not attempted</v>
      </c>
      <c r="J12" s="41" t="s">
        <v>191</v>
      </c>
      <c r="K12" s="54" t="n">
        <f aca="false">VLOOKUP(250000,$G$16:$H$20,2,TRUE())</f>
        <v>0.035</v>
      </c>
      <c r="L12" s="42" t="n">
        <f aca="false">VLOOKUP(B12,$G$16:$H$20,2,TRUE())</f>
        <v>0.065</v>
      </c>
      <c r="M12" s="42" t="n">
        <f aca="false">ROUND(B12*VLOOKUP(B12,$G$16:$H$20,2,TRUE()),0)</f>
        <v>90610</v>
      </c>
    </row>
    <row r="13" customFormat="false" ht="15" hidden="false" customHeight="false" outlineLevel="0" collapsed="false">
      <c r="A13" s="24" t="s">
        <v>192</v>
      </c>
      <c r="B13" s="34" t="n">
        <v>1379000</v>
      </c>
      <c r="C13" s="50"/>
      <c r="D13" s="51"/>
      <c r="L13" s="42" t="n">
        <f aca="false">VLOOKUP(B13,$G$16:$H$20,2,TRUE())</f>
        <v>0.065</v>
      </c>
      <c r="M13" s="42" t="n">
        <f aca="false">ROUND(B13*VLOOKUP(B13,$G$16:$H$20,2,TRUE()),0)</f>
        <v>89635</v>
      </c>
    </row>
    <row r="14" customFormat="false" ht="15" hidden="false" customHeight="false" outlineLevel="0" collapsed="false">
      <c r="A14" s="26" t="s">
        <v>193</v>
      </c>
      <c r="B14" s="43" t="n">
        <v>456500</v>
      </c>
      <c r="C14" s="50"/>
      <c r="D14" s="51"/>
      <c r="G14" s="55" t="s">
        <v>194</v>
      </c>
      <c r="L14" s="42" t="n">
        <f aca="false">VLOOKUP(B14,$G$16:$H$20,2,TRUE())</f>
        <v>0.035</v>
      </c>
      <c r="M14" s="42" t="n">
        <f aca="false">ROUND(B14*VLOOKUP(B14,$G$16:$H$20,2,TRUE()),0)</f>
        <v>15978</v>
      </c>
    </row>
    <row r="15" customFormat="false" ht="15" hidden="false" customHeight="false" outlineLevel="0" collapsed="false">
      <c r="A15" s="24" t="s">
        <v>195</v>
      </c>
      <c r="B15" s="34" t="n">
        <v>864500</v>
      </c>
      <c r="C15" s="50"/>
      <c r="D15" s="51"/>
      <c r="G15" s="56" t="s">
        <v>196</v>
      </c>
      <c r="H15" s="56" t="s">
        <v>177</v>
      </c>
      <c r="L15" s="42" t="n">
        <f aca="false">VLOOKUP(B15,$G$16:$H$20,2,TRUE())</f>
        <v>0.05</v>
      </c>
      <c r="M15" s="42" t="n">
        <f aca="false">ROUND(B15*VLOOKUP(B15,$G$16:$H$20,2,TRUE()),0)</f>
        <v>43225</v>
      </c>
    </row>
    <row r="16" customFormat="false" ht="15" hidden="false" customHeight="false" outlineLevel="0" collapsed="false">
      <c r="A16" s="26" t="s">
        <v>197</v>
      </c>
      <c r="B16" s="43" t="n">
        <v>1377000</v>
      </c>
      <c r="C16" s="50"/>
      <c r="D16" s="51"/>
      <c r="G16" s="57" t="n">
        <v>0</v>
      </c>
      <c r="H16" s="58" t="n">
        <v>0</v>
      </c>
      <c r="L16" s="42" t="n">
        <f aca="false">VLOOKUP(B16,$G$16:$H$20,2,TRUE())</f>
        <v>0.065</v>
      </c>
      <c r="M16" s="42" t="n">
        <f aca="false">ROUND(B16*VLOOKUP(B16,$G$16:$H$20,2,TRUE()),0)</f>
        <v>89505</v>
      </c>
    </row>
    <row r="17" customFormat="false" ht="15" hidden="false" customHeight="false" outlineLevel="0" collapsed="false">
      <c r="A17" s="24" t="s">
        <v>198</v>
      </c>
      <c r="B17" s="34" t="n">
        <v>1462500</v>
      </c>
      <c r="C17" s="50"/>
      <c r="D17" s="51"/>
      <c r="G17" s="57" t="n">
        <v>100000</v>
      </c>
      <c r="H17" s="58" t="n">
        <v>0.02</v>
      </c>
      <c r="L17" s="42" t="n">
        <f aca="false">VLOOKUP(B17,$G$16:$H$20,2,TRUE())</f>
        <v>0.065</v>
      </c>
      <c r="M17" s="42" t="n">
        <f aca="false">ROUND(B17*VLOOKUP(B17,$G$16:$H$20,2,TRUE()),0)</f>
        <v>95063</v>
      </c>
    </row>
    <row r="18" customFormat="false" ht="15" hidden="false" customHeight="false" outlineLevel="0" collapsed="false">
      <c r="A18" s="26" t="s">
        <v>199</v>
      </c>
      <c r="B18" s="43" t="n">
        <v>729500</v>
      </c>
      <c r="C18" s="50"/>
      <c r="D18" s="51"/>
      <c r="G18" s="57" t="n">
        <v>250000</v>
      </c>
      <c r="H18" s="58" t="n">
        <v>0.035</v>
      </c>
      <c r="L18" s="42" t="n">
        <f aca="false">VLOOKUP(B18,$G$16:$H$20,2,TRUE())</f>
        <v>0.05</v>
      </c>
      <c r="M18" s="42" t="n">
        <f aca="false">ROUND(B18*VLOOKUP(B18,$G$16:$H$20,2,TRUE()),0)</f>
        <v>36475</v>
      </c>
    </row>
    <row r="19" customFormat="false" ht="15" hidden="false" customHeight="false" outlineLevel="0" collapsed="false">
      <c r="A19" s="24" t="s">
        <v>200</v>
      </c>
      <c r="B19" s="34" t="n">
        <v>944500</v>
      </c>
      <c r="C19" s="50"/>
      <c r="D19" s="51"/>
      <c r="G19" s="57" t="n">
        <v>500000</v>
      </c>
      <c r="H19" s="58" t="n">
        <v>0.05</v>
      </c>
      <c r="L19" s="42" t="n">
        <f aca="false">VLOOKUP(B19,$G$16:$H$20,2,TRUE())</f>
        <v>0.05</v>
      </c>
      <c r="M19" s="42" t="n">
        <f aca="false">ROUND(B19*VLOOKUP(B19,$G$16:$H$20,2,TRUE()),0)</f>
        <v>47225</v>
      </c>
    </row>
    <row r="20" customFormat="false" ht="15" hidden="false" customHeight="false" outlineLevel="0" collapsed="false">
      <c r="A20" s="26" t="s">
        <v>201</v>
      </c>
      <c r="B20" s="43" t="n">
        <v>1311000</v>
      </c>
      <c r="C20" s="50"/>
      <c r="D20" s="51"/>
      <c r="G20" s="57" t="n">
        <v>1000000</v>
      </c>
      <c r="H20" s="58" t="n">
        <v>0.065</v>
      </c>
      <c r="L20" s="42" t="n">
        <f aca="false">VLOOKUP(B20,$G$16:$H$20,2,TRUE())</f>
        <v>0.065</v>
      </c>
      <c r="M20" s="42" t="n">
        <f aca="false">ROUND(B20*VLOOKUP(B20,$G$16:$H$20,2,TRUE()),0)</f>
        <v>85215</v>
      </c>
    </row>
    <row r="21" customFormat="false" ht="15" hidden="false" customHeight="false" outlineLevel="0" collapsed="false">
      <c r="A21" s="24" t="s">
        <v>202</v>
      </c>
      <c r="B21" s="34" t="n">
        <v>1538000</v>
      </c>
      <c r="C21" s="50"/>
      <c r="D21" s="51"/>
      <c r="L21" s="42" t="n">
        <f aca="false">VLOOKUP(B21,$G$16:$H$20,2,TRUE())</f>
        <v>0.065</v>
      </c>
      <c r="M21" s="42" t="n">
        <f aca="false">ROUND(B21*VLOOKUP(B21,$G$16:$H$20,2,TRUE()),0)</f>
        <v>99970</v>
      </c>
    </row>
    <row r="22" customFormat="false" ht="15" hidden="false" customHeight="false" outlineLevel="0" collapsed="false">
      <c r="A22" s="26" t="s">
        <v>203</v>
      </c>
      <c r="B22" s="43" t="n">
        <v>505500</v>
      </c>
      <c r="C22" s="50"/>
      <c r="D22" s="51"/>
      <c r="L22" s="42" t="n">
        <f aca="false">VLOOKUP(B22,$G$16:$H$20,2,TRUE())</f>
        <v>0.05</v>
      </c>
      <c r="M22" s="42" t="n">
        <f aca="false">ROUND(B22*VLOOKUP(B22,$G$16:$H$20,2,TRUE()),0)</f>
        <v>25275</v>
      </c>
    </row>
    <row r="23" customFormat="false" ht="15" hidden="false" customHeight="false" outlineLevel="0" collapsed="false">
      <c r="A23" s="24" t="s">
        <v>204</v>
      </c>
      <c r="B23" s="34" t="n">
        <v>604500</v>
      </c>
      <c r="C23" s="50"/>
      <c r="D23" s="51"/>
      <c r="L23" s="42" t="n">
        <f aca="false">VLOOKUP(B23,$G$16:$H$20,2,TRUE())</f>
        <v>0.05</v>
      </c>
      <c r="M23" s="42" t="n">
        <f aca="false">ROUND(B23*VLOOKUP(B23,$G$16:$H$20,2,TRUE()),0)</f>
        <v>30225</v>
      </c>
    </row>
    <row r="24" customFormat="false" ht="15" hidden="false" customHeight="false" outlineLevel="0" collapsed="false">
      <c r="A24" s="26" t="s">
        <v>205</v>
      </c>
      <c r="B24" s="43" t="n">
        <v>432500</v>
      </c>
      <c r="C24" s="50"/>
      <c r="D24" s="51"/>
      <c r="L24" s="42" t="n">
        <f aca="false">VLOOKUP(B24,$G$16:$H$20,2,TRUE())</f>
        <v>0.035</v>
      </c>
      <c r="M24" s="42" t="n">
        <f aca="false">ROUND(B24*VLOOKUP(B24,$G$16:$H$20,2,TRUE()),0)</f>
        <v>15138</v>
      </c>
    </row>
    <row r="25" customFormat="false" ht="15" hidden="false" customHeight="false" outlineLevel="0" collapsed="false">
      <c r="A25" s="24" t="s">
        <v>206</v>
      </c>
      <c r="B25" s="34" t="n">
        <v>64000</v>
      </c>
      <c r="C25" s="50"/>
      <c r="D25" s="51"/>
      <c r="L25" s="42" t="n">
        <f aca="false">VLOOKUP(B25,$G$16:$H$20,2,TRUE())</f>
        <v>0</v>
      </c>
      <c r="M25" s="42" t="n">
        <f aca="false">ROUND(B25*VLOOKUP(B25,$G$16:$H$20,2,TRUE()),0)</f>
        <v>0</v>
      </c>
    </row>
    <row r="26" customFormat="false" ht="15" hidden="false" customHeight="false" outlineLevel="0" collapsed="false">
      <c r="A26" s="26" t="s">
        <v>207</v>
      </c>
      <c r="B26" s="43" t="n">
        <v>1305000</v>
      </c>
      <c r="C26" s="50"/>
      <c r="D26" s="51"/>
      <c r="L26" s="42" t="n">
        <f aca="false">VLOOKUP(B26,$G$16:$H$20,2,TRUE())</f>
        <v>0.065</v>
      </c>
      <c r="M26" s="42" t="n">
        <f aca="false">ROUND(B26*VLOOKUP(B26,$G$16:$H$20,2,TRUE()),0)</f>
        <v>84825</v>
      </c>
    </row>
    <row r="27" customFormat="false" ht="15" hidden="false" customHeight="false" outlineLevel="0" collapsed="false">
      <c r="A27" s="24" t="s">
        <v>208</v>
      </c>
      <c r="B27" s="34" t="n">
        <v>1081500</v>
      </c>
      <c r="C27" s="50"/>
      <c r="D27" s="51"/>
      <c r="L27" s="42" t="n">
        <f aca="false">VLOOKUP(B27,$G$16:$H$20,2,TRUE())</f>
        <v>0.065</v>
      </c>
      <c r="M27" s="42" t="n">
        <f aca="false">ROUND(B27*VLOOKUP(B27,$G$16:$H$20,2,TRUE()),0)</f>
        <v>70298</v>
      </c>
    </row>
    <row r="28" customFormat="false" ht="15" hidden="false" customHeight="false" outlineLevel="0" collapsed="false">
      <c r="A28" s="26" t="s">
        <v>209</v>
      </c>
      <c r="B28" s="43" t="n">
        <v>943500</v>
      </c>
      <c r="C28" s="50"/>
      <c r="D28" s="51"/>
      <c r="L28" s="42" t="n">
        <f aca="false">VLOOKUP(B28,$G$16:$H$20,2,TRUE())</f>
        <v>0.05</v>
      </c>
      <c r="M28" s="42" t="n">
        <f aca="false">ROUND(B28*VLOOKUP(B28,$G$16:$H$20,2,TRUE()),0)</f>
        <v>47175</v>
      </c>
    </row>
  </sheetData>
  <mergeCells count="3">
    <mergeCell ref="A1:J1"/>
    <mergeCell ref="A2:J2"/>
    <mergeCell ref="A3:J5"/>
  </mergeCells>
  <conditionalFormatting sqref="I9:I12">
    <cfRule type="expression" priority="2" aboveAverage="0" equalAverage="0" bottom="0" percent="0" rank="0" text="" dxfId="0">
      <formula>LEFT(I9,1)="✓"</formula>
    </cfRule>
    <cfRule type="expression" priority="3" aboveAverage="0" equalAverage="0" bottom="0" percent="0" rank="0" text="" dxfId="1">
      <formula>LEFT(I9,1)="✗"</formula>
    </cfRule>
    <cfRule type="expression" priority="4" aboveAverage="0" equalAverage="0" bottom="0" percent="0" rank="0" text="" dxfId="2">
      <formula>LEFT(I9,1)="✎"</formula>
    </cfRule>
    <cfRule type="expression" priority="5" aboveAverage="0" equalAverage="0" bottom="0" percent="0" rank="0" text="" dxfId="3">
      <formula>LEFT(I9,1)="◯"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2"/>
    <col collapsed="false" customWidth="true" hidden="false" outlineLevel="0" max="4" min="4" style="0" width="9"/>
    <col collapsed="false" customWidth="true" hidden="false" outlineLevel="0" max="5" min="5" style="0" width="18"/>
    <col collapsed="false" customWidth="true" hidden="false" outlineLevel="0" max="6" min="6" style="0" width="3"/>
    <col collapsed="false" customWidth="true" hidden="false" outlineLevel="0" max="7" min="7" style="0" width="5"/>
    <col collapsed="false" customWidth="true" hidden="false" outlineLevel="0" max="8" min="8" style="0" width="46"/>
    <col collapsed="false" customWidth="true" hidden="false" outlineLevel="0" max="9" min="9" style="0" width="18"/>
    <col collapsed="false" customWidth="true" hidden="false" outlineLevel="0" max="10" min="10" style="0" width="17"/>
    <col collapsed="false" customWidth="true" hidden="false" outlineLevel="0" max="11" min="11" style="0" width="38"/>
    <col collapsed="false" customWidth="true" hidden="true" outlineLevel="0" max="15" min="12" style="0" width="13"/>
  </cols>
  <sheetData>
    <row r="1" customFormat="false" ht="31.5" hidden="false" customHeight="true" outlineLevel="0" collapsed="false">
      <c r="A1" s="46" t="s">
        <v>210</v>
      </c>
      <c r="B1" s="46"/>
      <c r="C1" s="46"/>
      <c r="D1" s="46"/>
      <c r="E1" s="46"/>
      <c r="F1" s="46"/>
      <c r="G1" s="46"/>
      <c r="H1" s="46"/>
      <c r="I1" s="46"/>
      <c r="J1" s="46"/>
      <c r="K1" s="46"/>
    </row>
    <row r="2" customFormat="false" ht="19.5" hidden="false" customHeight="true" outlineLevel="0" collapsed="false">
      <c r="A2" s="47" t="s">
        <v>211</v>
      </c>
      <c r="B2" s="47"/>
      <c r="C2" s="47"/>
      <c r="D2" s="47"/>
      <c r="E2" s="47"/>
      <c r="F2" s="47"/>
      <c r="G2" s="47"/>
      <c r="H2" s="47"/>
      <c r="I2" s="47"/>
      <c r="J2" s="47"/>
      <c r="K2" s="47"/>
    </row>
    <row r="3" customFormat="false" ht="18.75" hidden="false" customHeight="true" outlineLevel="0" collapsed="false">
      <c r="A3" s="48" t="s">
        <v>212</v>
      </c>
      <c r="B3" s="48"/>
      <c r="C3" s="48"/>
      <c r="D3" s="48"/>
      <c r="E3" s="48"/>
      <c r="F3" s="48"/>
      <c r="G3" s="48"/>
      <c r="H3" s="48"/>
      <c r="I3" s="48"/>
      <c r="J3" s="48"/>
      <c r="K3" s="48"/>
    </row>
    <row r="4" customFormat="false" ht="18.75" hidden="false" customHeight="true" outlineLevel="0" collapsed="false">
      <c r="A4" s="48"/>
      <c r="B4" s="48"/>
      <c r="C4" s="48"/>
      <c r="D4" s="48"/>
      <c r="E4" s="48"/>
      <c r="F4" s="48"/>
      <c r="G4" s="48"/>
      <c r="H4" s="48"/>
      <c r="I4" s="48"/>
      <c r="J4" s="48"/>
      <c r="K4" s="48"/>
    </row>
    <row r="5" customFormat="false" ht="18.75" hidden="false" customHeight="true" outlineLevel="0" collapsed="false">
      <c r="A5" s="48"/>
      <c r="B5" s="48"/>
      <c r="C5" s="48"/>
      <c r="D5" s="48"/>
      <c r="E5" s="48"/>
      <c r="F5" s="48"/>
      <c r="G5" s="48"/>
      <c r="H5" s="48"/>
      <c r="I5" s="48"/>
      <c r="J5" s="48"/>
      <c r="K5" s="48"/>
    </row>
    <row r="6" customFormat="false" ht="19.5" hidden="false" customHeight="true" outlineLevel="0" collapsed="false"/>
    <row r="8" customFormat="false" ht="24" hidden="false" customHeight="true" outlineLevel="0" collapsed="false">
      <c r="A8" s="31" t="s">
        <v>213</v>
      </c>
      <c r="B8" s="31" t="s">
        <v>35</v>
      </c>
      <c r="C8" s="31" t="s">
        <v>132</v>
      </c>
      <c r="D8" s="32" t="s">
        <v>34</v>
      </c>
      <c r="E8" s="32" t="s">
        <v>37</v>
      </c>
      <c r="G8" s="49" t="s">
        <v>14</v>
      </c>
      <c r="H8" s="49" t="s">
        <v>133</v>
      </c>
      <c r="I8" s="49" t="s">
        <v>134</v>
      </c>
      <c r="J8" s="49" t="s">
        <v>135</v>
      </c>
      <c r="K8" s="49" t="s">
        <v>136</v>
      </c>
    </row>
    <row r="9" customFormat="false" ht="33.75" hidden="false" customHeight="true" outlineLevel="0" collapsed="false">
      <c r="A9" s="24" t="s">
        <v>214</v>
      </c>
      <c r="B9" s="24" t="s">
        <v>120</v>
      </c>
      <c r="C9" s="34" t="n">
        <v>184700</v>
      </c>
      <c r="D9" s="35"/>
      <c r="E9" s="35"/>
      <c r="G9" s="52" t="n">
        <v>1</v>
      </c>
      <c r="H9" s="38" t="s">
        <v>215</v>
      </c>
      <c r="I9" s="39" t="s">
        <v>139</v>
      </c>
      <c r="J9" s="40" t="str">
        <f aca="false">IF(COUNTA($D$9:$D$28)=0,"◯ Not attempted",IF(NOT(_xlfn.ISFORMULA(D9)),"✎ Use a formula",IFERROR(IF(SUMPRODUCT(--(UPPER(TRIM($D$9:$D$28&amp;""))=UPPER(TRIM($M$9:$M$28&amp;""))))=ROWS($D$9:$D$28),"✓ Correct","✗ "&amp;(ROWS($D$9:$D$28)-SUMPRODUCT(--(UPPER(TRIM($D$9:$D$28&amp;""))=UPPER(TRIM($M$9:$M$28&amp;"")))))&amp;" rows differ"),"✗ Check the column")))</f>
        <v>◯ Not attempted</v>
      </c>
      <c r="K9" s="41" t="s">
        <v>216</v>
      </c>
      <c r="M9" s="0" t="str">
        <f aca="false">INDEX('Vendor Master'!$A$9:$A$33,MATCH(B9,'Vendor Master'!$B$9:$B$33,0))</f>
        <v>V023</v>
      </c>
      <c r="N9" s="0" t="str">
        <f aca="false">INDEX('Vendor Master'!$D$9:$D$33,MATCH(B9,'Vendor Master'!$B$9:$B$33,0))</f>
        <v>07AABCT5563Z1ZH</v>
      </c>
    </row>
    <row r="10" customFormat="false" ht="33.75" hidden="false" customHeight="true" outlineLevel="0" collapsed="false">
      <c r="A10" s="26" t="s">
        <v>217</v>
      </c>
      <c r="B10" s="26" t="s">
        <v>66</v>
      </c>
      <c r="C10" s="43" t="n">
        <v>23300</v>
      </c>
      <c r="D10" s="35"/>
      <c r="E10" s="35"/>
      <c r="G10" s="52" t="n">
        <v>2</v>
      </c>
      <c r="H10" s="38" t="s">
        <v>218</v>
      </c>
      <c r="I10" s="39" t="s">
        <v>143</v>
      </c>
      <c r="J10" s="40" t="str">
        <f aca="false">IF(COUNTA($E$9:$E$28)=0,"◯ Not attempted",IF(NOT(_xlfn.ISFORMULA(E9)),"✎ Use a formula",IFERROR(IF(SUMPRODUCT(--(UPPER(TRIM($E$9:$E$28&amp;""))=UPPER(TRIM($N$9:$N$28&amp;""))))=ROWS($E$9:$E$28),"✓ Correct","✗ "&amp;(ROWS($E$9:$E$28)-SUMPRODUCT(--(UPPER(TRIM($E$9:$E$28&amp;""))=UPPER(TRIM($N$9:$N$28&amp;"")))))&amp;" rows differ"),"✗ Check the column")))</f>
        <v>◯ Not attempted</v>
      </c>
      <c r="K10" s="41" t="s">
        <v>219</v>
      </c>
      <c r="M10" s="0" t="str">
        <f aca="false">INDEX('Vendor Master'!$A$9:$A$33,MATCH(B10,'Vendor Master'!$B$9:$B$33,0))</f>
        <v>V007</v>
      </c>
      <c r="N10" s="0" t="str">
        <f aca="false">INDEX('Vendor Master'!$D$9:$D$33,MATCH(B10,'Vendor Master'!$B$9:$B$33,0))</f>
        <v>33AABCJ6745G1ZJ</v>
      </c>
    </row>
    <row r="11" customFormat="false" ht="33.75" hidden="false" customHeight="true" outlineLevel="0" collapsed="false">
      <c r="A11" s="24" t="s">
        <v>220</v>
      </c>
      <c r="B11" s="24" t="s">
        <v>84</v>
      </c>
      <c r="C11" s="34" t="n">
        <v>283800</v>
      </c>
      <c r="D11" s="35"/>
      <c r="E11" s="35"/>
      <c r="G11" s="52" t="n">
        <v>3</v>
      </c>
      <c r="H11" s="38" t="s">
        <v>221</v>
      </c>
      <c r="I11" s="59"/>
      <c r="J11" s="40" t="str">
        <f aca="false">IF(ISBLANK(I11),"◯ Not attempted",IF(NOT(_xlfn.ISFORMULA(I11)),"✎ Use a formula",IF(ISNUMBER(I11),IF(ABS(I11-$L$11)&lt;0.005,"✓ Correct","✗ Check again"),"✗ Not a number")))</f>
        <v>◯ Not attempted</v>
      </c>
      <c r="K11" s="41" t="s">
        <v>222</v>
      </c>
      <c r="L11" s="60" t="n">
        <f aca="false">MATCH("Metro Freight",'Vendor Master'!$B$9:$B$33,0)</f>
        <v>17</v>
      </c>
      <c r="M11" s="0" t="str">
        <f aca="false">INDEX('Vendor Master'!$A$9:$A$33,MATCH(B11,'Vendor Master'!$B$9:$B$33,0))</f>
        <v>V012</v>
      </c>
      <c r="N11" s="0" t="str">
        <f aca="false">INDEX('Vendor Master'!$D$9:$D$33,MATCH(B11,'Vendor Master'!$B$9:$B$33,0))</f>
        <v>33AABCU3111R1ZF</v>
      </c>
    </row>
    <row r="12" customFormat="false" ht="33.75" hidden="false" customHeight="true" outlineLevel="0" collapsed="false">
      <c r="A12" s="26" t="s">
        <v>223</v>
      </c>
      <c r="B12" s="26" t="s">
        <v>123</v>
      </c>
      <c r="C12" s="43" t="n">
        <v>184500</v>
      </c>
      <c r="D12" s="35"/>
      <c r="E12" s="35"/>
      <c r="G12" s="52" t="n">
        <v>4</v>
      </c>
      <c r="H12" s="38" t="s">
        <v>224</v>
      </c>
      <c r="I12" s="44"/>
      <c r="J12" s="40" t="str">
        <f aca="false">IF(ISBLANK(I12),"◯ Not attempted",IF(NOT(_xlfn.ISFORMULA(I12)),"✎ Use a formula",IF(UPPER(TRIM(I12&amp;""))=UPPER(TRIM($L$12&amp;"")),"✓ Correct","✗ Check again")))</f>
        <v>◯ Not attempted</v>
      </c>
      <c r="K12" s="41" t="s">
        <v>225</v>
      </c>
      <c r="L12" s="0" t="str">
        <f aca="false">INDEX('Vendor Master'!$F$9:$F$33,MATCH(INDEX($B$9:$B$28,MATCH(MAX($C$9:$C$28),$C$9:$C$28,0)),'Vendor Master'!$B$9:$B$33,0))</f>
        <v>Raw material</v>
      </c>
      <c r="M12" s="0" t="str">
        <f aca="false">INDEX('Vendor Master'!$A$9:$A$33,MATCH(B12,'Vendor Master'!$B$9:$B$33,0))</f>
        <v>V024</v>
      </c>
      <c r="N12" s="0" t="str">
        <f aca="false">INDEX('Vendor Master'!$D$9:$D$33,MATCH(B12,'Vendor Master'!$B$9:$B$33,0))</f>
        <v>33AABCE1853S1ZY</v>
      </c>
    </row>
    <row r="13" customFormat="false" ht="15" hidden="false" customHeight="false" outlineLevel="0" collapsed="false">
      <c r="A13" s="24" t="s">
        <v>226</v>
      </c>
      <c r="B13" s="24" t="s">
        <v>50</v>
      </c>
      <c r="C13" s="34" t="n">
        <v>438000</v>
      </c>
      <c r="D13" s="35"/>
      <c r="E13" s="35"/>
      <c r="M13" s="0" t="str">
        <f aca="false">INDEX('Vendor Master'!$A$9:$A$33,MATCH(B13,'Vendor Master'!$B$9:$B$33,0))</f>
        <v>V003</v>
      </c>
      <c r="N13" s="0" t="str">
        <f aca="false">INDEX('Vendor Master'!$D$9:$D$33,MATCH(B13,'Vendor Master'!$B$9:$B$33,0))</f>
        <v>33AABCM6353P1ZE</v>
      </c>
    </row>
    <row r="14" customFormat="false" ht="15" hidden="false" customHeight="false" outlineLevel="0" collapsed="false">
      <c r="A14" s="26" t="s">
        <v>227</v>
      </c>
      <c r="B14" s="26" t="s">
        <v>117</v>
      </c>
      <c r="C14" s="43" t="n">
        <v>200900</v>
      </c>
      <c r="D14" s="35"/>
      <c r="E14" s="35"/>
      <c r="M14" s="0" t="str">
        <f aca="false">INDEX('Vendor Master'!$A$9:$A$33,MATCH(B14,'Vendor Master'!$B$9:$B$33,0))</f>
        <v>V022</v>
      </c>
      <c r="N14" s="0" t="str">
        <f aca="false">INDEX('Vendor Master'!$D$9:$D$33,MATCH(B14,'Vendor Master'!$B$9:$B$33,0))</f>
        <v>33AABCR2950I1ZH</v>
      </c>
    </row>
    <row r="15" customFormat="false" ht="15" hidden="false" customHeight="false" outlineLevel="0" collapsed="false">
      <c r="A15" s="24" t="s">
        <v>228</v>
      </c>
      <c r="B15" s="24" t="s">
        <v>80</v>
      </c>
      <c r="C15" s="34" t="n">
        <v>261800</v>
      </c>
      <c r="D15" s="35"/>
      <c r="E15" s="35"/>
      <c r="M15" s="0" t="str">
        <f aca="false">INDEX('Vendor Master'!$A$9:$A$33,MATCH(B15,'Vendor Master'!$B$9:$B$33,0))</f>
        <v>V011</v>
      </c>
      <c r="N15" s="0" t="str">
        <f aca="false">INDEX('Vendor Master'!$D$9:$D$33,MATCH(B15,'Vendor Master'!$B$9:$B$33,0))</f>
        <v>07AABCD5717X1ZF</v>
      </c>
    </row>
    <row r="16" customFormat="false" ht="15" hidden="false" customHeight="false" outlineLevel="0" collapsed="false">
      <c r="A16" s="26" t="s">
        <v>229</v>
      </c>
      <c r="B16" s="26" t="s">
        <v>66</v>
      </c>
      <c r="C16" s="43" t="n">
        <v>307200</v>
      </c>
      <c r="D16" s="35"/>
      <c r="E16" s="35"/>
      <c r="M16" s="0" t="str">
        <f aca="false">INDEX('Vendor Master'!$A$9:$A$33,MATCH(B16,'Vendor Master'!$B$9:$B$33,0))</f>
        <v>V007</v>
      </c>
      <c r="N16" s="0" t="str">
        <f aca="false">INDEX('Vendor Master'!$D$9:$D$33,MATCH(B16,'Vendor Master'!$B$9:$B$33,0))</f>
        <v>33AABCJ6745G1ZJ</v>
      </c>
    </row>
    <row r="17" customFormat="false" ht="15" hidden="false" customHeight="false" outlineLevel="0" collapsed="false">
      <c r="A17" s="24" t="s">
        <v>230</v>
      </c>
      <c r="B17" s="24" t="s">
        <v>110</v>
      </c>
      <c r="C17" s="34" t="n">
        <v>244600</v>
      </c>
      <c r="D17" s="35"/>
      <c r="E17" s="35"/>
      <c r="M17" s="0" t="str">
        <f aca="false">INDEX('Vendor Master'!$A$9:$A$33,MATCH(B17,'Vendor Master'!$B$9:$B$33,0))</f>
        <v>V020</v>
      </c>
      <c r="N17" s="0" t="str">
        <f aca="false">INDEX('Vendor Master'!$D$9:$D$33,MATCH(B17,'Vendor Master'!$B$9:$B$33,0))</f>
        <v>07AABCM8988L1ZJ</v>
      </c>
    </row>
    <row r="18" customFormat="false" ht="15" hidden="false" customHeight="false" outlineLevel="0" collapsed="false">
      <c r="A18" s="26" t="s">
        <v>231</v>
      </c>
      <c r="B18" s="26" t="s">
        <v>63</v>
      </c>
      <c r="C18" s="43" t="n">
        <v>374300</v>
      </c>
      <c r="D18" s="35"/>
      <c r="E18" s="35"/>
      <c r="M18" s="0" t="str">
        <f aca="false">INDEX('Vendor Master'!$A$9:$A$33,MATCH(B18,'Vendor Master'!$B$9:$B$33,0))</f>
        <v>V006</v>
      </c>
      <c r="N18" s="0" t="str">
        <f aca="false">INDEX('Vendor Master'!$D$9:$D$33,MATCH(B18,'Vendor Master'!$B$9:$B$33,0))</f>
        <v>24AABCG3044L1ZE</v>
      </c>
    </row>
    <row r="19" customFormat="false" ht="15" hidden="false" customHeight="false" outlineLevel="0" collapsed="false">
      <c r="A19" s="24" t="s">
        <v>232</v>
      </c>
      <c r="B19" s="24" t="s">
        <v>107</v>
      </c>
      <c r="C19" s="34" t="n">
        <v>320000</v>
      </c>
      <c r="D19" s="35"/>
      <c r="E19" s="35"/>
      <c r="M19" s="0" t="str">
        <f aca="false">INDEX('Vendor Master'!$A$9:$A$33,MATCH(B19,'Vendor Master'!$B$9:$B$33,0))</f>
        <v>V019</v>
      </c>
      <c r="N19" s="0" t="str">
        <f aca="false">INDEX('Vendor Master'!$D$9:$D$33,MATCH(B19,'Vendor Master'!$B$9:$B$33,0))</f>
        <v>07AABCA1693N1ZB</v>
      </c>
    </row>
    <row r="20" customFormat="false" ht="15" hidden="false" customHeight="false" outlineLevel="0" collapsed="false">
      <c r="A20" s="26" t="s">
        <v>233</v>
      </c>
      <c r="B20" s="26" t="s">
        <v>84</v>
      </c>
      <c r="C20" s="43" t="n">
        <v>362600</v>
      </c>
      <c r="D20" s="35"/>
      <c r="E20" s="35"/>
      <c r="M20" s="0" t="str">
        <f aca="false">INDEX('Vendor Master'!$A$9:$A$33,MATCH(B20,'Vendor Master'!$B$9:$B$33,0))</f>
        <v>V012</v>
      </c>
      <c r="N20" s="0" t="str">
        <f aca="false">INDEX('Vendor Master'!$D$9:$D$33,MATCH(B20,'Vendor Master'!$B$9:$B$33,0))</f>
        <v>33AABCU3111R1ZF</v>
      </c>
    </row>
    <row r="21" customFormat="false" ht="15" hidden="false" customHeight="false" outlineLevel="0" collapsed="false">
      <c r="A21" s="24" t="s">
        <v>234</v>
      </c>
      <c r="B21" s="24" t="s">
        <v>88</v>
      </c>
      <c r="C21" s="34" t="n">
        <v>231000</v>
      </c>
      <c r="D21" s="35"/>
      <c r="E21" s="35"/>
      <c r="M21" s="0" t="str">
        <f aca="false">INDEX('Vendor Master'!$A$9:$A$33,MATCH(B21,'Vendor Master'!$B$9:$B$33,0))</f>
        <v>V013</v>
      </c>
      <c r="N21" s="0" t="str">
        <f aca="false">INDEX('Vendor Master'!$D$9:$D$33,MATCH(B21,'Vendor Master'!$B$9:$B$33,0))</f>
        <v>24AABCB1254F1ZL</v>
      </c>
    </row>
    <row r="22" customFormat="false" ht="15" hidden="false" customHeight="false" outlineLevel="0" collapsed="false">
      <c r="A22" s="26" t="s">
        <v>235</v>
      </c>
      <c r="B22" s="26" t="s">
        <v>104</v>
      </c>
      <c r="C22" s="43" t="n">
        <v>445700</v>
      </c>
      <c r="D22" s="35"/>
      <c r="E22" s="35"/>
      <c r="M22" s="0" t="str">
        <f aca="false">INDEX('Vendor Master'!$A$9:$A$33,MATCH(B22,'Vendor Master'!$B$9:$B$33,0))</f>
        <v>V018</v>
      </c>
      <c r="N22" s="0" t="str">
        <f aca="false">INDEX('Vendor Master'!$D$9:$D$33,MATCH(B22,'Vendor Master'!$B$9:$B$33,0))</f>
        <v>27AABCO8696T1ZZ</v>
      </c>
    </row>
    <row r="23" customFormat="false" ht="15" hidden="false" customHeight="false" outlineLevel="0" collapsed="false">
      <c r="A23" s="24" t="s">
        <v>236</v>
      </c>
      <c r="B23" s="24" t="s">
        <v>66</v>
      </c>
      <c r="C23" s="34" t="n">
        <v>71900</v>
      </c>
      <c r="D23" s="35"/>
      <c r="E23" s="35"/>
      <c r="M23" s="0" t="str">
        <f aca="false">INDEX('Vendor Master'!$A$9:$A$33,MATCH(B23,'Vendor Master'!$B$9:$B$33,0))</f>
        <v>V007</v>
      </c>
      <c r="N23" s="0" t="str">
        <f aca="false">INDEX('Vendor Master'!$D$9:$D$33,MATCH(B23,'Vendor Master'!$B$9:$B$33,0))</f>
        <v>33AABCJ6745G1ZJ</v>
      </c>
    </row>
    <row r="24" customFormat="false" ht="15" hidden="false" customHeight="false" outlineLevel="0" collapsed="false">
      <c r="A24" s="26" t="s">
        <v>237</v>
      </c>
      <c r="B24" s="26" t="s">
        <v>123</v>
      </c>
      <c r="C24" s="43" t="n">
        <v>79900</v>
      </c>
      <c r="D24" s="35"/>
      <c r="E24" s="35"/>
      <c r="M24" s="0" t="str">
        <f aca="false">INDEX('Vendor Master'!$A$9:$A$33,MATCH(B24,'Vendor Master'!$B$9:$B$33,0))</f>
        <v>V024</v>
      </c>
      <c r="N24" s="0" t="str">
        <f aca="false">INDEX('Vendor Master'!$D$9:$D$33,MATCH(B24,'Vendor Master'!$B$9:$B$33,0))</f>
        <v>33AABCE1853S1ZY</v>
      </c>
    </row>
    <row r="25" customFormat="false" ht="15" hidden="false" customHeight="false" outlineLevel="0" collapsed="false">
      <c r="A25" s="24" t="s">
        <v>238</v>
      </c>
      <c r="B25" s="24" t="s">
        <v>84</v>
      </c>
      <c r="C25" s="34" t="n">
        <v>189500</v>
      </c>
      <c r="D25" s="35"/>
      <c r="E25" s="35"/>
      <c r="M25" s="0" t="str">
        <f aca="false">INDEX('Vendor Master'!$A$9:$A$33,MATCH(B25,'Vendor Master'!$B$9:$B$33,0))</f>
        <v>V012</v>
      </c>
      <c r="N25" s="0" t="str">
        <f aca="false">INDEX('Vendor Master'!$D$9:$D$33,MATCH(B25,'Vendor Master'!$B$9:$B$33,0))</f>
        <v>33AABCU3111R1ZF</v>
      </c>
    </row>
    <row r="26" customFormat="false" ht="15" hidden="false" customHeight="false" outlineLevel="0" collapsed="false">
      <c r="A26" s="26" t="s">
        <v>239</v>
      </c>
      <c r="B26" s="26" t="s">
        <v>120</v>
      </c>
      <c r="C26" s="43" t="n">
        <v>188900</v>
      </c>
      <c r="D26" s="35"/>
      <c r="E26" s="35"/>
      <c r="M26" s="0" t="str">
        <f aca="false">INDEX('Vendor Master'!$A$9:$A$33,MATCH(B26,'Vendor Master'!$B$9:$B$33,0))</f>
        <v>V023</v>
      </c>
      <c r="N26" s="0" t="str">
        <f aca="false">INDEX('Vendor Master'!$D$9:$D$33,MATCH(B26,'Vendor Master'!$B$9:$B$33,0))</f>
        <v>07AABCT5563Z1ZH</v>
      </c>
    </row>
    <row r="27" customFormat="false" ht="15" hidden="false" customHeight="false" outlineLevel="0" collapsed="false">
      <c r="A27" s="24" t="s">
        <v>240</v>
      </c>
      <c r="B27" s="24" t="s">
        <v>117</v>
      </c>
      <c r="C27" s="34" t="n">
        <v>151500</v>
      </c>
      <c r="D27" s="35"/>
      <c r="E27" s="35"/>
      <c r="M27" s="0" t="str">
        <f aca="false">INDEX('Vendor Master'!$A$9:$A$33,MATCH(B27,'Vendor Master'!$B$9:$B$33,0))</f>
        <v>V022</v>
      </c>
      <c r="N27" s="0" t="str">
        <f aca="false">INDEX('Vendor Master'!$D$9:$D$33,MATCH(B27,'Vendor Master'!$B$9:$B$33,0))</f>
        <v>33AABCR2950I1ZH</v>
      </c>
    </row>
    <row r="28" customFormat="false" ht="15" hidden="false" customHeight="false" outlineLevel="0" collapsed="false">
      <c r="A28" s="26" t="s">
        <v>241</v>
      </c>
      <c r="B28" s="26" t="s">
        <v>120</v>
      </c>
      <c r="C28" s="43" t="n">
        <v>43700</v>
      </c>
      <c r="D28" s="35"/>
      <c r="E28" s="35"/>
      <c r="M28" s="0" t="str">
        <f aca="false">INDEX('Vendor Master'!$A$9:$A$33,MATCH(B28,'Vendor Master'!$B$9:$B$33,0))</f>
        <v>V023</v>
      </c>
      <c r="N28" s="0" t="str">
        <f aca="false">INDEX('Vendor Master'!$D$9:$D$33,MATCH(B28,'Vendor Master'!$B$9:$B$33,0))</f>
        <v>07AABCT5563Z1ZH</v>
      </c>
    </row>
  </sheetData>
  <mergeCells count="3">
    <mergeCell ref="A1:K1"/>
    <mergeCell ref="A2:K2"/>
    <mergeCell ref="A3:K5"/>
  </mergeCells>
  <conditionalFormatting sqref="J9:J12">
    <cfRule type="expression" priority="2" aboveAverage="0" equalAverage="0" bottom="0" percent="0" rank="0" text="" dxfId="0">
      <formula>LEFT(J9,1)="✓"</formula>
    </cfRule>
    <cfRule type="expression" priority="3" aboveAverage="0" equalAverage="0" bottom="0" percent="0" rank="0" text="" dxfId="1">
      <formula>LEFT(J9,1)="✗"</formula>
    </cfRule>
    <cfRule type="expression" priority="4" aboveAverage="0" equalAverage="0" bottom="0" percent="0" rank="0" text="" dxfId="2">
      <formula>LEFT(J9,1)="✎"</formula>
    </cfRule>
    <cfRule type="expression" priority="5" aboveAverage="0" equalAverage="0" bottom="0" percent="0" rank="0" text="" dxfId="3">
      <formula>LEFT(J9,1)="◯"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6" min="3"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false" outlineLevel="0" max="13" min="13" style="0" width="14"/>
    <col collapsed="false" customWidth="true" hidden="true" outlineLevel="0" max="17" min="14" style="0" width="13"/>
  </cols>
  <sheetData>
    <row r="1" customFormat="false" ht="31.5" hidden="false" customHeight="true" outlineLevel="0" collapsed="false">
      <c r="A1" s="61" t="s">
        <v>242</v>
      </c>
      <c r="B1" s="61"/>
      <c r="C1" s="61"/>
      <c r="D1" s="61"/>
      <c r="E1" s="61"/>
      <c r="F1" s="61"/>
      <c r="G1" s="61"/>
      <c r="H1" s="61"/>
      <c r="I1" s="61"/>
      <c r="J1" s="61"/>
      <c r="K1" s="61"/>
      <c r="L1" s="61"/>
      <c r="M1" s="61"/>
    </row>
    <row r="2" customFormat="false" ht="19.5" hidden="false" customHeight="true" outlineLevel="0" collapsed="false">
      <c r="A2" s="62" t="s">
        <v>243</v>
      </c>
      <c r="B2" s="62"/>
      <c r="C2" s="62"/>
      <c r="D2" s="62"/>
      <c r="E2" s="62"/>
      <c r="F2" s="62"/>
      <c r="G2" s="62"/>
      <c r="H2" s="62"/>
      <c r="I2" s="62"/>
      <c r="J2" s="62"/>
      <c r="K2" s="62"/>
      <c r="L2" s="62"/>
      <c r="M2" s="62"/>
    </row>
    <row r="3" customFormat="false" ht="18.75" hidden="false" customHeight="true" outlineLevel="0" collapsed="false">
      <c r="A3" s="63" t="s">
        <v>244</v>
      </c>
      <c r="B3" s="63"/>
      <c r="C3" s="63"/>
      <c r="D3" s="63"/>
      <c r="E3" s="63"/>
      <c r="F3" s="63"/>
      <c r="G3" s="63"/>
      <c r="H3" s="63"/>
      <c r="I3" s="63"/>
      <c r="J3" s="63"/>
      <c r="K3" s="63"/>
      <c r="L3" s="63"/>
      <c r="M3" s="63"/>
    </row>
    <row r="4" customFormat="false" ht="18.75" hidden="false" customHeight="true" outlineLevel="0" collapsed="false">
      <c r="A4" s="63"/>
      <c r="B4" s="63"/>
      <c r="C4" s="63"/>
      <c r="D4" s="63"/>
      <c r="E4" s="63"/>
      <c r="F4" s="63"/>
      <c r="G4" s="63"/>
      <c r="H4" s="63"/>
      <c r="I4" s="63"/>
      <c r="J4" s="63"/>
      <c r="K4" s="63"/>
      <c r="L4" s="63"/>
      <c r="M4" s="63"/>
    </row>
    <row r="5" customFormat="false" ht="18.75" hidden="false" customHeight="true" outlineLevel="0" collapsed="false">
      <c r="A5" s="63"/>
      <c r="B5" s="63"/>
      <c r="C5" s="63"/>
      <c r="D5" s="63"/>
      <c r="E5" s="63"/>
      <c r="F5" s="63"/>
      <c r="G5" s="63"/>
      <c r="H5" s="63"/>
      <c r="I5" s="63"/>
      <c r="J5" s="63"/>
      <c r="K5" s="63"/>
      <c r="L5" s="63"/>
      <c r="M5" s="63"/>
    </row>
    <row r="6" customFormat="false" ht="19.5" hidden="false" customHeight="true" outlineLevel="0" collapsed="false"/>
    <row r="8" customFormat="false" ht="24" hidden="false" customHeight="true" outlineLevel="0" collapsed="false">
      <c r="A8" s="31" t="s">
        <v>245</v>
      </c>
      <c r="B8" s="31" t="s">
        <v>246</v>
      </c>
      <c r="C8" s="31" t="s">
        <v>247</v>
      </c>
      <c r="D8" s="31" t="s">
        <v>248</v>
      </c>
      <c r="E8" s="32" t="s">
        <v>177</v>
      </c>
      <c r="F8" s="32" t="s">
        <v>249</v>
      </c>
      <c r="H8" s="64" t="s">
        <v>14</v>
      </c>
      <c r="I8" s="64" t="s">
        <v>133</v>
      </c>
      <c r="J8" s="64" t="s">
        <v>134</v>
      </c>
      <c r="K8" s="64" t="s">
        <v>135</v>
      </c>
      <c r="L8" s="64" t="s">
        <v>136</v>
      </c>
    </row>
    <row r="9" customFormat="false" ht="33.75" hidden="false" customHeight="true" outlineLevel="0" collapsed="false">
      <c r="A9" s="24" t="s">
        <v>250</v>
      </c>
      <c r="B9" s="24" t="s">
        <v>251</v>
      </c>
      <c r="C9" s="24" t="s">
        <v>252</v>
      </c>
      <c r="D9" s="25" t="n">
        <v>20</v>
      </c>
      <c r="E9" s="51"/>
      <c r="F9" s="51"/>
      <c r="H9" s="65" t="n">
        <v>1</v>
      </c>
      <c r="I9" s="38" t="s">
        <v>253</v>
      </c>
      <c r="J9" s="39" t="s">
        <v>143</v>
      </c>
      <c r="K9" s="40" t="str">
        <f aca="false">IF(COUNTA($E$9:$E$33)=0,"◯ Not attempted",IF(NOT(_xlfn.ISFORMULA(E9)),"✎ Use a formula",IFERROR(IF(SUMPRODUCT(--(ABS($E$9:$E$33-$O$9:$O$33)&lt;0.01))=ROWS($E$9:$E$33),"✓ Correct","✗ "&amp;(ROWS($E$9:$E$33)-SUMPRODUCT(--(ABS($E$9:$E$33-$O$9:$O$33)&lt;0.01)))&amp;" rows differ"),"✗ Check the column")))</f>
        <v>◯ Not attempted</v>
      </c>
      <c r="L9" s="41" t="s">
        <v>254</v>
      </c>
      <c r="O9" s="66" t="n">
        <f aca="false">INDEX($J$16:$M$20,MATCH(B9,$I$16:$I$20,0),MATCH(C9,$J$15:$M$15,0))</f>
        <v>755</v>
      </c>
      <c r="P9" s="42" t="n">
        <f aca="false">D9*INDEX($J$16:$M$20,MATCH(B9,$I$16:$I$20,0),MATCH(C9,$J$15:$M$15,0))</f>
        <v>15100</v>
      </c>
    </row>
    <row r="10" customFormat="false" ht="33.75" hidden="false" customHeight="true" outlineLevel="0" collapsed="false">
      <c r="A10" s="26" t="s">
        <v>255</v>
      </c>
      <c r="B10" s="26" t="s">
        <v>256</v>
      </c>
      <c r="C10" s="26" t="s">
        <v>257</v>
      </c>
      <c r="D10" s="27" t="n">
        <v>144</v>
      </c>
      <c r="E10" s="51"/>
      <c r="F10" s="51"/>
      <c r="H10" s="65" t="n">
        <v>2</v>
      </c>
      <c r="I10" s="38" t="s">
        <v>258</v>
      </c>
      <c r="J10" s="39" t="s">
        <v>259</v>
      </c>
      <c r="K10" s="40" t="str">
        <f aca="false">IF(COUNTA($F$9:$F$33)=0,"◯ Not attempted",IF(NOT(_xlfn.ISFORMULA(F9)),"✎ Use a formula",IFERROR(IF(SUMPRODUCT(--(ABS($F$9:$F$33-$P$9:$P$33)&lt;0.01))=ROWS($F$9:$F$33),"✓ Correct","✗ "&amp;(ROWS($F$9:$F$33)-SUMPRODUCT(--(ABS($F$9:$F$33-$P$9:$P$33)&lt;0.01)))&amp;" rows differ"),"✗ Check the column")))</f>
        <v>◯ Not attempted</v>
      </c>
      <c r="L10" s="41" t="s">
        <v>260</v>
      </c>
      <c r="O10" s="66" t="n">
        <f aca="false">INDEX($J$16:$M$20,MATCH(B10,$I$16:$I$20,0),MATCH(C10,$J$15:$M$15,0))</f>
        <v>125</v>
      </c>
      <c r="P10" s="42" t="n">
        <f aca="false">D10*INDEX($J$16:$M$20,MATCH(B10,$I$16:$I$20,0),MATCH(C10,$J$15:$M$15,0))</f>
        <v>18000</v>
      </c>
    </row>
    <row r="11" customFormat="false" ht="33.75" hidden="false" customHeight="true" outlineLevel="0" collapsed="false">
      <c r="A11" s="24" t="s">
        <v>261</v>
      </c>
      <c r="B11" s="24" t="s">
        <v>262</v>
      </c>
      <c r="C11" s="24" t="s">
        <v>252</v>
      </c>
      <c r="D11" s="25" t="n">
        <v>135</v>
      </c>
      <c r="E11" s="51"/>
      <c r="F11" s="51"/>
      <c r="H11" s="65" t="n">
        <v>3</v>
      </c>
      <c r="I11" s="38" t="s">
        <v>263</v>
      </c>
      <c r="J11" s="45"/>
      <c r="K11" s="40" t="str">
        <f aca="false">IF(ISBLANK(J11),"◯ Not attempted",IF(NOT(_xlfn.ISFORMULA(J11)),"✎ Use a formula",IF(ISNUMBER(J11),IF(ABS(J11-$N$11)&lt;0.005,"✓ Correct","✗ Check again"),"✗ Not a number")))</f>
        <v>◯ Not attempted</v>
      </c>
      <c r="L11" s="41" t="s">
        <v>264</v>
      </c>
      <c r="N11" s="42" t="n">
        <f aca="false">D9*INDEX($J$16:$M$20,MATCH(B9,$I$16:$I$20,0),MATCH(C9,$J$15:$M$15,0))+D10*INDEX($J$16:$M$20,MATCH(B10,$I$16:$I$20,0),MATCH(C10,$J$15:$M$15,0))+D11*INDEX($J$16:$M$20,MATCH(B11,$I$16:$I$20,0),MATCH(C11,$J$15:$M$15,0))+D12*INDEX($J$16:$M$20,MATCH(B12,$I$16:$I$20,0),MATCH(C12,$J$15:$M$15,0))+D13*INDEX($J$16:$M$20,MATCH(B13,$I$16:$I$20,0),MATCH(C13,$J$15:$M$15,0))+D14*INDEX($J$16:$M$20,MATCH(B14,$I$16:$I$20,0),MATCH(C14,$J$15:$M$15,0))+D15*INDEX($J$16:$M$20,MATCH(B15,$I$16:$I$20,0),MATCH(C15,$J$15:$M$15,0))+D16*INDEX($J$16:$M$20,MATCH(B16,$I$16:$I$20,0),MATCH(C16,$J$15:$M$15,0))+D17*INDEX($J$16:$M$20,MATCH(B17,$I$16:$I$20,0),MATCH(C17,$J$15:$M$15,0))+D18*INDEX($J$16:$M$20,MATCH(B18,$I$16:$I$20,0),MATCH(C18,$J$15:$M$15,0))+D19*INDEX($J$16:$M$20,MATCH(B19,$I$16:$I$20,0),MATCH(C19,$J$15:$M$15,0))+D20*INDEX($J$16:$M$20,MATCH(B20,$I$16:$I$20,0),MATCH(C20,$J$15:$M$15,0))+D21*INDEX($J$16:$M$20,MATCH(B21,$I$16:$I$20,0),MATCH(C21,$J$15:$M$15,0))+D22*INDEX($J$16:$M$20,MATCH(B22,$I$16:$I$20,0),MATCH(C22,$J$15:$M$15,0))+D23*INDEX($J$16:$M$20,MATCH(B23,$I$16:$I$20,0),MATCH(C23,$J$15:$M$15,0))+D24*INDEX($J$16:$M$20,MATCH(B24,$I$16:$I$20,0),MATCH(C24,$J$15:$M$15,0))+D25*INDEX($J$16:$M$20,MATCH(B25,$I$16:$I$20,0),MATCH(C25,$J$15:$M$15,0))+D26*INDEX($J$16:$M$20,MATCH(B26,$I$16:$I$20,0),MATCH(C26,$J$15:$M$15,0))+D27*INDEX($J$16:$M$20,MATCH(B27,$I$16:$I$20,0),MATCH(C27,$J$15:$M$15,0))+D28*INDEX($J$16:$M$20,MATCH(B28,$I$16:$I$20,0),MATCH(C28,$J$15:$M$15,0))+D29*INDEX($J$16:$M$20,MATCH(B29,$I$16:$I$20,0),MATCH(C29,$J$15:$M$15,0))+D30*INDEX($J$16:$M$20,MATCH(B30,$I$16:$I$20,0),MATCH(C30,$J$15:$M$15,0))+D31*INDEX($J$16:$M$20,MATCH(B31,$I$16:$I$20,0),MATCH(C31,$J$15:$M$15,0))+D32*INDEX($J$16:$M$20,MATCH(B32,$I$16:$I$20,0),MATCH(C32,$J$15:$M$15,0))+D33*INDEX($J$16:$M$20,MATCH(B33,$I$16:$I$20,0),MATCH(C33,$J$15:$M$15,0))</f>
        <v>1567530</v>
      </c>
      <c r="O11" s="66" t="n">
        <f aca="false">INDEX($J$16:$M$20,MATCH(B11,$I$16:$I$20,0),MATCH(C11,$J$15:$M$15,0))</f>
        <v>600</v>
      </c>
      <c r="P11" s="42" t="n">
        <f aca="false">D11*INDEX($J$16:$M$20,MATCH(B11,$I$16:$I$20,0),MATCH(C11,$J$15:$M$15,0))</f>
        <v>81000</v>
      </c>
    </row>
    <row r="12" customFormat="false" ht="33.75" hidden="false" customHeight="true" outlineLevel="0" collapsed="false">
      <c r="A12" s="26" t="s">
        <v>265</v>
      </c>
      <c r="B12" s="26" t="s">
        <v>251</v>
      </c>
      <c r="C12" s="26" t="s">
        <v>252</v>
      </c>
      <c r="D12" s="27" t="n">
        <v>55</v>
      </c>
      <c r="E12" s="51"/>
      <c r="F12" s="51"/>
      <c r="H12" s="65" t="n">
        <v>4</v>
      </c>
      <c r="I12" s="38" t="s">
        <v>266</v>
      </c>
      <c r="J12" s="45"/>
      <c r="K12" s="40" t="str">
        <f aca="false">IF(ISBLANK(J12),"◯ Not attempted",IF(NOT(_xlfn.ISFORMULA(J12)),"✎ Use a formula",IF(ISNUMBER(J12),IF(ABS(J12-$N$12)&lt;0.005,"✓ Correct","✗ Check again"),"✗ Not a number")))</f>
        <v>◯ Not attempted</v>
      </c>
      <c r="L12" s="41" t="s">
        <v>267</v>
      </c>
      <c r="N12" s="66" t="n">
        <f aca="false">INDEX($J$16:$M$20,MATCH("P3",$I$16:$I$20,0),MATCH("East",$J$15:$M$15,0))</f>
        <v>215</v>
      </c>
      <c r="O12" s="66" t="n">
        <f aca="false">INDEX($J$16:$M$20,MATCH(B12,$I$16:$I$20,0),MATCH(C12,$J$15:$M$15,0))</f>
        <v>755</v>
      </c>
      <c r="P12" s="42" t="n">
        <f aca="false">D12*INDEX($J$16:$M$20,MATCH(B12,$I$16:$I$20,0),MATCH(C12,$J$15:$M$15,0))</f>
        <v>41525</v>
      </c>
    </row>
    <row r="13" customFormat="false" ht="15" hidden="false" customHeight="false" outlineLevel="0" collapsed="false">
      <c r="A13" s="24" t="s">
        <v>268</v>
      </c>
      <c r="B13" s="24" t="s">
        <v>251</v>
      </c>
      <c r="C13" s="24" t="s">
        <v>269</v>
      </c>
      <c r="D13" s="25" t="n">
        <v>9</v>
      </c>
      <c r="E13" s="51"/>
      <c r="F13" s="51"/>
      <c r="O13" s="66" t="n">
        <f aca="false">INDEX($J$16:$M$20,MATCH(B13,$I$16:$I$20,0),MATCH(C13,$J$15:$M$15,0))</f>
        <v>185</v>
      </c>
      <c r="P13" s="42" t="n">
        <f aca="false">D13*INDEX($J$16:$M$20,MATCH(B13,$I$16:$I$20,0),MATCH(C13,$J$15:$M$15,0))</f>
        <v>1665</v>
      </c>
    </row>
    <row r="14" customFormat="false" ht="15" hidden="false" customHeight="false" outlineLevel="0" collapsed="false">
      <c r="A14" s="26" t="s">
        <v>270</v>
      </c>
      <c r="B14" s="26" t="s">
        <v>271</v>
      </c>
      <c r="C14" s="26" t="s">
        <v>252</v>
      </c>
      <c r="D14" s="27" t="n">
        <v>8</v>
      </c>
      <c r="E14" s="51"/>
      <c r="F14" s="51"/>
      <c r="I14" s="67" t="s">
        <v>272</v>
      </c>
      <c r="O14" s="66" t="n">
        <f aca="false">INDEX($J$16:$M$20,MATCH(B14,$I$16:$I$20,0),MATCH(C14,$J$15:$M$15,0))</f>
        <v>380</v>
      </c>
      <c r="P14" s="42" t="n">
        <f aca="false">D14*INDEX($J$16:$M$20,MATCH(B14,$I$16:$I$20,0),MATCH(C14,$J$15:$M$15,0))</f>
        <v>3040</v>
      </c>
    </row>
    <row r="15" customFormat="false" ht="15" hidden="false" customHeight="false" outlineLevel="0" collapsed="false">
      <c r="A15" s="24" t="s">
        <v>273</v>
      </c>
      <c r="B15" s="24" t="s">
        <v>274</v>
      </c>
      <c r="C15" s="24" t="s">
        <v>252</v>
      </c>
      <c r="D15" s="25" t="n">
        <v>162</v>
      </c>
      <c r="E15" s="51"/>
      <c r="F15" s="51"/>
      <c r="I15" s="56" t="s">
        <v>246</v>
      </c>
      <c r="J15" s="56" t="s">
        <v>275</v>
      </c>
      <c r="K15" s="56" t="s">
        <v>252</v>
      </c>
      <c r="L15" s="56" t="s">
        <v>257</v>
      </c>
      <c r="M15" s="56" t="s">
        <v>269</v>
      </c>
      <c r="O15" s="66" t="n">
        <f aca="false">INDEX($J$16:$M$20,MATCH(B15,$I$16:$I$20,0),MATCH(C15,$J$15:$M$15,0))</f>
        <v>655</v>
      </c>
      <c r="P15" s="42" t="n">
        <f aca="false">D15*INDEX($J$16:$M$20,MATCH(B15,$I$16:$I$20,0),MATCH(C15,$J$15:$M$15,0))</f>
        <v>106110</v>
      </c>
    </row>
    <row r="16" customFormat="false" ht="15" hidden="false" customHeight="false" outlineLevel="0" collapsed="false">
      <c r="A16" s="26" t="s">
        <v>276</v>
      </c>
      <c r="B16" s="26" t="s">
        <v>256</v>
      </c>
      <c r="C16" s="26" t="s">
        <v>269</v>
      </c>
      <c r="D16" s="27" t="n">
        <v>219</v>
      </c>
      <c r="E16" s="51"/>
      <c r="F16" s="51"/>
      <c r="I16" s="68" t="s">
        <v>274</v>
      </c>
      <c r="J16" s="57" t="n">
        <v>435</v>
      </c>
      <c r="K16" s="57" t="n">
        <v>655</v>
      </c>
      <c r="L16" s="57" t="n">
        <v>865</v>
      </c>
      <c r="M16" s="57" t="n">
        <v>450</v>
      </c>
      <c r="O16" s="66" t="n">
        <f aca="false">INDEX($J$16:$M$20,MATCH(B16,$I$16:$I$20,0),MATCH(C16,$J$15:$M$15,0))</f>
        <v>205</v>
      </c>
      <c r="P16" s="42" t="n">
        <f aca="false">D16*INDEX($J$16:$M$20,MATCH(B16,$I$16:$I$20,0),MATCH(C16,$J$15:$M$15,0))</f>
        <v>44895</v>
      </c>
    </row>
    <row r="17" customFormat="false" ht="15" hidden="false" customHeight="false" outlineLevel="0" collapsed="false">
      <c r="A17" s="24" t="s">
        <v>277</v>
      </c>
      <c r="B17" s="24" t="s">
        <v>262</v>
      </c>
      <c r="C17" s="24" t="s">
        <v>257</v>
      </c>
      <c r="D17" s="25" t="n">
        <v>174</v>
      </c>
      <c r="E17" s="51"/>
      <c r="F17" s="51"/>
      <c r="I17" s="68" t="s">
        <v>256</v>
      </c>
      <c r="J17" s="57" t="n">
        <v>740</v>
      </c>
      <c r="K17" s="57" t="n">
        <v>425</v>
      </c>
      <c r="L17" s="57" t="n">
        <v>125</v>
      </c>
      <c r="M17" s="57" t="n">
        <v>205</v>
      </c>
      <c r="O17" s="66" t="n">
        <f aca="false">INDEX($J$16:$M$20,MATCH(B17,$I$16:$I$20,0),MATCH(C17,$J$15:$M$15,0))</f>
        <v>555</v>
      </c>
      <c r="P17" s="42" t="n">
        <f aca="false">D17*INDEX($J$16:$M$20,MATCH(B17,$I$16:$I$20,0),MATCH(C17,$J$15:$M$15,0))</f>
        <v>96570</v>
      </c>
    </row>
    <row r="18" customFormat="false" ht="15" hidden="false" customHeight="false" outlineLevel="0" collapsed="false">
      <c r="A18" s="26" t="s">
        <v>278</v>
      </c>
      <c r="B18" s="26" t="s">
        <v>251</v>
      </c>
      <c r="C18" s="26" t="s">
        <v>257</v>
      </c>
      <c r="D18" s="27" t="n">
        <v>177</v>
      </c>
      <c r="E18" s="51"/>
      <c r="F18" s="51"/>
      <c r="I18" s="68" t="s">
        <v>251</v>
      </c>
      <c r="J18" s="57" t="n">
        <v>235</v>
      </c>
      <c r="K18" s="57" t="n">
        <v>755</v>
      </c>
      <c r="L18" s="57" t="n">
        <v>215</v>
      </c>
      <c r="M18" s="57" t="n">
        <v>185</v>
      </c>
      <c r="O18" s="66" t="n">
        <f aca="false">INDEX($J$16:$M$20,MATCH(B18,$I$16:$I$20,0),MATCH(C18,$J$15:$M$15,0))</f>
        <v>215</v>
      </c>
      <c r="P18" s="42" t="n">
        <f aca="false">D18*INDEX($J$16:$M$20,MATCH(B18,$I$16:$I$20,0),MATCH(C18,$J$15:$M$15,0))</f>
        <v>38055</v>
      </c>
    </row>
    <row r="19" customFormat="false" ht="15" hidden="false" customHeight="false" outlineLevel="0" collapsed="false">
      <c r="A19" s="24" t="s">
        <v>279</v>
      </c>
      <c r="B19" s="24" t="s">
        <v>262</v>
      </c>
      <c r="C19" s="24" t="s">
        <v>257</v>
      </c>
      <c r="D19" s="25" t="n">
        <v>39</v>
      </c>
      <c r="E19" s="51"/>
      <c r="F19" s="51"/>
      <c r="I19" s="68" t="s">
        <v>262</v>
      </c>
      <c r="J19" s="57" t="n">
        <v>520</v>
      </c>
      <c r="K19" s="57" t="n">
        <v>600</v>
      </c>
      <c r="L19" s="57" t="n">
        <v>555</v>
      </c>
      <c r="M19" s="57" t="n">
        <v>780</v>
      </c>
      <c r="O19" s="66" t="n">
        <f aca="false">INDEX($J$16:$M$20,MATCH(B19,$I$16:$I$20,0),MATCH(C19,$J$15:$M$15,0))</f>
        <v>555</v>
      </c>
      <c r="P19" s="42" t="n">
        <f aca="false">D19*INDEX($J$16:$M$20,MATCH(B19,$I$16:$I$20,0),MATCH(C19,$J$15:$M$15,0))</f>
        <v>21645</v>
      </c>
    </row>
    <row r="20" customFormat="false" ht="15" hidden="false" customHeight="false" outlineLevel="0" collapsed="false">
      <c r="A20" s="26" t="s">
        <v>280</v>
      </c>
      <c r="B20" s="26" t="s">
        <v>274</v>
      </c>
      <c r="C20" s="26" t="s">
        <v>257</v>
      </c>
      <c r="D20" s="27" t="n">
        <v>247</v>
      </c>
      <c r="E20" s="51"/>
      <c r="F20" s="51"/>
      <c r="I20" s="68" t="s">
        <v>271</v>
      </c>
      <c r="J20" s="57" t="n">
        <v>485</v>
      </c>
      <c r="K20" s="57" t="n">
        <v>380</v>
      </c>
      <c r="L20" s="57" t="n">
        <v>455</v>
      </c>
      <c r="M20" s="57" t="n">
        <v>145</v>
      </c>
      <c r="O20" s="66" t="n">
        <f aca="false">INDEX($J$16:$M$20,MATCH(B20,$I$16:$I$20,0),MATCH(C20,$J$15:$M$15,0))</f>
        <v>865</v>
      </c>
      <c r="P20" s="42" t="n">
        <f aca="false">D20*INDEX($J$16:$M$20,MATCH(B20,$I$16:$I$20,0),MATCH(C20,$J$15:$M$15,0))</f>
        <v>213655</v>
      </c>
    </row>
    <row r="21" customFormat="false" ht="15" hidden="false" customHeight="false" outlineLevel="0" collapsed="false">
      <c r="A21" s="24" t="s">
        <v>281</v>
      </c>
      <c r="B21" s="24" t="s">
        <v>251</v>
      </c>
      <c r="C21" s="24" t="s">
        <v>252</v>
      </c>
      <c r="D21" s="25" t="n">
        <v>95</v>
      </c>
      <c r="E21" s="51"/>
      <c r="F21" s="51"/>
      <c r="O21" s="66" t="n">
        <f aca="false">INDEX($J$16:$M$20,MATCH(B21,$I$16:$I$20,0),MATCH(C21,$J$15:$M$15,0))</f>
        <v>755</v>
      </c>
      <c r="P21" s="42" t="n">
        <f aca="false">D21*INDEX($J$16:$M$20,MATCH(B21,$I$16:$I$20,0),MATCH(C21,$J$15:$M$15,0))</f>
        <v>71725</v>
      </c>
    </row>
    <row r="22" customFormat="false" ht="15" hidden="false" customHeight="false" outlineLevel="0" collapsed="false">
      <c r="A22" s="26" t="s">
        <v>282</v>
      </c>
      <c r="B22" s="26" t="s">
        <v>262</v>
      </c>
      <c r="C22" s="26" t="s">
        <v>275</v>
      </c>
      <c r="D22" s="27" t="n">
        <v>118</v>
      </c>
      <c r="E22" s="51"/>
      <c r="F22" s="51"/>
      <c r="O22" s="66" t="n">
        <f aca="false">INDEX($J$16:$M$20,MATCH(B22,$I$16:$I$20,0),MATCH(C22,$J$15:$M$15,0))</f>
        <v>520</v>
      </c>
      <c r="P22" s="42" t="n">
        <f aca="false">D22*INDEX($J$16:$M$20,MATCH(B22,$I$16:$I$20,0),MATCH(C22,$J$15:$M$15,0))</f>
        <v>61360</v>
      </c>
    </row>
    <row r="23" customFormat="false" ht="15" hidden="false" customHeight="false" outlineLevel="0" collapsed="false">
      <c r="A23" s="24" t="s">
        <v>283</v>
      </c>
      <c r="B23" s="24" t="s">
        <v>274</v>
      </c>
      <c r="C23" s="24" t="s">
        <v>269</v>
      </c>
      <c r="D23" s="25" t="n">
        <v>127</v>
      </c>
      <c r="E23" s="51"/>
      <c r="F23" s="51"/>
      <c r="O23" s="66" t="n">
        <f aca="false">INDEX($J$16:$M$20,MATCH(B23,$I$16:$I$20,0),MATCH(C23,$J$15:$M$15,0))</f>
        <v>450</v>
      </c>
      <c r="P23" s="42" t="n">
        <f aca="false">D23*INDEX($J$16:$M$20,MATCH(B23,$I$16:$I$20,0),MATCH(C23,$J$15:$M$15,0))</f>
        <v>57150</v>
      </c>
    </row>
    <row r="24" customFormat="false" ht="15" hidden="false" customHeight="false" outlineLevel="0" collapsed="false">
      <c r="A24" s="26" t="s">
        <v>284</v>
      </c>
      <c r="B24" s="26" t="s">
        <v>262</v>
      </c>
      <c r="C24" s="26" t="s">
        <v>252</v>
      </c>
      <c r="D24" s="27" t="n">
        <v>165</v>
      </c>
      <c r="E24" s="51"/>
      <c r="F24" s="51"/>
      <c r="O24" s="66" t="n">
        <f aca="false">INDEX($J$16:$M$20,MATCH(B24,$I$16:$I$20,0),MATCH(C24,$J$15:$M$15,0))</f>
        <v>600</v>
      </c>
      <c r="P24" s="42" t="n">
        <f aca="false">D24*INDEX($J$16:$M$20,MATCH(B24,$I$16:$I$20,0),MATCH(C24,$J$15:$M$15,0))</f>
        <v>99000</v>
      </c>
    </row>
    <row r="25" customFormat="false" ht="15" hidden="false" customHeight="false" outlineLevel="0" collapsed="false">
      <c r="A25" s="24" t="s">
        <v>285</v>
      </c>
      <c r="B25" s="24" t="s">
        <v>256</v>
      </c>
      <c r="C25" s="24" t="s">
        <v>252</v>
      </c>
      <c r="D25" s="25" t="n">
        <v>104</v>
      </c>
      <c r="E25" s="51"/>
      <c r="F25" s="51"/>
      <c r="O25" s="66" t="n">
        <f aca="false">INDEX($J$16:$M$20,MATCH(B25,$I$16:$I$20,0),MATCH(C25,$J$15:$M$15,0))</f>
        <v>425</v>
      </c>
      <c r="P25" s="42" t="n">
        <f aca="false">D25*INDEX($J$16:$M$20,MATCH(B25,$I$16:$I$20,0),MATCH(C25,$J$15:$M$15,0))</f>
        <v>44200</v>
      </c>
    </row>
    <row r="26" customFormat="false" ht="15" hidden="false" customHeight="false" outlineLevel="0" collapsed="false">
      <c r="A26" s="26" t="s">
        <v>286</v>
      </c>
      <c r="B26" s="26" t="s">
        <v>251</v>
      </c>
      <c r="C26" s="26" t="s">
        <v>252</v>
      </c>
      <c r="D26" s="27" t="n">
        <v>139</v>
      </c>
      <c r="E26" s="51"/>
      <c r="F26" s="51"/>
      <c r="O26" s="66" t="n">
        <f aca="false">INDEX($J$16:$M$20,MATCH(B26,$I$16:$I$20,0),MATCH(C26,$J$15:$M$15,0))</f>
        <v>755</v>
      </c>
      <c r="P26" s="42" t="n">
        <f aca="false">D26*INDEX($J$16:$M$20,MATCH(B26,$I$16:$I$20,0),MATCH(C26,$J$15:$M$15,0))</f>
        <v>104945</v>
      </c>
    </row>
    <row r="27" customFormat="false" ht="15" hidden="false" customHeight="false" outlineLevel="0" collapsed="false">
      <c r="A27" s="24" t="s">
        <v>287</v>
      </c>
      <c r="B27" s="24" t="s">
        <v>251</v>
      </c>
      <c r="C27" s="24" t="s">
        <v>275</v>
      </c>
      <c r="D27" s="25" t="n">
        <v>158</v>
      </c>
      <c r="E27" s="51"/>
      <c r="F27" s="51"/>
      <c r="O27" s="66" t="n">
        <f aca="false">INDEX($J$16:$M$20,MATCH(B27,$I$16:$I$20,0),MATCH(C27,$J$15:$M$15,0))</f>
        <v>235</v>
      </c>
      <c r="P27" s="42" t="n">
        <f aca="false">D27*INDEX($J$16:$M$20,MATCH(B27,$I$16:$I$20,0),MATCH(C27,$J$15:$M$15,0))</f>
        <v>37130</v>
      </c>
    </row>
    <row r="28" customFormat="false" ht="15" hidden="false" customHeight="false" outlineLevel="0" collapsed="false">
      <c r="A28" s="26" t="s">
        <v>288</v>
      </c>
      <c r="B28" s="26" t="s">
        <v>274</v>
      </c>
      <c r="C28" s="26" t="s">
        <v>257</v>
      </c>
      <c r="D28" s="27" t="n">
        <v>112</v>
      </c>
      <c r="E28" s="51"/>
      <c r="F28" s="51"/>
      <c r="O28" s="66" t="n">
        <f aca="false">INDEX($J$16:$M$20,MATCH(B28,$I$16:$I$20,0),MATCH(C28,$J$15:$M$15,0))</f>
        <v>865</v>
      </c>
      <c r="P28" s="42" t="n">
        <f aca="false">D28*INDEX($J$16:$M$20,MATCH(B28,$I$16:$I$20,0),MATCH(C28,$J$15:$M$15,0))</f>
        <v>96880</v>
      </c>
    </row>
    <row r="29" customFormat="false" ht="15" hidden="false" customHeight="false" outlineLevel="0" collapsed="false">
      <c r="A29" s="24" t="s">
        <v>289</v>
      </c>
      <c r="B29" s="24" t="s">
        <v>274</v>
      </c>
      <c r="C29" s="24" t="s">
        <v>257</v>
      </c>
      <c r="D29" s="25" t="n">
        <v>50</v>
      </c>
      <c r="E29" s="51"/>
      <c r="F29" s="51"/>
      <c r="O29" s="66" t="n">
        <f aca="false">INDEX($J$16:$M$20,MATCH(B29,$I$16:$I$20,0),MATCH(C29,$J$15:$M$15,0))</f>
        <v>865</v>
      </c>
      <c r="P29" s="42" t="n">
        <f aca="false">D29*INDEX($J$16:$M$20,MATCH(B29,$I$16:$I$20,0),MATCH(C29,$J$15:$M$15,0))</f>
        <v>43250</v>
      </c>
    </row>
    <row r="30" customFormat="false" ht="15" hidden="false" customHeight="false" outlineLevel="0" collapsed="false">
      <c r="A30" s="26" t="s">
        <v>290</v>
      </c>
      <c r="B30" s="26" t="s">
        <v>256</v>
      </c>
      <c r="C30" s="26" t="s">
        <v>252</v>
      </c>
      <c r="D30" s="27" t="n">
        <v>138</v>
      </c>
      <c r="E30" s="51"/>
      <c r="F30" s="51"/>
      <c r="O30" s="66" t="n">
        <f aca="false">INDEX($J$16:$M$20,MATCH(B30,$I$16:$I$20,0),MATCH(C30,$J$15:$M$15,0))</f>
        <v>425</v>
      </c>
      <c r="P30" s="42" t="n">
        <f aca="false">D30*INDEX($J$16:$M$20,MATCH(B30,$I$16:$I$20,0),MATCH(C30,$J$15:$M$15,0))</f>
        <v>58650</v>
      </c>
    </row>
    <row r="31" customFormat="false" ht="15" hidden="false" customHeight="false" outlineLevel="0" collapsed="false">
      <c r="A31" s="24" t="s">
        <v>291</v>
      </c>
      <c r="B31" s="24" t="s">
        <v>274</v>
      </c>
      <c r="C31" s="24" t="s">
        <v>275</v>
      </c>
      <c r="D31" s="25" t="n">
        <v>225</v>
      </c>
      <c r="E31" s="51"/>
      <c r="F31" s="51"/>
      <c r="O31" s="66" t="n">
        <f aca="false">INDEX($J$16:$M$20,MATCH(B31,$I$16:$I$20,0),MATCH(C31,$J$15:$M$15,0))</f>
        <v>435</v>
      </c>
      <c r="P31" s="42" t="n">
        <f aca="false">D31*INDEX($J$16:$M$20,MATCH(B31,$I$16:$I$20,0),MATCH(C31,$J$15:$M$15,0))</f>
        <v>97875</v>
      </c>
    </row>
    <row r="32" customFormat="false" ht="15" hidden="false" customHeight="false" outlineLevel="0" collapsed="false">
      <c r="A32" s="26" t="s">
        <v>292</v>
      </c>
      <c r="B32" s="26" t="s">
        <v>251</v>
      </c>
      <c r="C32" s="26" t="s">
        <v>275</v>
      </c>
      <c r="D32" s="27" t="n">
        <v>219</v>
      </c>
      <c r="E32" s="51"/>
      <c r="F32" s="51"/>
      <c r="O32" s="66" t="n">
        <f aca="false">INDEX($J$16:$M$20,MATCH(B32,$I$16:$I$20,0),MATCH(C32,$J$15:$M$15,0))</f>
        <v>235</v>
      </c>
      <c r="P32" s="42" t="n">
        <f aca="false">D32*INDEX($J$16:$M$20,MATCH(B32,$I$16:$I$20,0),MATCH(C32,$J$15:$M$15,0))</f>
        <v>51465</v>
      </c>
    </row>
    <row r="33" customFormat="false" ht="15" hidden="false" customHeight="false" outlineLevel="0" collapsed="false">
      <c r="A33" s="24" t="s">
        <v>293</v>
      </c>
      <c r="B33" s="24" t="s">
        <v>274</v>
      </c>
      <c r="C33" s="24" t="s">
        <v>275</v>
      </c>
      <c r="D33" s="25" t="n">
        <v>144</v>
      </c>
      <c r="E33" s="51"/>
      <c r="F33" s="51"/>
      <c r="O33" s="66" t="n">
        <f aca="false">INDEX($J$16:$M$20,MATCH(B33,$I$16:$I$20,0),MATCH(C33,$J$15:$M$15,0))</f>
        <v>435</v>
      </c>
      <c r="P33" s="42" t="n">
        <f aca="false">D33*INDEX($J$16:$M$20,MATCH(B33,$I$16:$I$20,0),MATCH(C33,$J$15:$M$15,0))</f>
        <v>62640</v>
      </c>
    </row>
  </sheetData>
  <mergeCells count="3">
    <mergeCell ref="A1:M1"/>
    <mergeCell ref="A2:M2"/>
    <mergeCell ref="A3:M5"/>
  </mergeCells>
  <conditionalFormatting sqref="K9:K12">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22"/>
    <col collapsed="false" customWidth="true" hidden="false" outlineLevel="0" max="5" min="5" style="0" width="3"/>
    <col collapsed="false" customWidth="true" hidden="false" outlineLevel="0" max="6" min="6" style="0" width="5"/>
    <col collapsed="false" customWidth="true" hidden="false" outlineLevel="0" max="7" min="7" style="0" width="46"/>
    <col collapsed="false" customWidth="true" hidden="false" outlineLevel="0" max="8" min="8" style="0" width="18"/>
    <col collapsed="false" customWidth="true" hidden="false" outlineLevel="0" max="9" min="9" style="0" width="17"/>
    <col collapsed="false" customWidth="true" hidden="false" outlineLevel="0" max="10" min="10" style="0" width="38"/>
    <col collapsed="false" customWidth="true" hidden="true" outlineLevel="0" max="13" min="11" style="0" width="13"/>
  </cols>
  <sheetData>
    <row r="1" customFormat="false" ht="31.5" hidden="false" customHeight="true" outlineLevel="0" collapsed="false">
      <c r="A1" s="61" t="s">
        <v>294</v>
      </c>
      <c r="B1" s="61"/>
      <c r="C1" s="61"/>
      <c r="D1" s="61"/>
      <c r="E1" s="61"/>
      <c r="F1" s="61"/>
      <c r="G1" s="61"/>
      <c r="H1" s="61"/>
      <c r="I1" s="61"/>
      <c r="J1" s="61"/>
    </row>
    <row r="2" customFormat="false" ht="19.5" hidden="false" customHeight="true" outlineLevel="0" collapsed="false">
      <c r="A2" s="62" t="s">
        <v>295</v>
      </c>
      <c r="B2" s="62"/>
      <c r="C2" s="62"/>
      <c r="D2" s="62"/>
      <c r="E2" s="62"/>
      <c r="F2" s="62"/>
      <c r="G2" s="62"/>
      <c r="H2" s="62"/>
      <c r="I2" s="62"/>
      <c r="J2" s="62"/>
    </row>
    <row r="3" customFormat="false" ht="18.75" hidden="false" customHeight="true" outlineLevel="0" collapsed="false">
      <c r="A3" s="63" t="s">
        <v>296</v>
      </c>
      <c r="B3" s="63"/>
      <c r="C3" s="63"/>
      <c r="D3" s="63"/>
      <c r="E3" s="63"/>
      <c r="F3" s="63"/>
      <c r="G3" s="63"/>
      <c r="H3" s="63"/>
      <c r="I3" s="63"/>
      <c r="J3" s="63"/>
    </row>
    <row r="4" customFormat="false" ht="18.75" hidden="false" customHeight="true" outlineLevel="0" collapsed="false">
      <c r="A4" s="63"/>
      <c r="B4" s="63"/>
      <c r="C4" s="63"/>
      <c r="D4" s="63"/>
      <c r="E4" s="63"/>
      <c r="F4" s="63"/>
      <c r="G4" s="63"/>
      <c r="H4" s="63"/>
      <c r="I4" s="63"/>
      <c r="J4" s="63"/>
    </row>
    <row r="5" customFormat="false" ht="18.75" hidden="false" customHeight="true" outlineLevel="0" collapsed="false">
      <c r="A5" s="63"/>
      <c r="B5" s="63"/>
      <c r="C5" s="63"/>
      <c r="D5" s="63"/>
      <c r="E5" s="63"/>
      <c r="F5" s="63"/>
      <c r="G5" s="63"/>
      <c r="H5" s="63"/>
      <c r="I5" s="63"/>
      <c r="J5" s="63"/>
    </row>
    <row r="6" customFormat="false" ht="19.5" hidden="false" customHeight="true" outlineLevel="0" collapsed="false"/>
    <row r="8" customFormat="false" ht="24" hidden="false" customHeight="true" outlineLevel="0" collapsed="false">
      <c r="A8" s="31" t="s">
        <v>131</v>
      </c>
      <c r="B8" s="31" t="s">
        <v>34</v>
      </c>
      <c r="C8" s="31" t="s">
        <v>132</v>
      </c>
      <c r="D8" s="32" t="s">
        <v>35</v>
      </c>
      <c r="F8" s="64" t="s">
        <v>14</v>
      </c>
      <c r="G8" s="64" t="s">
        <v>133</v>
      </c>
      <c r="H8" s="64" t="s">
        <v>134</v>
      </c>
      <c r="I8" s="64" t="s">
        <v>135</v>
      </c>
      <c r="J8" s="64" t="s">
        <v>136</v>
      </c>
    </row>
    <row r="9" customFormat="false" ht="33.75" hidden="false" customHeight="true" outlineLevel="0" collapsed="false">
      <c r="A9" s="24" t="s">
        <v>297</v>
      </c>
      <c r="B9" s="24" t="s">
        <v>71</v>
      </c>
      <c r="C9" s="34" t="n">
        <v>159000</v>
      </c>
      <c r="D9" s="35"/>
      <c r="F9" s="65" t="n">
        <v>1</v>
      </c>
      <c r="G9" s="38" t="s">
        <v>298</v>
      </c>
      <c r="H9" s="39" t="s">
        <v>139</v>
      </c>
      <c r="I9" s="40" t="str">
        <f aca="false">IF(COUNTA($D$9:$D$33)=0,"◯ Not attempted",IF(NOT(_xlfn.ISFORMULA(D9)),"✎ Use a formula",IFERROR(IF(SUMPRODUCT(--(UPPER(TRIM($D$9:$D$33&amp;""))=UPPER(TRIM($L$9:$L$33&amp;""))))=ROWS($D$9:$D$33),"✓ Correct","✗ "&amp;(ROWS($D$9:$D$33)-SUMPRODUCT(--(UPPER(TRIM($D$9:$D$33&amp;""))=UPPER(TRIM($L$9:$L$33&amp;"")))))&amp;" rows differ"),"✗ Check the column")))</f>
        <v>◯ Not attempted</v>
      </c>
      <c r="J9" s="41" t="s">
        <v>299</v>
      </c>
      <c r="L9" s="0" t="str">
        <f aca="false">IFERROR(VLOOKUP(B9,'Vendor Master'!$A$9:$F$33,2,0),"Not in master")</f>
        <v>Patel &amp; Co</v>
      </c>
    </row>
    <row r="10" customFormat="false" ht="33.75" hidden="false" customHeight="true" outlineLevel="0" collapsed="false">
      <c r="A10" s="26" t="s">
        <v>300</v>
      </c>
      <c r="B10" s="26" t="s">
        <v>119</v>
      </c>
      <c r="C10" s="43" t="n">
        <v>122600</v>
      </c>
      <c r="D10" s="35"/>
      <c r="F10" s="65" t="n">
        <v>2</v>
      </c>
      <c r="G10" s="38" t="s">
        <v>301</v>
      </c>
      <c r="H10" s="59"/>
      <c r="I10" s="40" t="str">
        <f aca="false">IF(ISBLANK(H10),"◯ Not attempted",IF(NOT(_xlfn.ISFORMULA(H10)),"✎ Use a formula",IF(ISNUMBER(H10),IF(ABS(H10-$K$10)&lt;0.005,"✓ Correct","✗ Check again"),"✗ Not a number")))</f>
        <v>◯ Not attempted</v>
      </c>
      <c r="J10" s="41" t="s">
        <v>302</v>
      </c>
      <c r="K10" s="60" t="n">
        <f aca="false">SUMPRODUCT(--ISNA(MATCH($B$9:$B$33,'Vendor Master'!$A$9:$A$33,0)))</f>
        <v>4</v>
      </c>
      <c r="L10" s="0" t="str">
        <f aca="false">IFERROR(VLOOKUP(B10,'Vendor Master'!$A$9:$F$33,2,0),"Not in master")</f>
        <v>Tulip Printers</v>
      </c>
    </row>
    <row r="11" customFormat="false" ht="33.75" hidden="false" customHeight="true" outlineLevel="0" collapsed="false">
      <c r="A11" s="24" t="s">
        <v>303</v>
      </c>
      <c r="B11" s="24" t="s">
        <v>90</v>
      </c>
      <c r="C11" s="34" t="n">
        <v>213900</v>
      </c>
      <c r="D11" s="35"/>
      <c r="F11" s="65" t="n">
        <v>3</v>
      </c>
      <c r="G11" s="38" t="s">
        <v>304</v>
      </c>
      <c r="H11" s="45"/>
      <c r="I11" s="40" t="str">
        <f aca="false">IF(ISBLANK(H11),"◯ Not attempted",IF(NOT(_xlfn.ISFORMULA(H11)),"✎ Use a formula",IF(ISNUMBER(H11),IF(ABS(H11-$K$11)&lt;0.005,"✓ Correct","✗ Check again"),"✗ Not a number")))</f>
        <v>◯ Not attempted</v>
      </c>
      <c r="J11" s="41" t="s">
        <v>305</v>
      </c>
      <c r="K11" s="0" t="n">
        <f aca="false">SUMPRODUCT(ISNA(MATCH($B$9:$B$33,'Vendor Master'!$A$9:$A$33,0))*$C$9:$C$33)</f>
        <v>563000</v>
      </c>
      <c r="L11" s="0" t="str">
        <f aca="false">IFERROR(VLOOKUP(B11,'Vendor Master'!$A$9:$F$33,2,0),"Not in master")</f>
        <v>Sunrise Packaging</v>
      </c>
    </row>
    <row r="12" customFormat="false" ht="33.75" hidden="false" customHeight="true" outlineLevel="0" collapsed="false">
      <c r="A12" s="26" t="s">
        <v>306</v>
      </c>
      <c r="B12" s="26" t="s">
        <v>307</v>
      </c>
      <c r="C12" s="43" t="n">
        <v>244200</v>
      </c>
      <c r="D12" s="35"/>
      <c r="F12" s="65" t="n">
        <v>4</v>
      </c>
      <c r="G12" s="38" t="s">
        <v>308</v>
      </c>
      <c r="H12" s="59"/>
      <c r="I12" s="40" t="str">
        <f aca="false">IF(ISBLANK(H12),"◯ Not attempted",IF(NOT(_xlfn.ISFORMULA(H12)),"✎ Use a formula",IF(ISNUMBER(H12),IF(ABS(H12-$K$12)&lt;0.005,"✓ Correct","✗ Check again"),"✗ Not a number")))</f>
        <v>◯ Not attempted</v>
      </c>
      <c r="J12" s="41" t="s">
        <v>309</v>
      </c>
      <c r="K12" s="60" t="n">
        <f aca="false">_xlfn.IFNA(VLOOKUP("V099",'Vendor Master'!$A$9:$F$33,5,0),0)</f>
        <v>0</v>
      </c>
      <c r="L12" s="0" t="str">
        <f aca="false">IFERROR(VLOOKUP(B12,'Vendor Master'!$A$9:$F$33,2,0),"Not in master")</f>
        <v>Not in master</v>
      </c>
    </row>
    <row r="13" customFormat="false" ht="15" hidden="false" customHeight="false" outlineLevel="0" collapsed="false">
      <c r="A13" s="24" t="s">
        <v>310</v>
      </c>
      <c r="B13" s="24" t="s">
        <v>49</v>
      </c>
      <c r="C13" s="34" t="n">
        <v>174500</v>
      </c>
      <c r="D13" s="35"/>
      <c r="L13" s="0" t="str">
        <f aca="false">IFERROR(VLOOKUP(B13,'Vendor Master'!$A$9:$F$33,2,0),"Not in master")</f>
        <v>Sagar Metals</v>
      </c>
    </row>
    <row r="14" customFormat="false" ht="15" hidden="false" customHeight="false" outlineLevel="0" collapsed="false">
      <c r="A14" s="26" t="s">
        <v>311</v>
      </c>
      <c r="B14" s="26" t="s">
        <v>113</v>
      </c>
      <c r="C14" s="43" t="n">
        <v>127100</v>
      </c>
      <c r="D14" s="35"/>
      <c r="L14" s="0" t="str">
        <f aca="false">IFERROR(VLOOKUP(B14,'Vendor Master'!$A$9:$F$33,2,0),"Not in master")</f>
        <v>Harbour Shipping</v>
      </c>
    </row>
    <row r="15" customFormat="false" ht="15" hidden="false" customHeight="false" outlineLevel="0" collapsed="false">
      <c r="A15" s="24" t="s">
        <v>312</v>
      </c>
      <c r="B15" s="24" t="s">
        <v>40</v>
      </c>
      <c r="C15" s="34" t="n">
        <v>9900</v>
      </c>
      <c r="D15" s="35"/>
      <c r="L15" s="0" t="str">
        <f aca="false">IFERROR(VLOOKUP(B15,'Vendor Master'!$A$9:$F$33,2,0),"Not in master")</f>
        <v>Deccan Supplies</v>
      </c>
    </row>
    <row r="16" customFormat="false" ht="15" hidden="false" customHeight="false" outlineLevel="0" collapsed="false">
      <c r="A16" s="26" t="s">
        <v>313</v>
      </c>
      <c r="B16" s="26" t="s">
        <v>103</v>
      </c>
      <c r="C16" s="43" t="n">
        <v>171700</v>
      </c>
      <c r="D16" s="35"/>
      <c r="L16" s="0" t="str">
        <f aca="false">IFERROR(VLOOKUP(B16,'Vendor Master'!$A$9:$F$33,2,0),"Not in master")</f>
        <v>Crystal Glassworks</v>
      </c>
    </row>
    <row r="17" customFormat="false" ht="15" hidden="false" customHeight="false" outlineLevel="0" collapsed="false">
      <c r="A17" s="24" t="s">
        <v>314</v>
      </c>
      <c r="B17" s="24" t="s">
        <v>68</v>
      </c>
      <c r="C17" s="34" t="n">
        <v>160800</v>
      </c>
      <c r="D17" s="35"/>
      <c r="L17" s="0" t="str">
        <f aca="false">IFERROR(VLOOKUP(B17,'Vendor Master'!$A$9:$F$33,2,0),"Not in master")</f>
        <v>Vaibhav Textiles</v>
      </c>
    </row>
    <row r="18" customFormat="false" ht="15" hidden="false" customHeight="false" outlineLevel="0" collapsed="false">
      <c r="A18" s="26" t="s">
        <v>315</v>
      </c>
      <c r="B18" s="26" t="s">
        <v>316</v>
      </c>
      <c r="C18" s="43" t="n">
        <v>36400</v>
      </c>
      <c r="D18" s="35"/>
      <c r="L18" s="0" t="str">
        <f aca="false">IFERROR(VLOOKUP(B18,'Vendor Master'!$A$9:$F$33,2,0),"Not in master")</f>
        <v>Not in master</v>
      </c>
    </row>
    <row r="19" customFormat="false" ht="15" hidden="false" customHeight="false" outlineLevel="0" collapsed="false">
      <c r="A19" s="24" t="s">
        <v>317</v>
      </c>
      <c r="B19" s="24" t="s">
        <v>125</v>
      </c>
      <c r="C19" s="34" t="n">
        <v>246200</v>
      </c>
      <c r="D19" s="35"/>
      <c r="L19" s="0" t="str">
        <f aca="false">IFERROR(VLOOKUP(B19,'Vendor Master'!$A$9:$F$33,2,0),"Not in master")</f>
        <v>Silverline Tools</v>
      </c>
    </row>
    <row r="20" customFormat="false" ht="15" hidden="false" customHeight="false" outlineLevel="0" collapsed="false">
      <c r="A20" s="26" t="s">
        <v>318</v>
      </c>
      <c r="B20" s="26" t="s">
        <v>58</v>
      </c>
      <c r="C20" s="43" t="n">
        <v>5300</v>
      </c>
      <c r="D20" s="35"/>
      <c r="L20" s="0" t="str">
        <f aca="false">IFERROR(VLOOKUP(B20,'Vendor Master'!$A$9:$F$33,2,0),"Not in master")</f>
        <v>Bharat Electricals</v>
      </c>
    </row>
    <row r="21" customFormat="false" ht="15" hidden="false" customHeight="false" outlineLevel="0" collapsed="false">
      <c r="A21" s="24" t="s">
        <v>319</v>
      </c>
      <c r="B21" s="24" t="s">
        <v>100</v>
      </c>
      <c r="C21" s="34" t="n">
        <v>139200</v>
      </c>
      <c r="D21" s="35"/>
      <c r="L21" s="0" t="str">
        <f aca="false">IFERROR(VLOOKUP(B21,'Vendor Master'!$A$9:$F$33,2,0),"Not in master")</f>
        <v>Metro Freight</v>
      </c>
    </row>
    <row r="22" customFormat="false" ht="15" hidden="false" customHeight="false" outlineLevel="0" collapsed="false">
      <c r="A22" s="26" t="s">
        <v>320</v>
      </c>
      <c r="B22" s="26" t="s">
        <v>90</v>
      </c>
      <c r="C22" s="43" t="n">
        <v>72100</v>
      </c>
      <c r="D22" s="35"/>
      <c r="L22" s="0" t="str">
        <f aca="false">IFERROR(VLOOKUP(B22,'Vendor Master'!$A$9:$F$33,2,0),"Not in master")</f>
        <v>Sunrise Packaging</v>
      </c>
    </row>
    <row r="23" customFormat="false" ht="15" hidden="false" customHeight="false" outlineLevel="0" collapsed="false">
      <c r="A23" s="24" t="s">
        <v>321</v>
      </c>
      <c r="B23" s="24" t="s">
        <v>45</v>
      </c>
      <c r="C23" s="34" t="n">
        <v>138100</v>
      </c>
      <c r="D23" s="35"/>
      <c r="L23" s="0" t="str">
        <f aca="false">IFERROR(VLOOKUP(B23,'Vendor Master'!$A$9:$F$33,2,0),"Not in master")</f>
        <v>Orbit Systems</v>
      </c>
    </row>
    <row r="24" customFormat="false" ht="15" hidden="false" customHeight="false" outlineLevel="0" collapsed="false">
      <c r="A24" s="26" t="s">
        <v>322</v>
      </c>
      <c r="B24" s="26" t="s">
        <v>323</v>
      </c>
      <c r="C24" s="43" t="n">
        <v>229700</v>
      </c>
      <c r="D24" s="35"/>
      <c r="L24" s="0" t="str">
        <f aca="false">IFERROR(VLOOKUP(B24,'Vendor Master'!$A$9:$F$33,2,0),"Not in master")</f>
        <v>Not in master</v>
      </c>
    </row>
    <row r="25" customFormat="false" ht="15" hidden="false" customHeight="false" outlineLevel="0" collapsed="false">
      <c r="A25" s="24" t="s">
        <v>324</v>
      </c>
      <c r="B25" s="24" t="s">
        <v>113</v>
      </c>
      <c r="C25" s="34" t="n">
        <v>105100</v>
      </c>
      <c r="D25" s="35"/>
      <c r="L25" s="0" t="str">
        <f aca="false">IFERROR(VLOOKUP(B25,'Vendor Master'!$A$9:$F$33,2,0),"Not in master")</f>
        <v>Harbour Shipping</v>
      </c>
    </row>
    <row r="26" customFormat="false" ht="15" hidden="false" customHeight="false" outlineLevel="0" collapsed="false">
      <c r="A26" s="26" t="s">
        <v>325</v>
      </c>
      <c r="B26" s="26" t="s">
        <v>106</v>
      </c>
      <c r="C26" s="43" t="n">
        <v>147000</v>
      </c>
      <c r="D26" s="35"/>
      <c r="L26" s="0" t="str">
        <f aca="false">IFERROR(VLOOKUP(B26,'Vendor Master'!$A$9:$F$33,2,0),"Not in master")</f>
        <v>Everest Steel</v>
      </c>
    </row>
    <row r="27" customFormat="false" ht="15" hidden="false" customHeight="false" outlineLevel="0" collapsed="false">
      <c r="A27" s="24" t="s">
        <v>326</v>
      </c>
      <c r="B27" s="24" t="s">
        <v>75</v>
      </c>
      <c r="C27" s="34" t="n">
        <v>67400</v>
      </c>
      <c r="D27" s="35"/>
      <c r="L27" s="0" t="str">
        <f aca="false">IFERROR(VLOOKUP(B27,'Vendor Master'!$A$9:$F$33,2,0),"Not in master")</f>
        <v>Nova Industries</v>
      </c>
    </row>
    <row r="28" customFormat="false" ht="15" hidden="false" customHeight="false" outlineLevel="0" collapsed="false">
      <c r="A28" s="26" t="s">
        <v>327</v>
      </c>
      <c r="B28" s="26" t="s">
        <v>83</v>
      </c>
      <c r="C28" s="43" t="n">
        <v>12700</v>
      </c>
      <c r="D28" s="35"/>
      <c r="L28" s="0" t="str">
        <f aca="false">IFERROR(VLOOKUP(B28,'Vendor Master'!$A$9:$F$33,2,0),"Not in master")</f>
        <v>ABC Traders</v>
      </c>
    </row>
    <row r="29" customFormat="false" ht="15" hidden="false" customHeight="false" outlineLevel="0" collapsed="false">
      <c r="A29" s="24" t="s">
        <v>328</v>
      </c>
      <c r="B29" s="24" t="s">
        <v>58</v>
      </c>
      <c r="C29" s="34" t="n">
        <v>109000</v>
      </c>
      <c r="D29" s="35"/>
      <c r="L29" s="0" t="str">
        <f aca="false">IFERROR(VLOOKUP(B29,'Vendor Master'!$A$9:$F$33,2,0),"Not in master")</f>
        <v>Bharat Electricals</v>
      </c>
    </row>
    <row r="30" customFormat="false" ht="15" hidden="false" customHeight="false" outlineLevel="0" collapsed="false">
      <c r="A30" s="26" t="s">
        <v>329</v>
      </c>
      <c r="B30" s="26" t="s">
        <v>330</v>
      </c>
      <c r="C30" s="43" t="n">
        <v>52700</v>
      </c>
      <c r="D30" s="35"/>
      <c r="L30" s="0" t="str">
        <f aca="false">IFERROR(VLOOKUP(B30,'Vendor Master'!$A$9:$F$33,2,0),"Not in master")</f>
        <v>Not in master</v>
      </c>
    </row>
    <row r="31" customFormat="false" ht="15" hidden="false" customHeight="false" outlineLevel="0" collapsed="false">
      <c r="A31" s="24" t="s">
        <v>331</v>
      </c>
      <c r="B31" s="24" t="s">
        <v>65</v>
      </c>
      <c r="C31" s="34" t="n">
        <v>240500</v>
      </c>
      <c r="D31" s="35"/>
      <c r="L31" s="0" t="str">
        <f aca="false">IFERROR(VLOOKUP(B31,'Vendor Master'!$A$9:$F$33,2,0),"Not in master")</f>
        <v>Kiran Agencies</v>
      </c>
    </row>
    <row r="32" customFormat="false" ht="15" hidden="false" customHeight="false" outlineLevel="0" collapsed="false">
      <c r="A32" s="26" t="s">
        <v>332</v>
      </c>
      <c r="B32" s="26" t="s">
        <v>83</v>
      </c>
      <c r="C32" s="43" t="n">
        <v>245500</v>
      </c>
      <c r="D32" s="35"/>
      <c r="L32" s="0" t="str">
        <f aca="false">IFERROR(VLOOKUP(B32,'Vendor Master'!$A$9:$F$33,2,0),"Not in master")</f>
        <v>ABC Traders</v>
      </c>
    </row>
    <row r="33" customFormat="false" ht="15" hidden="false" customHeight="false" outlineLevel="0" collapsed="false">
      <c r="A33" s="24" t="s">
        <v>333</v>
      </c>
      <c r="B33" s="24" t="s">
        <v>109</v>
      </c>
      <c r="C33" s="34" t="n">
        <v>167000</v>
      </c>
      <c r="D33" s="35"/>
      <c r="L33" s="0" t="str">
        <f aca="false">IFERROR(VLOOKUP(B33,'Vendor Master'!$A$9:$F$33,2,0),"Not in master")</f>
        <v>Pioneer Plastics</v>
      </c>
    </row>
  </sheetData>
  <mergeCells count="3">
    <mergeCell ref="A1:J1"/>
    <mergeCell ref="A2:J2"/>
    <mergeCell ref="A3:J5"/>
  </mergeCells>
  <conditionalFormatting sqref="I9:I12">
    <cfRule type="expression" priority="2" aboveAverage="0" equalAverage="0" bottom="0" percent="0" rank="0" text="" dxfId="0">
      <formula>LEFT(I9,1)="✓"</formula>
    </cfRule>
    <cfRule type="expression" priority="3" aboveAverage="0" equalAverage="0" bottom="0" percent="0" rank="0" text="" dxfId="1">
      <formula>LEFT(I9,1)="✗"</formula>
    </cfRule>
    <cfRule type="expression" priority="4" aboveAverage="0" equalAverage="0" bottom="0" percent="0" rank="0" text="" dxfId="2">
      <formula>LEFT(I9,1)="✎"</formula>
    </cfRule>
    <cfRule type="expression" priority="5" aboveAverage="0" equalAverage="0" bottom="0" percent="0" rank="0" text="" dxfId="3">
      <formula>LEFT(I9,1)="◯"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1D48"/>
    <pageSetUpPr fitToPage="tru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6" min="3"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true" outlineLevel="0" max="16" min="13" style="0" width="13"/>
  </cols>
  <sheetData>
    <row r="1" customFormat="false" ht="31.5" hidden="false" customHeight="true" outlineLevel="0" collapsed="false">
      <c r="A1" s="69" t="s">
        <v>334</v>
      </c>
      <c r="B1" s="69"/>
      <c r="C1" s="69"/>
      <c r="D1" s="69"/>
      <c r="E1" s="69"/>
      <c r="F1" s="69"/>
      <c r="G1" s="69"/>
      <c r="H1" s="69"/>
      <c r="I1" s="69"/>
      <c r="J1" s="69"/>
      <c r="K1" s="69"/>
      <c r="L1" s="69"/>
    </row>
    <row r="2" customFormat="false" ht="19.5" hidden="false" customHeight="true" outlineLevel="0" collapsed="false">
      <c r="A2" s="70" t="s">
        <v>335</v>
      </c>
      <c r="B2" s="70"/>
      <c r="C2" s="70"/>
      <c r="D2" s="70"/>
      <c r="E2" s="70"/>
      <c r="F2" s="70"/>
      <c r="G2" s="70"/>
      <c r="H2" s="70"/>
      <c r="I2" s="70"/>
      <c r="J2" s="70"/>
      <c r="K2" s="70"/>
      <c r="L2" s="70"/>
    </row>
    <row r="3" customFormat="false" ht="18.75" hidden="false" customHeight="true" outlineLevel="0" collapsed="false">
      <c r="A3" s="71" t="s">
        <v>336</v>
      </c>
      <c r="B3" s="71"/>
      <c r="C3" s="71"/>
      <c r="D3" s="71"/>
      <c r="E3" s="71"/>
      <c r="F3" s="71"/>
      <c r="G3" s="71"/>
      <c r="H3" s="71"/>
      <c r="I3" s="71"/>
      <c r="J3" s="71"/>
      <c r="K3" s="71"/>
      <c r="L3" s="71"/>
    </row>
    <row r="4" customFormat="false" ht="18.75" hidden="false" customHeight="true" outlineLevel="0" collapsed="false">
      <c r="A4" s="71"/>
      <c r="B4" s="71"/>
      <c r="C4" s="71"/>
      <c r="D4" s="71"/>
      <c r="E4" s="71"/>
      <c r="F4" s="71"/>
      <c r="G4" s="71"/>
      <c r="H4" s="71"/>
      <c r="I4" s="71"/>
      <c r="J4" s="71"/>
      <c r="K4" s="71"/>
      <c r="L4" s="71"/>
    </row>
    <row r="5" customFormat="false" ht="18.75" hidden="false" customHeight="true" outlineLevel="0" collapsed="false">
      <c r="A5" s="71"/>
      <c r="B5" s="71"/>
      <c r="C5" s="71"/>
      <c r="D5" s="71"/>
      <c r="E5" s="71"/>
      <c r="F5" s="71"/>
      <c r="G5" s="71"/>
      <c r="H5" s="71"/>
      <c r="I5" s="71"/>
      <c r="J5" s="71"/>
      <c r="K5" s="71"/>
      <c r="L5" s="71"/>
    </row>
    <row r="6" customFormat="false" ht="19.5" hidden="false" customHeight="true" outlineLevel="0" collapsed="false"/>
    <row r="8" customFormat="false" ht="24" hidden="false" customHeight="true" outlineLevel="0" collapsed="false">
      <c r="A8" s="31" t="s">
        <v>245</v>
      </c>
      <c r="B8" s="31" t="s">
        <v>246</v>
      </c>
      <c r="C8" s="31" t="s">
        <v>337</v>
      </c>
      <c r="D8" s="31" t="s">
        <v>248</v>
      </c>
      <c r="E8" s="32" t="s">
        <v>338</v>
      </c>
      <c r="F8" s="32" t="s">
        <v>249</v>
      </c>
      <c r="H8" s="72" t="s">
        <v>14</v>
      </c>
      <c r="I8" s="72" t="s">
        <v>133</v>
      </c>
      <c r="J8" s="72" t="s">
        <v>134</v>
      </c>
      <c r="K8" s="72" t="s">
        <v>135</v>
      </c>
      <c r="L8" s="72" t="s">
        <v>136</v>
      </c>
    </row>
    <row r="9" customFormat="false" ht="33.75" hidden="false" customHeight="true" outlineLevel="0" collapsed="false">
      <c r="A9" s="24" t="s">
        <v>339</v>
      </c>
      <c r="B9" s="24" t="s">
        <v>340</v>
      </c>
      <c r="C9" s="24" t="s">
        <v>341</v>
      </c>
      <c r="D9" s="25" t="n">
        <v>36</v>
      </c>
      <c r="E9" s="51"/>
      <c r="F9" s="51"/>
      <c r="H9" s="73" t="n">
        <v>1</v>
      </c>
      <c r="I9" s="38" t="s">
        <v>342</v>
      </c>
      <c r="J9" s="39" t="s">
        <v>143</v>
      </c>
      <c r="K9" s="40" t="str">
        <f aca="false">IF(COUNTA($E$9:$E$33)=0,"◯ Not attempted",IF(NOT(_xlfn.ISFORMULA(E9)),"✎ Use a formula",IFERROR(IF(SUMPRODUCT(--(ABS($E$9:$E$33-$N$9:$N$33)&lt;0.01))=ROWS($E$9:$E$33),"✓ Correct","✗ "&amp;(ROWS($E$9:$E$33)-SUMPRODUCT(--(ABS($E$9:$E$33-$N$9:$N$33)&lt;0.01)))&amp;" rows differ"),"✗ Check the column")))</f>
        <v>◯ Not attempted</v>
      </c>
      <c r="L9" s="41" t="s">
        <v>343</v>
      </c>
      <c r="N9" s="0" t="n">
        <f aca="false">SUMIFS($K$16:$K$27,$I$16:$I$27,B9,$J$16:$J$27,C9)</f>
        <v>430</v>
      </c>
      <c r="O9" s="0" t="n">
        <f aca="false">D9*SUMIFS($K$16:$K$27,$I$16:$I$27,B9,$J$16:$J$27,C9)</f>
        <v>15480</v>
      </c>
    </row>
    <row r="10" customFormat="false" ht="33.75" hidden="false" customHeight="true" outlineLevel="0" collapsed="false">
      <c r="A10" s="26" t="s">
        <v>344</v>
      </c>
      <c r="B10" s="26" t="s">
        <v>345</v>
      </c>
      <c r="C10" s="26" t="s">
        <v>346</v>
      </c>
      <c r="D10" s="27" t="n">
        <v>16</v>
      </c>
      <c r="E10" s="51"/>
      <c r="F10" s="51"/>
      <c r="H10" s="73" t="n">
        <v>2</v>
      </c>
      <c r="I10" s="38" t="s">
        <v>347</v>
      </c>
      <c r="J10" s="39" t="s">
        <v>259</v>
      </c>
      <c r="K10" s="40" t="str">
        <f aca="false">IF(COUNTA($F$9:$F$33)=0,"◯ Not attempted",IF(NOT(_xlfn.ISFORMULA(F9)),"✎ Use a formula",IFERROR(IF(SUMPRODUCT(--(ABS($F$9:$F$33-$O$9:$O$33)&lt;0.01))=ROWS($F$9:$F$33),"✓ Correct","✗ "&amp;(ROWS($F$9:$F$33)-SUMPRODUCT(--(ABS($F$9:$F$33-$O$9:$O$33)&lt;0.01)))&amp;" rows differ"),"✗ Check the column")))</f>
        <v>◯ Not attempted</v>
      </c>
      <c r="L10" s="41" t="s">
        <v>260</v>
      </c>
      <c r="N10" s="0" t="n">
        <f aca="false">SUMIFS($K$16:$K$27,$I$16:$I$27,B10,$J$16:$J$27,C10)</f>
        <v>2350</v>
      </c>
      <c r="O10" s="0" t="n">
        <f aca="false">D10*SUMIFS($K$16:$K$27,$I$16:$I$27,B10,$J$16:$J$27,C10)</f>
        <v>37600</v>
      </c>
    </row>
    <row r="11" customFormat="false" ht="33.75" hidden="false" customHeight="true" outlineLevel="0" collapsed="false">
      <c r="A11" s="24" t="s">
        <v>348</v>
      </c>
      <c r="B11" s="24" t="s">
        <v>340</v>
      </c>
      <c r="C11" s="24" t="s">
        <v>341</v>
      </c>
      <c r="D11" s="25" t="n">
        <v>44</v>
      </c>
      <c r="E11" s="51"/>
      <c r="F11" s="51"/>
      <c r="H11" s="73" t="n">
        <v>3</v>
      </c>
      <c r="I11" s="38" t="s">
        <v>349</v>
      </c>
      <c r="J11" s="45"/>
      <c r="K11" s="40" t="str">
        <f aca="false">IF(ISBLANK(J11),"◯ Not attempted",IF(NOT(_xlfn.ISFORMULA(J11)),"✎ Use a formula",IF(ISNUMBER(J11),IF(ABS(J11-$M$11)&lt;0.005,"✓ Correct","✗ Check again"),"✗ Not a number")))</f>
        <v>◯ Not attempted</v>
      </c>
      <c r="L11" s="41" t="s">
        <v>264</v>
      </c>
      <c r="M11" s="0" t="n">
        <f aca="false">D9*SUMIFS($K$16:$K$27,$I$16:$I$27,B9,$J$16:$J$27,C9)+D10*SUMIFS($K$16:$K$27,$I$16:$I$27,B10,$J$16:$J$27,C10)+D11*SUMIFS($K$16:$K$27,$I$16:$I$27,B11,$J$16:$J$27,C11)+D12*SUMIFS($K$16:$K$27,$I$16:$I$27,B12,$J$16:$J$27,C12)+D13*SUMIFS($K$16:$K$27,$I$16:$I$27,B13,$J$16:$J$27,C13)+D14*SUMIFS($K$16:$K$27,$I$16:$I$27,B14,$J$16:$J$27,C14)+D15*SUMIFS($K$16:$K$27,$I$16:$I$27,B15,$J$16:$J$27,C15)+D16*SUMIFS($K$16:$K$27,$I$16:$I$27,B16,$J$16:$J$27,C16)+D17*SUMIFS($K$16:$K$27,$I$16:$I$27,B17,$J$16:$J$27,C17)+D18*SUMIFS($K$16:$K$27,$I$16:$I$27,B18,$J$16:$J$27,C18)+D19*SUMIFS($K$16:$K$27,$I$16:$I$27,B19,$J$16:$J$27,C19)+D20*SUMIFS($K$16:$K$27,$I$16:$I$27,B20,$J$16:$J$27,C20)+D21*SUMIFS($K$16:$K$27,$I$16:$I$27,B21,$J$16:$J$27,C21)+D22*SUMIFS($K$16:$K$27,$I$16:$I$27,B22,$J$16:$J$27,C22)+D23*SUMIFS($K$16:$K$27,$I$16:$I$27,B23,$J$16:$J$27,C23)+D24*SUMIFS($K$16:$K$27,$I$16:$I$27,B24,$J$16:$J$27,C24)+D25*SUMIFS($K$16:$K$27,$I$16:$I$27,B25,$J$16:$J$27,C25)+D26*SUMIFS($K$16:$K$27,$I$16:$I$27,B26,$J$16:$J$27,C26)+D27*SUMIFS($K$16:$K$27,$I$16:$I$27,B27,$J$16:$J$27,C27)+D28*SUMIFS($K$16:$K$27,$I$16:$I$27,B28,$J$16:$J$27,C28)+D29*SUMIFS($K$16:$K$27,$I$16:$I$27,B29,$J$16:$J$27,C29)+D30*SUMIFS($K$16:$K$27,$I$16:$I$27,B30,$J$16:$J$27,C30)+D31*SUMIFS($K$16:$K$27,$I$16:$I$27,B31,$J$16:$J$27,C31)+D32*SUMIFS($K$16:$K$27,$I$16:$I$27,B32,$J$16:$J$27,C32)+D33*SUMIFS($K$16:$K$27,$I$16:$I$27,B33,$J$16:$J$27,C33)</f>
        <v>713740</v>
      </c>
      <c r="N11" s="0" t="n">
        <f aca="false">SUMIFS($K$16:$K$27,$I$16:$I$27,B11,$J$16:$J$27,C11)</f>
        <v>430</v>
      </c>
      <c r="O11" s="0" t="n">
        <f aca="false">D11*SUMIFS($K$16:$K$27,$I$16:$I$27,B11,$J$16:$J$27,C11)</f>
        <v>18920</v>
      </c>
    </row>
    <row r="12" customFormat="false" ht="33.75" hidden="false" customHeight="true" outlineLevel="0" collapsed="false">
      <c r="A12" s="26" t="s">
        <v>350</v>
      </c>
      <c r="B12" s="26" t="s">
        <v>340</v>
      </c>
      <c r="C12" s="26" t="s">
        <v>351</v>
      </c>
      <c r="D12" s="27" t="n">
        <v>3</v>
      </c>
      <c r="E12" s="51"/>
      <c r="F12" s="51"/>
      <c r="H12" s="73" t="n">
        <v>4</v>
      </c>
      <c r="I12" s="38" t="s">
        <v>352</v>
      </c>
      <c r="J12" s="59"/>
      <c r="K12" s="40" t="str">
        <f aca="false">IF(ISBLANK(J12),"◯ Not attempted",IF(NOT(_xlfn.ISFORMULA(J12)),"✎ Use a formula",IF(ISNUMBER(J12),IF(ABS(J12-$M$12)&lt;0.005,"✓ Correct","✗ Check again"),"✗ Not a number")))</f>
        <v>◯ Not attempted</v>
      </c>
      <c r="L12" s="41" t="s">
        <v>353</v>
      </c>
      <c r="M12" s="60" t="n">
        <f aca="false">SUMIF($C$9:$C$33,"L",$D$9:$D$33)</f>
        <v>240</v>
      </c>
      <c r="N12" s="42" t="n">
        <f aca="false">SUMIFS($K$16:$K$27,$I$16:$I$27,B12,$J$16:$J$27,C12)</f>
        <v>660</v>
      </c>
      <c r="O12" s="42" t="n">
        <f aca="false">D12*SUMIFS($K$16:$K$27,$I$16:$I$27,B12,$J$16:$J$27,C12)</f>
        <v>1980</v>
      </c>
    </row>
    <row r="13" customFormat="false" ht="15" hidden="false" customHeight="false" outlineLevel="0" collapsed="false">
      <c r="A13" s="24" t="s">
        <v>354</v>
      </c>
      <c r="B13" s="24" t="s">
        <v>355</v>
      </c>
      <c r="C13" s="24" t="s">
        <v>346</v>
      </c>
      <c r="D13" s="25" t="n">
        <v>10</v>
      </c>
      <c r="E13" s="51"/>
      <c r="F13" s="51"/>
      <c r="N13" s="42" t="n">
        <f aca="false">SUMIFS($K$16:$K$27,$I$16:$I$27,B13,$J$16:$J$27,C13)</f>
        <v>1300</v>
      </c>
      <c r="O13" s="42" t="n">
        <f aca="false">D13*SUMIFS($K$16:$K$27,$I$16:$I$27,B13,$J$16:$J$27,C13)</f>
        <v>13000</v>
      </c>
    </row>
    <row r="14" customFormat="false" ht="15" hidden="false" customHeight="false" outlineLevel="0" collapsed="false">
      <c r="A14" s="26" t="s">
        <v>356</v>
      </c>
      <c r="B14" s="26" t="s">
        <v>345</v>
      </c>
      <c r="C14" s="26" t="s">
        <v>341</v>
      </c>
      <c r="D14" s="27" t="n">
        <v>20</v>
      </c>
      <c r="E14" s="51"/>
      <c r="F14" s="51"/>
      <c r="I14" s="74" t="s">
        <v>357</v>
      </c>
      <c r="N14" s="42" t="n">
        <f aca="false">SUMIFS($K$16:$K$27,$I$16:$I$27,B14,$J$16:$J$27,C14)</f>
        <v>1310</v>
      </c>
      <c r="O14" s="42" t="n">
        <f aca="false">D14*SUMIFS($K$16:$K$27,$I$16:$I$27,B14,$J$16:$J$27,C14)</f>
        <v>26200</v>
      </c>
    </row>
    <row r="15" customFormat="false" ht="15" hidden="false" customHeight="false" outlineLevel="0" collapsed="false">
      <c r="A15" s="24" t="s">
        <v>358</v>
      </c>
      <c r="B15" s="24" t="s">
        <v>345</v>
      </c>
      <c r="C15" s="24" t="s">
        <v>346</v>
      </c>
      <c r="D15" s="25" t="n">
        <v>31</v>
      </c>
      <c r="E15" s="51"/>
      <c r="F15" s="51"/>
      <c r="I15" s="56" t="s">
        <v>246</v>
      </c>
      <c r="J15" s="56" t="s">
        <v>337</v>
      </c>
      <c r="K15" s="56" t="s">
        <v>338</v>
      </c>
      <c r="N15" s="42" t="n">
        <f aca="false">SUMIFS($K$16:$K$27,$I$16:$I$27,B15,$J$16:$J$27,C15)</f>
        <v>2350</v>
      </c>
      <c r="O15" s="42" t="n">
        <f aca="false">D15*SUMIFS($K$16:$K$27,$I$16:$I$27,B15,$J$16:$J$27,C15)</f>
        <v>72850</v>
      </c>
    </row>
    <row r="16" customFormat="false" ht="15" hidden="false" customHeight="false" outlineLevel="0" collapsed="false">
      <c r="A16" s="26" t="s">
        <v>359</v>
      </c>
      <c r="B16" s="26" t="s">
        <v>355</v>
      </c>
      <c r="C16" s="26" t="s">
        <v>346</v>
      </c>
      <c r="D16" s="27" t="n">
        <v>35</v>
      </c>
      <c r="E16" s="51"/>
      <c r="F16" s="51"/>
      <c r="I16" s="68" t="s">
        <v>340</v>
      </c>
      <c r="J16" s="68" t="s">
        <v>351</v>
      </c>
      <c r="K16" s="57" t="n">
        <v>660</v>
      </c>
      <c r="N16" s="42" t="n">
        <f aca="false">SUMIFS($K$16:$K$27,$I$16:$I$27,B16,$J$16:$J$27,C16)</f>
        <v>1300</v>
      </c>
      <c r="O16" s="42" t="n">
        <f aca="false">D16*SUMIFS($K$16:$K$27,$I$16:$I$27,B16,$J$16:$J$27,C16)</f>
        <v>45500</v>
      </c>
    </row>
    <row r="17" customFormat="false" ht="15" hidden="false" customHeight="false" outlineLevel="0" collapsed="false">
      <c r="A17" s="24" t="s">
        <v>360</v>
      </c>
      <c r="B17" s="24" t="s">
        <v>340</v>
      </c>
      <c r="C17" s="24" t="s">
        <v>346</v>
      </c>
      <c r="D17" s="25" t="n">
        <v>31</v>
      </c>
      <c r="E17" s="51"/>
      <c r="F17" s="51"/>
      <c r="I17" s="68" t="s">
        <v>340</v>
      </c>
      <c r="J17" s="68" t="s">
        <v>341</v>
      </c>
      <c r="K17" s="57" t="n">
        <v>430</v>
      </c>
      <c r="N17" s="42" t="n">
        <f aca="false">SUMIFS($K$16:$K$27,$I$16:$I$27,B17,$J$16:$J$27,C17)</f>
        <v>850</v>
      </c>
      <c r="O17" s="42" t="n">
        <f aca="false">D17*SUMIFS($K$16:$K$27,$I$16:$I$27,B17,$J$16:$J$27,C17)</f>
        <v>26350</v>
      </c>
    </row>
    <row r="18" customFormat="false" ht="15" hidden="false" customHeight="false" outlineLevel="0" collapsed="false">
      <c r="A18" s="26" t="s">
        <v>361</v>
      </c>
      <c r="B18" s="26" t="s">
        <v>340</v>
      </c>
      <c r="C18" s="26" t="s">
        <v>341</v>
      </c>
      <c r="D18" s="27" t="n">
        <v>8</v>
      </c>
      <c r="E18" s="51"/>
      <c r="F18" s="51"/>
      <c r="I18" s="68" t="s">
        <v>340</v>
      </c>
      <c r="J18" s="68" t="s">
        <v>346</v>
      </c>
      <c r="K18" s="57" t="n">
        <v>850</v>
      </c>
      <c r="N18" s="42" t="n">
        <f aca="false">SUMIFS($K$16:$K$27,$I$16:$I$27,B18,$J$16:$J$27,C18)</f>
        <v>430</v>
      </c>
      <c r="O18" s="42" t="n">
        <f aca="false">D18*SUMIFS($K$16:$K$27,$I$16:$I$27,B18,$J$16:$J$27,C18)</f>
        <v>3440</v>
      </c>
    </row>
    <row r="19" customFormat="false" ht="15" hidden="false" customHeight="false" outlineLevel="0" collapsed="false">
      <c r="A19" s="24" t="s">
        <v>362</v>
      </c>
      <c r="B19" s="24" t="s">
        <v>363</v>
      </c>
      <c r="C19" s="24" t="s">
        <v>341</v>
      </c>
      <c r="D19" s="25" t="n">
        <v>11</v>
      </c>
      <c r="E19" s="51"/>
      <c r="F19" s="51"/>
      <c r="I19" s="68" t="s">
        <v>363</v>
      </c>
      <c r="J19" s="68" t="s">
        <v>351</v>
      </c>
      <c r="K19" s="57" t="n">
        <v>1920</v>
      </c>
      <c r="N19" s="42" t="n">
        <f aca="false">SUMIFS($K$16:$K$27,$I$16:$I$27,B19,$J$16:$J$27,C19)</f>
        <v>520</v>
      </c>
      <c r="O19" s="42" t="n">
        <f aca="false">D19*SUMIFS($K$16:$K$27,$I$16:$I$27,B19,$J$16:$J$27,C19)</f>
        <v>5720</v>
      </c>
    </row>
    <row r="20" customFormat="false" ht="15" hidden="false" customHeight="false" outlineLevel="0" collapsed="false">
      <c r="A20" s="26" t="s">
        <v>364</v>
      </c>
      <c r="B20" s="26" t="s">
        <v>345</v>
      </c>
      <c r="C20" s="26" t="s">
        <v>341</v>
      </c>
      <c r="D20" s="27" t="n">
        <v>30</v>
      </c>
      <c r="E20" s="51"/>
      <c r="F20" s="51"/>
      <c r="I20" s="68" t="s">
        <v>363</v>
      </c>
      <c r="J20" s="68" t="s">
        <v>341</v>
      </c>
      <c r="K20" s="57" t="n">
        <v>520</v>
      </c>
      <c r="N20" s="42" t="n">
        <f aca="false">SUMIFS($K$16:$K$27,$I$16:$I$27,B20,$J$16:$J$27,C20)</f>
        <v>1310</v>
      </c>
      <c r="O20" s="42" t="n">
        <f aca="false">D20*SUMIFS($K$16:$K$27,$I$16:$I$27,B20,$J$16:$J$27,C20)</f>
        <v>39300</v>
      </c>
    </row>
    <row r="21" customFormat="false" ht="15" hidden="false" customHeight="false" outlineLevel="0" collapsed="false">
      <c r="A21" s="24" t="s">
        <v>365</v>
      </c>
      <c r="B21" s="24" t="s">
        <v>355</v>
      </c>
      <c r="C21" s="24" t="s">
        <v>341</v>
      </c>
      <c r="D21" s="25" t="n">
        <v>38</v>
      </c>
      <c r="E21" s="51"/>
      <c r="F21" s="51"/>
      <c r="I21" s="68" t="s">
        <v>363</v>
      </c>
      <c r="J21" s="68" t="s">
        <v>346</v>
      </c>
      <c r="K21" s="57" t="n">
        <v>2250</v>
      </c>
      <c r="N21" s="42" t="n">
        <f aca="false">SUMIFS($K$16:$K$27,$I$16:$I$27,B21,$J$16:$J$27,C21)</f>
        <v>1160</v>
      </c>
      <c r="O21" s="42" t="n">
        <f aca="false">D21*SUMIFS($K$16:$K$27,$I$16:$I$27,B21,$J$16:$J$27,C21)</f>
        <v>44080</v>
      </c>
    </row>
    <row r="22" customFormat="false" ht="15" hidden="false" customHeight="false" outlineLevel="0" collapsed="false">
      <c r="A22" s="26" t="s">
        <v>366</v>
      </c>
      <c r="B22" s="26" t="s">
        <v>345</v>
      </c>
      <c r="C22" s="26" t="s">
        <v>351</v>
      </c>
      <c r="D22" s="27" t="n">
        <v>49</v>
      </c>
      <c r="E22" s="51"/>
      <c r="F22" s="51"/>
      <c r="I22" s="68" t="s">
        <v>345</v>
      </c>
      <c r="J22" s="68" t="s">
        <v>351</v>
      </c>
      <c r="K22" s="57" t="n">
        <v>410</v>
      </c>
      <c r="N22" s="42" t="n">
        <f aca="false">SUMIFS($K$16:$K$27,$I$16:$I$27,B22,$J$16:$J$27,C22)</f>
        <v>410</v>
      </c>
      <c r="O22" s="42" t="n">
        <f aca="false">D22*SUMIFS($K$16:$K$27,$I$16:$I$27,B22,$J$16:$J$27,C22)</f>
        <v>20090</v>
      </c>
    </row>
    <row r="23" customFormat="false" ht="15" hidden="false" customHeight="false" outlineLevel="0" collapsed="false">
      <c r="A23" s="24" t="s">
        <v>367</v>
      </c>
      <c r="B23" s="24" t="s">
        <v>355</v>
      </c>
      <c r="C23" s="24" t="s">
        <v>351</v>
      </c>
      <c r="D23" s="25" t="n">
        <v>22</v>
      </c>
      <c r="E23" s="51"/>
      <c r="F23" s="51"/>
      <c r="I23" s="68" t="s">
        <v>345</v>
      </c>
      <c r="J23" s="68" t="s">
        <v>341</v>
      </c>
      <c r="K23" s="57" t="n">
        <v>1310</v>
      </c>
      <c r="N23" s="42" t="n">
        <f aca="false">SUMIFS($K$16:$K$27,$I$16:$I$27,B23,$J$16:$J$27,C23)</f>
        <v>1590</v>
      </c>
      <c r="O23" s="42" t="n">
        <f aca="false">D23*SUMIFS($K$16:$K$27,$I$16:$I$27,B23,$J$16:$J$27,C23)</f>
        <v>34980</v>
      </c>
    </row>
    <row r="24" customFormat="false" ht="15" hidden="false" customHeight="false" outlineLevel="0" collapsed="false">
      <c r="A24" s="26" t="s">
        <v>368</v>
      </c>
      <c r="B24" s="26" t="s">
        <v>363</v>
      </c>
      <c r="C24" s="26" t="s">
        <v>341</v>
      </c>
      <c r="D24" s="27" t="n">
        <v>47</v>
      </c>
      <c r="E24" s="51"/>
      <c r="F24" s="51"/>
      <c r="I24" s="68" t="s">
        <v>345</v>
      </c>
      <c r="J24" s="68" t="s">
        <v>346</v>
      </c>
      <c r="K24" s="57" t="n">
        <v>2350</v>
      </c>
      <c r="N24" s="42" t="n">
        <f aca="false">SUMIFS($K$16:$K$27,$I$16:$I$27,B24,$J$16:$J$27,C24)</f>
        <v>520</v>
      </c>
      <c r="O24" s="42" t="n">
        <f aca="false">D24*SUMIFS($K$16:$K$27,$I$16:$I$27,B24,$J$16:$J$27,C24)</f>
        <v>24440</v>
      </c>
    </row>
    <row r="25" customFormat="false" ht="15" hidden="false" customHeight="false" outlineLevel="0" collapsed="false">
      <c r="A25" s="24" t="s">
        <v>369</v>
      </c>
      <c r="B25" s="24" t="s">
        <v>340</v>
      </c>
      <c r="C25" s="24" t="s">
        <v>346</v>
      </c>
      <c r="D25" s="25" t="n">
        <v>37</v>
      </c>
      <c r="E25" s="51"/>
      <c r="F25" s="51"/>
      <c r="I25" s="68" t="s">
        <v>355</v>
      </c>
      <c r="J25" s="68" t="s">
        <v>351</v>
      </c>
      <c r="K25" s="57" t="n">
        <v>1590</v>
      </c>
      <c r="N25" s="42" t="n">
        <f aca="false">SUMIFS($K$16:$K$27,$I$16:$I$27,B25,$J$16:$J$27,C25)</f>
        <v>850</v>
      </c>
      <c r="O25" s="42" t="n">
        <f aca="false">D25*SUMIFS($K$16:$K$27,$I$16:$I$27,B25,$J$16:$J$27,C25)</f>
        <v>31450</v>
      </c>
    </row>
    <row r="26" customFormat="false" ht="15" hidden="false" customHeight="false" outlineLevel="0" collapsed="false">
      <c r="A26" s="26" t="s">
        <v>370</v>
      </c>
      <c r="B26" s="26" t="s">
        <v>340</v>
      </c>
      <c r="C26" s="26" t="s">
        <v>341</v>
      </c>
      <c r="D26" s="27" t="n">
        <v>38</v>
      </c>
      <c r="E26" s="51"/>
      <c r="F26" s="51"/>
      <c r="I26" s="68" t="s">
        <v>355</v>
      </c>
      <c r="J26" s="68" t="s">
        <v>341</v>
      </c>
      <c r="K26" s="57" t="n">
        <v>1160</v>
      </c>
      <c r="N26" s="42" t="n">
        <f aca="false">SUMIFS($K$16:$K$27,$I$16:$I$27,B26,$J$16:$J$27,C26)</f>
        <v>430</v>
      </c>
      <c r="O26" s="42" t="n">
        <f aca="false">D26*SUMIFS($K$16:$K$27,$I$16:$I$27,B26,$J$16:$J$27,C26)</f>
        <v>16340</v>
      </c>
    </row>
    <row r="27" customFormat="false" ht="15" hidden="false" customHeight="false" outlineLevel="0" collapsed="false">
      <c r="A27" s="24" t="s">
        <v>371</v>
      </c>
      <c r="B27" s="24" t="s">
        <v>355</v>
      </c>
      <c r="C27" s="24" t="s">
        <v>351</v>
      </c>
      <c r="D27" s="25" t="n">
        <v>4</v>
      </c>
      <c r="E27" s="51"/>
      <c r="F27" s="51"/>
      <c r="I27" s="68" t="s">
        <v>355</v>
      </c>
      <c r="J27" s="68" t="s">
        <v>346</v>
      </c>
      <c r="K27" s="57" t="n">
        <v>1300</v>
      </c>
      <c r="N27" s="42" t="n">
        <f aca="false">SUMIFS($K$16:$K$27,$I$16:$I$27,B27,$J$16:$J$27,C27)</f>
        <v>1590</v>
      </c>
      <c r="O27" s="42" t="n">
        <f aca="false">D27*SUMIFS($K$16:$K$27,$I$16:$I$27,B27,$J$16:$J$27,C27)</f>
        <v>6360</v>
      </c>
    </row>
    <row r="28" customFormat="false" ht="15" hidden="false" customHeight="false" outlineLevel="0" collapsed="false">
      <c r="A28" s="26" t="s">
        <v>372</v>
      </c>
      <c r="B28" s="26" t="s">
        <v>340</v>
      </c>
      <c r="C28" s="26" t="s">
        <v>346</v>
      </c>
      <c r="D28" s="27" t="n">
        <v>14</v>
      </c>
      <c r="E28" s="51"/>
      <c r="F28" s="51"/>
      <c r="N28" s="42" t="n">
        <f aca="false">SUMIFS($K$16:$K$27,$I$16:$I$27,B28,$J$16:$J$27,C28)</f>
        <v>850</v>
      </c>
      <c r="O28" s="42" t="n">
        <f aca="false">D28*SUMIFS($K$16:$K$27,$I$16:$I$27,B28,$J$16:$J$27,C28)</f>
        <v>11900</v>
      </c>
    </row>
    <row r="29" customFormat="false" ht="15" hidden="false" customHeight="false" outlineLevel="0" collapsed="false">
      <c r="A29" s="24" t="s">
        <v>373</v>
      </c>
      <c r="B29" s="24" t="s">
        <v>345</v>
      </c>
      <c r="C29" s="24" t="s">
        <v>341</v>
      </c>
      <c r="D29" s="25" t="n">
        <v>37</v>
      </c>
      <c r="E29" s="51"/>
      <c r="F29" s="51"/>
      <c r="N29" s="42" t="n">
        <f aca="false">SUMIFS($K$16:$K$27,$I$16:$I$27,B29,$J$16:$J$27,C29)</f>
        <v>1310</v>
      </c>
      <c r="O29" s="42" t="n">
        <f aca="false">D29*SUMIFS($K$16:$K$27,$I$16:$I$27,B29,$J$16:$J$27,C29)</f>
        <v>48470</v>
      </c>
    </row>
    <row r="30" customFormat="false" ht="15" hidden="false" customHeight="false" outlineLevel="0" collapsed="false">
      <c r="A30" s="26" t="s">
        <v>374</v>
      </c>
      <c r="B30" s="26" t="s">
        <v>363</v>
      </c>
      <c r="C30" s="26" t="s">
        <v>346</v>
      </c>
      <c r="D30" s="27" t="n">
        <v>26</v>
      </c>
      <c r="E30" s="51"/>
      <c r="F30" s="51"/>
      <c r="N30" s="42" t="n">
        <f aca="false">SUMIFS($K$16:$K$27,$I$16:$I$27,B30,$J$16:$J$27,C30)</f>
        <v>2250</v>
      </c>
      <c r="O30" s="42" t="n">
        <f aca="false">D30*SUMIFS($K$16:$K$27,$I$16:$I$27,B30,$J$16:$J$27,C30)</f>
        <v>58500</v>
      </c>
    </row>
    <row r="31" customFormat="false" ht="15" hidden="false" customHeight="false" outlineLevel="0" collapsed="false">
      <c r="A31" s="24" t="s">
        <v>375</v>
      </c>
      <c r="B31" s="24" t="s">
        <v>340</v>
      </c>
      <c r="C31" s="24" t="s">
        <v>351</v>
      </c>
      <c r="D31" s="25" t="n">
        <v>11</v>
      </c>
      <c r="E31" s="51"/>
      <c r="F31" s="51"/>
      <c r="N31" s="42" t="n">
        <f aca="false">SUMIFS($K$16:$K$27,$I$16:$I$27,B31,$J$16:$J$27,C31)</f>
        <v>660</v>
      </c>
      <c r="O31" s="42" t="n">
        <f aca="false">D31*SUMIFS($K$16:$K$27,$I$16:$I$27,B31,$J$16:$J$27,C31)</f>
        <v>7260</v>
      </c>
    </row>
    <row r="32" customFormat="false" ht="15" hidden="false" customHeight="false" outlineLevel="0" collapsed="false">
      <c r="A32" s="26" t="s">
        <v>376</v>
      </c>
      <c r="B32" s="26" t="s">
        <v>345</v>
      </c>
      <c r="C32" s="26" t="s">
        <v>351</v>
      </c>
      <c r="D32" s="27" t="n">
        <v>33</v>
      </c>
      <c r="E32" s="51"/>
      <c r="F32" s="51"/>
      <c r="N32" s="42" t="n">
        <f aca="false">SUMIFS($K$16:$K$27,$I$16:$I$27,B32,$J$16:$J$27,C32)</f>
        <v>410</v>
      </c>
      <c r="O32" s="42" t="n">
        <f aca="false">D32*SUMIFS($K$16:$K$27,$I$16:$I$27,B32,$J$16:$J$27,C32)</f>
        <v>13530</v>
      </c>
    </row>
    <row r="33" customFormat="false" ht="15" hidden="false" customHeight="false" outlineLevel="0" collapsed="false">
      <c r="A33" s="24" t="s">
        <v>377</v>
      </c>
      <c r="B33" s="24" t="s">
        <v>363</v>
      </c>
      <c r="C33" s="24" t="s">
        <v>346</v>
      </c>
      <c r="D33" s="25" t="n">
        <v>40</v>
      </c>
      <c r="E33" s="51"/>
      <c r="F33" s="51"/>
      <c r="N33" s="42" t="n">
        <f aca="false">SUMIFS($K$16:$K$27,$I$16:$I$27,B33,$J$16:$J$27,C33)</f>
        <v>2250</v>
      </c>
      <c r="O33" s="42" t="n">
        <f aca="false">D33*SUMIFS($K$16:$K$27,$I$16:$I$27,B33,$J$16:$J$27,C33)</f>
        <v>90000</v>
      </c>
    </row>
  </sheetData>
  <mergeCells count="3">
    <mergeCell ref="A1:L1"/>
    <mergeCell ref="A2:L2"/>
    <mergeCell ref="A3:L5"/>
  </mergeCells>
  <conditionalFormatting sqref="K9:K12">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A"/>
    <pageSetUpPr fitToPage="fals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4"/>
    <col collapsed="false" customWidth="true" hidden="false" outlineLevel="0" max="5" min="4" style="0" width="44"/>
    <col collapsed="false" customWidth="true" hidden="false" outlineLevel="0" max="6" min="6" style="0" width="46"/>
  </cols>
  <sheetData>
    <row r="1" customFormat="false" ht="30" hidden="false" customHeight="true" outlineLevel="0" collapsed="false">
      <c r="A1" s="75" t="s">
        <v>378</v>
      </c>
      <c r="B1" s="75"/>
      <c r="C1" s="75"/>
      <c r="D1" s="75"/>
      <c r="E1" s="75"/>
      <c r="F1" s="75"/>
    </row>
    <row r="2" customFormat="false" ht="15" hidden="false" customHeight="false" outlineLevel="0" collapsed="false">
      <c r="A2" s="22" t="s">
        <v>379</v>
      </c>
    </row>
    <row r="4" customFormat="false" ht="21.75" hidden="false" customHeight="true" outlineLevel="0" collapsed="false">
      <c r="A4" s="76" t="s">
        <v>380</v>
      </c>
      <c r="B4" s="76"/>
      <c r="C4" s="76"/>
      <c r="D4" s="76"/>
      <c r="E4" s="76"/>
      <c r="F4" s="76"/>
    </row>
    <row r="5" customFormat="false" ht="15" hidden="false" customHeight="false" outlineLevel="0" collapsed="false">
      <c r="A5" s="23" t="s">
        <v>14</v>
      </c>
      <c r="B5" s="23" t="s">
        <v>133</v>
      </c>
      <c r="C5" s="23" t="s">
        <v>381</v>
      </c>
      <c r="D5" s="23" t="s">
        <v>382</v>
      </c>
      <c r="E5" s="23" t="s">
        <v>383</v>
      </c>
      <c r="F5" s="23" t="s">
        <v>384</v>
      </c>
    </row>
    <row r="6" customFormat="false" ht="42" hidden="false" customHeight="true" outlineLevel="0" collapsed="false">
      <c r="A6" s="77" t="n">
        <v>1</v>
      </c>
      <c r="B6" s="77" t="s">
        <v>138</v>
      </c>
      <c r="C6" s="77" t="s">
        <v>385</v>
      </c>
      <c r="D6" s="78" t="s">
        <v>386</v>
      </c>
      <c r="E6" s="79" t="s">
        <v>387</v>
      </c>
      <c r="F6" s="77" t="s">
        <v>388</v>
      </c>
    </row>
    <row r="7" customFormat="false" ht="30" hidden="false" customHeight="true" outlineLevel="0" collapsed="false">
      <c r="A7" s="77" t="n">
        <v>2</v>
      </c>
      <c r="B7" s="77" t="s">
        <v>142</v>
      </c>
      <c r="C7" s="77" t="s">
        <v>389</v>
      </c>
      <c r="D7" s="78" t="s">
        <v>390</v>
      </c>
      <c r="E7" s="79"/>
      <c r="F7" s="77"/>
    </row>
    <row r="8" customFormat="false" ht="30" hidden="false" customHeight="true" outlineLevel="0" collapsed="false">
      <c r="A8" s="77" t="n">
        <v>3</v>
      </c>
      <c r="B8" s="77" t="s">
        <v>146</v>
      </c>
      <c r="C8" s="77" t="s">
        <v>391</v>
      </c>
      <c r="D8" s="78" t="s">
        <v>392</v>
      </c>
      <c r="E8" s="79"/>
      <c r="F8" s="77"/>
    </row>
    <row r="9" customFormat="false" ht="30" hidden="false" customHeight="true" outlineLevel="0" collapsed="false">
      <c r="A9" s="77" t="n">
        <v>4</v>
      </c>
      <c r="B9" s="77" t="s">
        <v>149</v>
      </c>
      <c r="C9" s="77" t="s">
        <v>393</v>
      </c>
      <c r="D9" s="78" t="s">
        <v>394</v>
      </c>
      <c r="E9" s="79"/>
      <c r="F9" s="77"/>
    </row>
    <row r="11" customFormat="false" ht="21.75" hidden="false" customHeight="true" outlineLevel="0" collapsed="false">
      <c r="A11" s="80" t="s">
        <v>395</v>
      </c>
      <c r="B11" s="80"/>
      <c r="C11" s="80"/>
      <c r="D11" s="80"/>
      <c r="E11" s="80"/>
      <c r="F11" s="80"/>
    </row>
    <row r="12" customFormat="false" ht="15" hidden="false" customHeight="false" outlineLevel="0" collapsed="false">
      <c r="A12" s="23" t="s">
        <v>14</v>
      </c>
      <c r="B12" s="23" t="s">
        <v>133</v>
      </c>
      <c r="C12" s="23" t="s">
        <v>381</v>
      </c>
      <c r="D12" s="23" t="s">
        <v>382</v>
      </c>
      <c r="E12" s="23" t="s">
        <v>383</v>
      </c>
      <c r="F12" s="23" t="s">
        <v>384</v>
      </c>
    </row>
    <row r="13" customFormat="false" ht="42" hidden="false" customHeight="true" outlineLevel="0" collapsed="false">
      <c r="A13" s="77" t="n">
        <v>1</v>
      </c>
      <c r="B13" s="77" t="s">
        <v>180</v>
      </c>
      <c r="C13" s="77" t="s">
        <v>396</v>
      </c>
      <c r="D13" s="78" t="s">
        <v>397</v>
      </c>
      <c r="E13" s="79" t="s">
        <v>398</v>
      </c>
      <c r="F13" s="77" t="s">
        <v>399</v>
      </c>
    </row>
    <row r="14" customFormat="false" ht="30" hidden="false" customHeight="true" outlineLevel="0" collapsed="false">
      <c r="A14" s="77" t="n">
        <v>2</v>
      </c>
      <c r="B14" s="77" t="s">
        <v>184</v>
      </c>
      <c r="C14" s="77" t="s">
        <v>385</v>
      </c>
      <c r="D14" s="78" t="s">
        <v>400</v>
      </c>
      <c r="E14" s="79"/>
      <c r="F14" s="77"/>
    </row>
    <row r="15" customFormat="false" ht="30" hidden="false" customHeight="true" outlineLevel="0" collapsed="false">
      <c r="A15" s="77" t="n">
        <v>3</v>
      </c>
      <c r="B15" s="77" t="s">
        <v>187</v>
      </c>
      <c r="C15" s="77" t="s">
        <v>401</v>
      </c>
      <c r="D15" s="78" t="s">
        <v>402</v>
      </c>
      <c r="E15" s="79"/>
      <c r="F15" s="77"/>
    </row>
    <row r="16" customFormat="false" ht="30" hidden="false" customHeight="true" outlineLevel="0" collapsed="false">
      <c r="A16" s="77" t="n">
        <v>4</v>
      </c>
      <c r="B16" s="77" t="s">
        <v>190</v>
      </c>
      <c r="C16" s="77" t="s">
        <v>403</v>
      </c>
      <c r="D16" s="78" t="s">
        <v>404</v>
      </c>
      <c r="E16" s="79"/>
      <c r="F16" s="77"/>
    </row>
    <row r="18" customFormat="false" ht="21.75" hidden="false" customHeight="true" outlineLevel="0" collapsed="false">
      <c r="A18" s="80" t="s">
        <v>405</v>
      </c>
      <c r="B18" s="80"/>
      <c r="C18" s="80"/>
      <c r="D18" s="80"/>
      <c r="E18" s="80"/>
      <c r="F18" s="80"/>
    </row>
    <row r="19" customFormat="false" ht="15" hidden="false" customHeight="false" outlineLevel="0" collapsed="false">
      <c r="A19" s="23" t="s">
        <v>14</v>
      </c>
      <c r="B19" s="23" t="s">
        <v>133</v>
      </c>
      <c r="C19" s="23" t="s">
        <v>381</v>
      </c>
      <c r="D19" s="23" t="s">
        <v>382</v>
      </c>
      <c r="E19" s="23" t="s">
        <v>383</v>
      </c>
      <c r="F19" s="23" t="s">
        <v>384</v>
      </c>
    </row>
    <row r="20" customFormat="false" ht="30" hidden="false" customHeight="true" outlineLevel="0" collapsed="false">
      <c r="A20" s="77" t="n">
        <v>1</v>
      </c>
      <c r="B20" s="77" t="s">
        <v>215</v>
      </c>
      <c r="C20" s="77" t="s">
        <v>385</v>
      </c>
      <c r="D20" s="78" t="s">
        <v>406</v>
      </c>
      <c r="E20" s="79" t="s">
        <v>407</v>
      </c>
      <c r="F20" s="77" t="s">
        <v>408</v>
      </c>
    </row>
    <row r="21" customFormat="false" ht="30" hidden="false" customHeight="true" outlineLevel="0" collapsed="false">
      <c r="A21" s="77" t="n">
        <v>2</v>
      </c>
      <c r="B21" s="77" t="s">
        <v>218</v>
      </c>
      <c r="C21" s="77" t="s">
        <v>389</v>
      </c>
      <c r="D21" s="78" t="s">
        <v>409</v>
      </c>
      <c r="E21" s="79"/>
      <c r="F21" s="77"/>
    </row>
    <row r="22" customFormat="false" ht="30" hidden="false" customHeight="true" outlineLevel="0" collapsed="false">
      <c r="A22" s="77" t="n">
        <v>3</v>
      </c>
      <c r="B22" s="77" t="s">
        <v>221</v>
      </c>
      <c r="C22" s="77" t="s">
        <v>391</v>
      </c>
      <c r="D22" s="78" t="s">
        <v>410</v>
      </c>
      <c r="E22" s="79"/>
      <c r="F22" s="77"/>
    </row>
    <row r="23" customFormat="false" ht="30" hidden="false" customHeight="true" outlineLevel="0" collapsed="false">
      <c r="A23" s="77" t="n">
        <v>4</v>
      </c>
      <c r="B23" s="77" t="s">
        <v>224</v>
      </c>
      <c r="C23" s="77" t="s">
        <v>393</v>
      </c>
      <c r="D23" s="78" t="s">
        <v>411</v>
      </c>
      <c r="E23" s="79"/>
      <c r="F23" s="77" t="s">
        <v>412</v>
      </c>
    </row>
    <row r="25" customFormat="false" ht="21.75" hidden="false" customHeight="true" outlineLevel="0" collapsed="false">
      <c r="A25" s="81" t="s">
        <v>413</v>
      </c>
      <c r="B25" s="81"/>
      <c r="C25" s="81"/>
      <c r="D25" s="81"/>
      <c r="E25" s="81"/>
      <c r="F25" s="81"/>
    </row>
    <row r="26" customFormat="false" ht="15" hidden="false" customHeight="false" outlineLevel="0" collapsed="false">
      <c r="A26" s="23" t="s">
        <v>14</v>
      </c>
      <c r="B26" s="23" t="s">
        <v>133</v>
      </c>
      <c r="C26" s="23" t="s">
        <v>381</v>
      </c>
      <c r="D26" s="23" t="s">
        <v>382</v>
      </c>
      <c r="E26" s="23" t="s">
        <v>383</v>
      </c>
      <c r="F26" s="23" t="s">
        <v>384</v>
      </c>
    </row>
    <row r="27" customFormat="false" ht="42" hidden="false" customHeight="true" outlineLevel="0" collapsed="false">
      <c r="A27" s="77" t="n">
        <v>1</v>
      </c>
      <c r="B27" s="77" t="s">
        <v>253</v>
      </c>
      <c r="C27" s="77" t="s">
        <v>389</v>
      </c>
      <c r="D27" s="78" t="s">
        <v>414</v>
      </c>
      <c r="E27" s="79" t="s">
        <v>415</v>
      </c>
      <c r="F27" s="77" t="s">
        <v>416</v>
      </c>
    </row>
    <row r="28" customFormat="false" ht="30" hidden="false" customHeight="true" outlineLevel="0" collapsed="false">
      <c r="A28" s="77" t="n">
        <v>2</v>
      </c>
      <c r="B28" s="77" t="s">
        <v>258</v>
      </c>
      <c r="C28" s="77" t="s">
        <v>417</v>
      </c>
      <c r="D28" s="78" t="s">
        <v>418</v>
      </c>
      <c r="E28" s="79"/>
      <c r="F28" s="77"/>
    </row>
    <row r="29" customFormat="false" ht="30" hidden="false" customHeight="true" outlineLevel="0" collapsed="false">
      <c r="A29" s="77" t="n">
        <v>3</v>
      </c>
      <c r="B29" s="77" t="s">
        <v>263</v>
      </c>
      <c r="C29" s="77" t="s">
        <v>419</v>
      </c>
      <c r="D29" s="78" t="s">
        <v>420</v>
      </c>
      <c r="E29" s="79"/>
      <c r="F29" s="77"/>
    </row>
    <row r="30" customFormat="false" ht="30" hidden="false" customHeight="true" outlineLevel="0" collapsed="false">
      <c r="A30" s="77" t="n">
        <v>4</v>
      </c>
      <c r="B30" s="77" t="s">
        <v>266</v>
      </c>
      <c r="C30" s="77" t="s">
        <v>421</v>
      </c>
      <c r="D30" s="78" t="s">
        <v>422</v>
      </c>
      <c r="E30" s="79"/>
      <c r="F30" s="77"/>
    </row>
    <row r="32" customFormat="false" ht="21.75" hidden="false" customHeight="true" outlineLevel="0" collapsed="false">
      <c r="A32" s="81" t="s">
        <v>423</v>
      </c>
      <c r="B32" s="81"/>
      <c r="C32" s="81"/>
      <c r="D32" s="81"/>
      <c r="E32" s="81"/>
      <c r="F32" s="81"/>
    </row>
    <row r="33" customFormat="false" ht="15" hidden="false" customHeight="false" outlineLevel="0" collapsed="false">
      <c r="A33" s="23" t="s">
        <v>14</v>
      </c>
      <c r="B33" s="23" t="s">
        <v>133</v>
      </c>
      <c r="C33" s="23" t="s">
        <v>381</v>
      </c>
      <c r="D33" s="23" t="s">
        <v>382</v>
      </c>
      <c r="E33" s="23" t="s">
        <v>383</v>
      </c>
      <c r="F33" s="23" t="s">
        <v>384</v>
      </c>
    </row>
    <row r="34" customFormat="false" ht="42" hidden="false" customHeight="true" outlineLevel="0" collapsed="false">
      <c r="A34" s="77" t="n">
        <v>1</v>
      </c>
      <c r="B34" s="77" t="s">
        <v>298</v>
      </c>
      <c r="C34" s="77" t="s">
        <v>385</v>
      </c>
      <c r="D34" s="78" t="s">
        <v>424</v>
      </c>
      <c r="E34" s="79" t="s">
        <v>425</v>
      </c>
      <c r="F34" s="77" t="s">
        <v>426</v>
      </c>
    </row>
    <row r="35" customFormat="false" ht="30" hidden="false" customHeight="true" outlineLevel="0" collapsed="false">
      <c r="A35" s="77" t="n">
        <v>2</v>
      </c>
      <c r="B35" s="77" t="s">
        <v>301</v>
      </c>
      <c r="C35" s="77" t="s">
        <v>427</v>
      </c>
      <c r="D35" s="78" t="s">
        <v>428</v>
      </c>
      <c r="E35" s="79" t="s">
        <v>429</v>
      </c>
      <c r="F35" s="77"/>
    </row>
    <row r="36" customFormat="false" ht="30" hidden="false" customHeight="true" outlineLevel="0" collapsed="false">
      <c r="A36" s="77" t="n">
        <v>3</v>
      </c>
      <c r="B36" s="77" t="s">
        <v>304</v>
      </c>
      <c r="C36" s="77" t="s">
        <v>401</v>
      </c>
      <c r="D36" s="78" t="s">
        <v>430</v>
      </c>
      <c r="E36" s="79"/>
      <c r="F36" s="77"/>
    </row>
    <row r="37" customFormat="false" ht="30" hidden="false" customHeight="true" outlineLevel="0" collapsed="false">
      <c r="A37" s="77" t="n">
        <v>4</v>
      </c>
      <c r="B37" s="77" t="s">
        <v>308</v>
      </c>
      <c r="C37" s="77" t="s">
        <v>403</v>
      </c>
      <c r="D37" s="78" t="s">
        <v>431</v>
      </c>
      <c r="E37" s="79" t="s">
        <v>432</v>
      </c>
      <c r="F37" s="77"/>
    </row>
    <row r="39" customFormat="false" ht="21.75" hidden="false" customHeight="true" outlineLevel="0" collapsed="false">
      <c r="A39" s="82" t="s">
        <v>433</v>
      </c>
      <c r="B39" s="82"/>
      <c r="C39" s="82"/>
      <c r="D39" s="82"/>
      <c r="E39" s="82"/>
      <c r="F39" s="82"/>
    </row>
    <row r="40" customFormat="false" ht="15" hidden="false" customHeight="false" outlineLevel="0" collapsed="false">
      <c r="A40" s="23" t="s">
        <v>14</v>
      </c>
      <c r="B40" s="23" t="s">
        <v>133</v>
      </c>
      <c r="C40" s="23" t="s">
        <v>381</v>
      </c>
      <c r="D40" s="23" t="s">
        <v>382</v>
      </c>
      <c r="E40" s="23" t="s">
        <v>383</v>
      </c>
      <c r="F40" s="23" t="s">
        <v>384</v>
      </c>
    </row>
    <row r="41" customFormat="false" ht="55.5" hidden="false" customHeight="true" outlineLevel="0" collapsed="false">
      <c r="A41" s="77" t="n">
        <v>1</v>
      </c>
      <c r="B41" s="77" t="s">
        <v>342</v>
      </c>
      <c r="C41" s="77" t="s">
        <v>389</v>
      </c>
      <c r="D41" s="78" t="s">
        <v>434</v>
      </c>
      <c r="E41" s="79" t="s">
        <v>435</v>
      </c>
      <c r="F41" s="77" t="s">
        <v>436</v>
      </c>
    </row>
    <row r="42" customFormat="false" ht="30" hidden="false" customHeight="true" outlineLevel="0" collapsed="false">
      <c r="A42" s="77" t="n">
        <v>2</v>
      </c>
      <c r="B42" s="77" t="s">
        <v>347</v>
      </c>
      <c r="C42" s="77" t="s">
        <v>417</v>
      </c>
      <c r="D42" s="78" t="s">
        <v>418</v>
      </c>
      <c r="E42" s="79"/>
      <c r="F42" s="77"/>
    </row>
    <row r="43" customFormat="false" ht="30" hidden="false" customHeight="true" outlineLevel="0" collapsed="false">
      <c r="A43" s="77" t="n">
        <v>3</v>
      </c>
      <c r="B43" s="77" t="s">
        <v>349</v>
      </c>
      <c r="C43" s="77" t="s">
        <v>419</v>
      </c>
      <c r="D43" s="78" t="s">
        <v>420</v>
      </c>
      <c r="E43" s="79"/>
      <c r="F43" s="77"/>
    </row>
    <row r="44" customFormat="false" ht="30" hidden="false" customHeight="true" outlineLevel="0" collapsed="false">
      <c r="A44" s="77" t="n">
        <v>4</v>
      </c>
      <c r="B44" s="77" t="s">
        <v>352</v>
      </c>
      <c r="C44" s="77" t="s">
        <v>421</v>
      </c>
      <c r="D44" s="78" t="s">
        <v>437</v>
      </c>
      <c r="E44" s="79"/>
      <c r="F44" s="77"/>
    </row>
  </sheetData>
  <mergeCells count="7">
    <mergeCell ref="A1:F1"/>
    <mergeCell ref="A4:F4"/>
    <mergeCell ref="A11:F11"/>
    <mergeCell ref="A18:F18"/>
    <mergeCell ref="A25:F25"/>
    <mergeCell ref="A32:F32"/>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2026-09-25T07:00:30Z</dcterms:created>
  <dc:creator>openpyxl</dc:creator>
  <dc:description/>
  <dc:language>en-US</dc:language>
  <cp:lastModifiedBy/>
  <dcterms:modified xsi:type="dcterms:W3CDTF">2026-09-25T07:00:30Z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