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L1 Revenue and segments" sheetId="2" state="visible" r:id="rId4"/>
    <sheet name="L2 The month by region matrix" sheetId="3" state="visible" r:id="rId5"/>
    <sheet name="L3 Ranking the sales team" sheetId="4" state="visible" r:id="rId6"/>
    <sheet name="L4 Contribution and the 80-20 r" sheetId="5" state="visible" r:id="rId7"/>
    <sheet name="L5 Growth, running totals and i" sheetId="6" state="visible" r:id="rId8"/>
    <sheet name="L6 Boss round — the KPI panel" sheetId="7" state="visible" r:id="rId9"/>
    <sheet name="Solu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<sst xmlns="http://schemas.openxmlformats.org/spreadsheetml/2006/main" count="3189" uniqueCount="315">
  <si>
    <t xml:space="preserve">EXCEL LAB  ·  08 SALES ANALYTICS</t>
  </si>
  <si>
    <t xml:space="preserve">A full year of orders turned into a dashboard: revenue by segment, a month-by-region matrix built with one formula, a rep scorecard, product contribution and Pareto, growth and running totals, and a nine-question KPI boss round.</t>
  </si>
  <si>
    <t xml:space="preserve">HOW TO USE THIS WORKBOOK</t>
  </si>
  <si>
    <t xml:space="preserve">Work through the lessons in order — each one is harder than the last (★ to ★★★★★).</t>
  </si>
  <si>
    <t xml:space="preserve">Read the Concept box at the top of each lesson, then look at the data.</t>
  </si>
  <si>
    <t xml:space="preserve">Type a FORMULA in each yellow cell. The Check column marks it ✓ or ✗ instantly.</t>
  </si>
  <si>
    <t xml:space="preserve">Blue cells are inputs. Change them and watch every answer update — that is how you know your formula is really right.</t>
  </si>
  <si>
    <t xml:space="preserve">Stuck? Read the Hint. Still stuck? The Solutions sheet shows the model answer and other ways to do it.</t>
  </si>
  <si>
    <t xml:space="preserve">COLOUR CODE</t>
  </si>
  <si>
    <t xml:space="preserve">Yellow — your answer goes here (always a formula)</t>
  </si>
  <si>
    <t xml:space="preserve">Blue — an input you can change</t>
  </si>
  <si>
    <t xml:space="preserve">✓ Correct — marked automatically</t>
  </si>
  <si>
    <t xml:space="preserve">✗ Check again — the result does not match</t>
  </si>
  <si>
    <t xml:space="preserve">✎ You typed a value — replace it with a formula</t>
  </si>
  <si>
    <t xml:space="preserve">#</t>
  </si>
  <si>
    <t xml:space="preserve">Lesson</t>
  </si>
  <si>
    <t xml:space="preserve">Difficulty</t>
  </si>
  <si>
    <t xml:space="preserve">Tasks</t>
  </si>
  <si>
    <t xml:space="preserve">Solved</t>
  </si>
  <si>
    <t xml:space="preserve">Progress</t>
  </si>
  <si>
    <t xml:space="preserve">L1 Revenue and segments</t>
  </si>
  <si>
    <t xml:space="preserve">★★☆☆☆</t>
  </si>
  <si>
    <t xml:space="preserve">L2 The month by region matrix</t>
  </si>
  <si>
    <t xml:space="preserve">★★★☆☆</t>
  </si>
  <si>
    <t xml:space="preserve">L3 Ranking the sales team</t>
  </si>
  <si>
    <t xml:space="preserve">L4 Contribution and the 80-20 r</t>
  </si>
  <si>
    <t xml:space="preserve">★★★★☆</t>
  </si>
  <si>
    <t xml:space="preserve">L5 Growth, running totals and i</t>
  </si>
  <si>
    <t xml:space="preserve">L6 Boss round — the KPI panel</t>
  </si>
  <si>
    <t xml:space="preserve">★★★★★</t>
  </si>
  <si>
    <t xml:space="preserve">OVERALL</t>
  </si>
  <si>
    <t xml:space="preserve">Excel Lab — created by Pranay  ·  excel-lab-by-pranay.vercel.app  ·  free for every student</t>
  </si>
  <si>
    <t xml:space="preserve">LESSON 1  ·  REVENUE AND SEGMENTS</t>
  </si>
  <si>
    <t xml:space="preserve">★★☆☆☆   180 orders, no revenue column. Build it, then slice it five ways.</t>
  </si>
  <si>
    <t xml:space="preserve">CONCEPT  ·  Analysis starts by creating the measure you actually care about. Revenue is Units × Price — one formula, filled down 180 rows. After that, SUMIF and COUNTIF answer every 'how much from…' and 'how many…' question you will be asked in a review meeting.</t>
  </si>
  <si>
    <t xml:space="preserve">Date</t>
  </si>
  <si>
    <t xml:space="preserve">Region</t>
  </si>
  <si>
    <t xml:space="preserve">Product</t>
  </si>
  <si>
    <t xml:space="preserve">Rep</t>
  </si>
  <si>
    <t xml:space="preserve">Units</t>
  </si>
  <si>
    <t xml:space="preserve">Price</t>
  </si>
  <si>
    <t xml:space="preserve">Revenue</t>
  </si>
  <si>
    <t xml:space="preserve">Task</t>
  </si>
  <si>
    <t xml:space="preserve">Your answer</t>
  </si>
  <si>
    <t xml:space="preserve">Check</t>
  </si>
  <si>
    <t xml:space="preserve">Hint</t>
  </si>
  <si>
    <t xml:space="preserve">East</t>
  </si>
  <si>
    <t xml:space="preserve">Printer</t>
  </si>
  <si>
    <t xml:space="preserve">Aditya Verma</t>
  </si>
  <si>
    <t xml:space="preserve">Fill Revenue = Units × Price.</t>
  </si>
  <si>
    <t xml:space="preserve">→ fill column G</t>
  </si>
  <si>
    <t xml:space="preserve">=E9*F9, then double-click the fill handle to copy it all the way down.</t>
  </si>
  <si>
    <t xml:space="preserve">South</t>
  </si>
  <si>
    <t xml:space="preserve">Monitor</t>
  </si>
  <si>
    <t xml:space="preserve">Ananya Bose</t>
  </si>
  <si>
    <t xml:space="preserve">Total revenue for the year.</t>
  </si>
  <si>
    <t xml:space="preserve">SUM your new column.</t>
  </si>
  <si>
    <t xml:space="preserve">Router</t>
  </si>
  <si>
    <t xml:space="preserve">Total units sold.</t>
  </si>
  <si>
    <t xml:space="preserve">SUM the Units column.</t>
  </si>
  <si>
    <t xml:space="preserve">Rohit Nair</t>
  </si>
  <si>
    <t xml:space="preserve">Average order value.</t>
  </si>
  <si>
    <t xml:space="preserve">AVERAGE over Revenue.</t>
  </si>
  <si>
    <t xml:space="preserve">Central</t>
  </si>
  <si>
    <t xml:space="preserve">Server</t>
  </si>
  <si>
    <t xml:space="preserve">Karan Mehta</t>
  </si>
  <si>
    <t xml:space="preserve">Revenue from the West region.</t>
  </si>
  <si>
    <t xml:space="preserve">SUMIF: test range, criteria, sum range.</t>
  </si>
  <si>
    <t xml:space="preserve">How many orders are worth more than ₹5,00,000?</t>
  </si>
  <si>
    <t xml:space="preserve">COUNTIF(range,"&gt;500000").</t>
  </si>
  <si>
    <t xml:space="preserve">Shreya Naik</t>
  </si>
  <si>
    <t xml:space="preserve">Revenue per unit across the whole file.</t>
  </si>
  <si>
    <t xml:space="preserve">Total revenue ÷ total units.</t>
  </si>
  <si>
    <t xml:space="preserve">West</t>
  </si>
  <si>
    <t xml:space="preserve">Laptop</t>
  </si>
  <si>
    <t xml:space="preserve">Pooja Chopra</t>
  </si>
  <si>
    <t xml:space="preserve">Tablet</t>
  </si>
  <si>
    <t xml:space="preserve">Divya Pillai</t>
  </si>
  <si>
    <t xml:space="preserve">North</t>
  </si>
  <si>
    <t xml:space="preserve">Manish Reddy</t>
  </si>
  <si>
    <t xml:space="preserve">Nikhil Shetty</t>
  </si>
  <si>
    <t xml:space="preserve">Meghna Ghosh</t>
  </si>
  <si>
    <t xml:space="preserve">LESSON 2  ·  THE MONTH BY REGION MATRIX</t>
  </si>
  <si>
    <t xml:space="preserve">★★★☆☆   Sixty cells, one formula. Lock the right half of each reference and you are done.</t>
  </si>
  <si>
    <t xml:space="preserve">CONCEPT  ·  TEXT(date,"mmm-yy") collapses a date into a month label you can group on. In the grid below, the month labels run down the left and the regions run across the top. The formula in the top-left cell must point at the month with its COLUMN locked ($K12) and at the region with its ROW locked (L$11). Get those two dollar signs right and one fill handles all sixty cells.</t>
  </si>
  <si>
    <t xml:space="preserve">Month</t>
  </si>
  <si>
    <t xml:space="preserve">Fill Month as a label like "Jul-25".</t>
  </si>
  <si>
    <t xml:space="preserve">→ fill column H</t>
  </si>
  <si>
    <t xml:space="preserve">=TEXT(A9,"mmm-yy")</t>
  </si>
  <si>
    <t xml:space="preserve">Fill the whole grid: revenue for each month (rows) and region (columns).</t>
  </si>
  <si>
    <t xml:space="preserve">→ fill the grid below</t>
  </si>
  <si>
    <t xml:space="preserve">=SUMIFS($G$9:$G$188,$H$9:$H$188,$K18,$B$9:$B$188,L$17) in the top-left cell, then fill right and down.</t>
  </si>
  <si>
    <t xml:space="preserve">Grand total of the grid. It must equal total revenue.</t>
  </si>
  <si>
    <t xml:space="preserve">SUM the whole grid.</t>
  </si>
  <si>
    <t xml:space="preserve">The best single month in the West column of your grid.</t>
  </si>
  <si>
    <t xml:space="preserve">MAX down the West column of the grid.</t>
  </si>
  <si>
    <t xml:space="preserve">Which month was that? Return the month label.</t>
  </si>
  <si>
    <t xml:space="preserve">MAX down the West column, MATCH to find its position, INDEX to read the month label beside it.</t>
  </si>
  <si>
    <t xml:space="preserve">How many of the 60 grid cells are above ₹20,00,000?</t>
  </si>
  <si>
    <t xml:space="preserve">COUNTIF works on a two-dimensional range just as happily as on a column.</t>
  </si>
  <si>
    <t xml:space="preserve">Month × Region revenue — ONE formula, filled right and down</t>
  </si>
  <si>
    <t xml:space="preserve">Apr-25</t>
  </si>
  <si>
    <t xml:space="preserve">May-25</t>
  </si>
  <si>
    <t xml:space="preserve">Jun-25</t>
  </si>
  <si>
    <t xml:space="preserve">Jul-25</t>
  </si>
  <si>
    <t xml:space="preserve">Aug-25</t>
  </si>
  <si>
    <t xml:space="preserve">Sep-25</t>
  </si>
  <si>
    <t xml:space="preserve">Oct-25</t>
  </si>
  <si>
    <t xml:space="preserve">Nov-25</t>
  </si>
  <si>
    <t xml:space="preserve">Dec-25</t>
  </si>
  <si>
    <t xml:space="preserve">Jan-26</t>
  </si>
  <si>
    <t xml:space="preserve">Feb-26</t>
  </si>
  <si>
    <t xml:space="preserve">Mar-26</t>
  </si>
  <si>
    <t xml:space="preserve">LESSON 3  ·  RANKING THE SALES TEAM</t>
  </si>
  <si>
    <t xml:space="preserve">★★★☆☆   Three different questions about the same ten people — revenue, volume and quality.</t>
  </si>
  <si>
    <t xml:space="preserve">CONCEPT  ·  A scorecard needs three measures side by side: SUMIF for the money, COUNTIF for the activity, AVERAGEIF for the quality of each deal. All three take the same rep name from the left of the row, so lock the column of the name with $ and fill right — then fill down for all ten reps. LARGE(range, k) then pulls the k-th biggest value out of a column without sorting anything.</t>
  </si>
  <si>
    <t xml:space="preserve">Fill the scorecard: revenue, number of orders and average order value for each rep.</t>
  </si>
  <si>
    <t xml:space="preserve">Revenue: =SUMIF($D$9:$D$188,$J19,$G$9:$G$188). Orders: COUNTIF. Avg order: AVERAGEIF.</t>
  </si>
  <si>
    <t xml:space="preserve">The top rep's revenue.</t>
  </si>
  <si>
    <t xml:space="preserve">MAX on the Revenue column of the scorecard.</t>
  </si>
  <si>
    <t xml:space="preserve">Which rep is that?</t>
  </si>
  <si>
    <t xml:space="preserve">MAX, MATCH, INDEX on the scorecard.</t>
  </si>
  <si>
    <t xml:space="preserve">Revenue of the SECOND best rep.</t>
  </si>
  <si>
    <t xml:space="preserve">LARGE(range,2). MAX only ever gives you the first.</t>
  </si>
  <si>
    <t xml:space="preserve">Combined revenue of the top 3 reps.</t>
  </si>
  <si>
    <t xml:space="preserve">=SUM(LARGE(range,{1,2,3})) — the braces hold a list of ranks, so LARGE returns three values at once.</t>
  </si>
  <si>
    <t xml:space="preserve">What share of total revenue do the top 3 reps bring in?</t>
  </si>
  <si>
    <t xml:space="preserve">Top 3 ÷ total revenue.</t>
  </si>
  <si>
    <t xml:space="preserve">How many reps are ABOVE the team's average revenue?</t>
  </si>
  <si>
    <t xml:space="preserve">COUNTIF(range,"&gt;"&amp;AVERAGE(range)) — the &amp; glues the operator onto the calculated number.</t>
  </si>
  <si>
    <t xml:space="preserve">Sales rep scorecard</t>
  </si>
  <si>
    <t xml:space="preserve">Orders</t>
  </si>
  <si>
    <t xml:space="preserve">Avg order</t>
  </si>
  <si>
    <t xml:space="preserve">LESSON 4  ·  CONTRIBUTION AND THE 80/20 RULE</t>
  </si>
  <si>
    <t xml:space="preserve">★★★★☆   Which products actually pay the bills — and how few of them there are.</t>
  </si>
  <si>
    <t xml:space="preserve">CONCEPT  ·  A contribution table is a total and a percentage of the grand total side by side. The percentage needs the grand total LOCKED with $ or every row will divide by a different range. Sort the shares descending and add them up: in most businesses a handful of products cross 80% long before you run out of rows. That is the Pareto principle, and it is a number, not a slogan.</t>
  </si>
  <si>
    <t xml:space="preserve">Fill the contribution table: revenue and share of total revenue for each product.</t>
  </si>
  <si>
    <t xml:space="preserve">Revenue: =SUMIF($C$9:$C$188,$J19,$G$9:$G$188). Share: the same thing divided by SUM of the whole Revenue column, locked with $.</t>
  </si>
  <si>
    <t xml:space="preserve">Do the shares add up to 100%?  Enter the total of the Share column.</t>
  </si>
  <si>
    <t xml:space="preserve">SUM the share column. It must be exactly 1 (100%).</t>
  </si>
  <si>
    <t xml:space="preserve">Share of the single biggest product.</t>
  </si>
  <si>
    <t xml:space="preserve">MAX on the Share column.</t>
  </si>
  <si>
    <t xml:space="preserve">Combined share of the top TWO products.</t>
  </si>
  <si>
    <t xml:space="preserve">=SUM(LARGE(shareRange,{1,2}))</t>
  </si>
  <si>
    <t xml:space="preserve">How many products does it take, biggest first, to cross 80% of revenue?</t>
  </si>
  <si>
    <t xml:space="preserve">Ask the same question six times: is the top 1 enough? the top 2? the top 3? SUM(LARGE(range,{1,2,3})) gives you each cumulative total in one go.</t>
  </si>
  <si>
    <t xml:space="preserve">Revenue of the smallest product line.</t>
  </si>
  <si>
    <t xml:space="preserve">MIN on the Revenue column of the grid.</t>
  </si>
  <si>
    <t xml:space="preserve">How many product lines contribute more than 15% each?</t>
  </si>
  <si>
    <t xml:space="preserve">COUNTIF on the Share column with "&gt;0.15".</t>
  </si>
  <si>
    <t xml:space="preserve">Product contribution</t>
  </si>
  <si>
    <t xml:space="preserve">Share of total</t>
  </si>
  <si>
    <t xml:space="preserve">LESSON 5  ·  GROWTH, RUNNING TOTALS AND INDEX NUMBERS</t>
  </si>
  <si>
    <t xml:space="preserve">★★★★☆   Three mixed-reference classics on one small table — then the growth questions.</t>
  </si>
  <si>
    <t xml:space="preserve">CONCEPT  ·  A running total uses an EXPANDING range: =SUM($B$9:B9). Lock the start, leave the end free, fill down. An index rebases every month to the first one: =B9/$B$9*100 — lock the denominator only. A share of the year divides by a FULLY locked total. Three different lock patterns, three different questions. Getting these right is what separates a model from a spreadsheet.</t>
  </si>
  <si>
    <t xml:space="preserve">Running total</t>
  </si>
  <si>
    <t xml:space="preserve">Index (Apr=100)</t>
  </si>
  <si>
    <t xml:space="preserve">% of year</t>
  </si>
  <si>
    <t xml:space="preserve">Fill Running total: revenue from April up to and including this month.</t>
  </si>
  <si>
    <t xml:space="preserve">→ fill column C</t>
  </si>
  <si>
    <t xml:space="preserve">=SUM($B$9:B9) — only the FIRST cell is locked.</t>
  </si>
  <si>
    <t xml:space="preserve">Fill Index (Apr=100): each month as an index where April = 100.</t>
  </si>
  <si>
    <t xml:space="preserve">→ fill column D</t>
  </si>
  <si>
    <t xml:space="preserve">=B9/$B$9*100 — lock only the denominator.</t>
  </si>
  <si>
    <t xml:space="preserve">Fill % of year: each month's share of the full-year revenue.</t>
  </si>
  <si>
    <t xml:space="preserve">→ fill column E</t>
  </si>
  <si>
    <t xml:space="preserve">=B9/SUM($B$9:$B$20) — the denominator is fully locked.</t>
  </si>
  <si>
    <t xml:space="preserve">Growth from April to May, as a percentage.</t>
  </si>
  <si>
    <t xml:space="preserve">=B10/B9-1</t>
  </si>
  <si>
    <t xml:space="preserve">Which month had the highest revenue?</t>
  </si>
  <si>
    <t xml:space="preserve">MAX, MATCH, INDEX on this small table.</t>
  </si>
  <si>
    <t xml:space="preserve">The average MONTHLY growth rate over the year (from April to March, compounded).</t>
  </si>
  <si>
    <t xml:space="preserve">(last ÷ first) ^ (1 ÷ number of GAPS) − 1. Twelve months have eleven gaps.</t>
  </si>
  <si>
    <t xml:space="preserve">In which month does the running total first pass half the year's revenue?</t>
  </si>
  <si>
    <t xml:space="preserve">Count the months still below half the total, then add 1. Use "&lt;"&amp;value to compare against a calculated number.</t>
  </si>
  <si>
    <t xml:space="preserve">How many months were above the monthly average?</t>
  </si>
  <si>
    <t xml:space="preserve">COUNTIF(range,"&gt;"&amp;AVERAGE(range)).</t>
  </si>
  <si>
    <t xml:space="preserve">LESSON 6  ·  BOSS ROUND — THE KPI PANEL</t>
  </si>
  <si>
    <t xml:space="preserve">★★★★★   Nine questions a sales director asks. No helper columns, no pivot tables.</t>
  </si>
  <si>
    <t xml:space="preserve">CONCEPT  ·  Everything here is one cell. MAXIFS and AVERAGEIFS take conditions the same way SUMIFS does. COUNTIFS with "&gt;="&amp;DATE(...) handles a date range. SUMPRODUCT handles any condition the IFS family cannot express, including comparisons against a calculated value. PERCENTILE finds the cut-off for a top decile. Think about the shape before you type.</t>
  </si>
  <si>
    <t xml:space="preserve">How many orders were placed in Q3 (October to December 2025)?</t>
  </si>
  <si>
    <t xml:space="preserve">Two conditions on the same Date column, joined to real DATE() values with &amp;.</t>
  </si>
  <si>
    <t xml:space="preserve">The largest single order by revenue.</t>
  </si>
  <si>
    <t xml:space="preserve">MAX.</t>
  </si>
  <si>
    <t xml:space="preserve">Which product was that order for?</t>
  </si>
  <si>
    <t xml:space="preserve">MAX inside MATCH, then INDEX.</t>
  </si>
  <si>
    <t xml:space="preserve">Average order value in the West region, counting only orders of more than 20 units.</t>
  </si>
  <si>
    <t xml:space="preserve">AVERAGEIFS: the range to average comes first, then pairs of range and criteria.</t>
  </si>
  <si>
    <t xml:space="preserve">The biggest single order in the "Server" product line.</t>
  </si>
  <si>
    <t xml:space="preserve">MAXIFS follows the SUMIFS pattern.</t>
  </si>
  <si>
    <t xml:space="preserve">Total revenue from orders that are ABOVE the average order value.</t>
  </si>
  <si>
    <t xml:space="preserve">SUMIF can do this too, with "&gt;"&amp;AVERAGE(range) as the criteria.</t>
  </si>
  <si>
    <t xml:space="preserve">Total revenue from the top 10% of orders by value.</t>
  </si>
  <si>
    <t xml:space="preserve">PERCENTILE(range, 0.9) is the value that 90% of orders fall below. Sum everything at or above it.</t>
  </si>
  <si>
    <t xml:space="preserve">What share of total revenue is that top 10%?</t>
  </si>
  <si>
    <t xml:space="preserve">The previous answer ÷ total revenue.</t>
  </si>
  <si>
    <t xml:space="preserve">SOLUTIONS &amp; OTHER WAYS — open only after you have tried</t>
  </si>
  <si>
    <t xml:space="preserve">Model answers are shapes, not the only answer. If your formula gives the same result, it is right — compare the logic.</t>
  </si>
  <si>
    <t xml:space="preserve">L1 Revenue and segments   ★★</t>
  </si>
  <si>
    <t xml:space="preserve">Answer cell</t>
  </si>
  <si>
    <t xml:space="preserve">Model formula</t>
  </si>
  <si>
    <t xml:space="preserve">Other ways</t>
  </si>
  <si>
    <t xml:space="preserve">Why it works</t>
  </si>
  <si>
    <t xml:space="preserve">column G</t>
  </si>
  <si>
    <t xml:space="preserve">=E9*F9   (row 9, then fill down)</t>
  </si>
  <si>
    <t xml:space="preserve">=PRODUCT(E9:F9)</t>
  </si>
  <si>
    <t xml:space="preserve">Double-clicking the small square at the bottom-right of the cell fills to the end of the data. It is the single biggest time-saver in Excel.</t>
  </si>
  <si>
    <t xml:space="preserve">K10</t>
  </si>
  <si>
    <t xml:space="preserve">=SUM($G$9:$G$188)</t>
  </si>
  <si>
    <t xml:space="preserve">=SUMPRODUCT(E9:E188,F9:F188) — the same answer with no helper column at all</t>
  </si>
  <si>
    <t xml:space="preserve">K11</t>
  </si>
  <si>
    <t xml:space="preserve">=SUM($E$9:$E$188)</t>
  </si>
  <si>
    <t xml:space="preserve">K12</t>
  </si>
  <si>
    <t xml:space="preserve">=AVERAGE($G$9:$G$188)</t>
  </si>
  <si>
    <t xml:space="preserve">Average order value and revenue per unit are different questions. Know which one you were asked.</t>
  </si>
  <si>
    <t xml:space="preserve">K13</t>
  </si>
  <si>
    <t xml:space="preserve">=SUMIF($B$9:$B$188,"West",$G$9:$G$188)</t>
  </si>
  <si>
    <t xml:space="preserve">K14</t>
  </si>
  <si>
    <t xml:space="preserve">=COUNTIF($G$9:$G$188,"&gt;500000")</t>
  </si>
  <si>
    <t xml:space="preserve">K15</t>
  </si>
  <si>
    <t xml:space="preserve">=SUM($G$9:$G$188)/SUM($E$9:$E$188)</t>
  </si>
  <si>
    <t xml:space="preserve">This is a weighted average price. Averaging the Price column instead gives a different — and wrong — number.</t>
  </si>
  <si>
    <t xml:space="preserve">L2 The month by region matrix   ★★★</t>
  </si>
  <si>
    <t xml:space="preserve">column H</t>
  </si>
  <si>
    <t xml:space="preserve">=TEXT(A9,"mmm-yy")   (row 9, then fill down)</t>
  </si>
  <si>
    <t xml:space="preserve">=EOMONTH(A9,0) keeps it a real date you can sort chronologically
=YEAR(A9)&amp;"-"&amp;TEXT(MONTH(A9),"00") sorts correctly as text too</t>
  </si>
  <si>
    <t xml:space="preserve">"mmm-yy" is readable but sorts alphabetically — Apr before Jan. For a chart axis, keep a real date underneath.</t>
  </si>
  <si>
    <t xml:space="preserve">the grid</t>
  </si>
  <si>
    <t xml:space="preserve">=SUMIFS($G$9:$G$188,$H$9:$H$188,$K18,$B$9:$B$188,L$17)   (first cell, then fill right and down)</t>
  </si>
  <si>
    <t xml:space="preserve">=SUMPRODUCT((TEXT($A$9:$A$188,"mmm-yy")=$K12)*($B$9:$B$188=L$11)*$G$9:$G$188) — no Month column needed
Insert ▸ PivotTable with Month in Rows and Region in Columns does this in four clicks — but you would not learn the references</t>
  </si>
  <si>
    <t xml:space="preserve">One formula for sixty cells is the difference between a five-minute job and an hour of copy-paste errors.</t>
  </si>
  <si>
    <t xml:space="preserve">L11</t>
  </si>
  <si>
    <t xml:space="preserve">=SUM($L$18:$P$29)</t>
  </si>
  <si>
    <t xml:space="preserve">Always tie a summary back to its source. A matrix that does not tie is a matrix that is missing rows.</t>
  </si>
  <si>
    <t xml:space="preserve">L12</t>
  </si>
  <si>
    <t xml:space="preserve">=MAX(L18:L29)</t>
  </si>
  <si>
    <t xml:space="preserve">Reading a grid with MAX, MIN and MATCH is how a summary becomes an answer.</t>
  </si>
  <si>
    <t xml:space="preserve">L13</t>
  </si>
  <si>
    <t xml:space="preserve">=INDEX($K18:$K29,MATCH(MAX(L18:L29),L18:L29,0))</t>
  </si>
  <si>
    <t xml:space="preserve">=XLOOKUP(MAX(L12:L23),L12:L23,K12:K23)</t>
  </si>
  <si>
    <t xml:space="preserve">L14</t>
  </si>
  <si>
    <t xml:space="preserve">=COUNTIF($L$18:$P$29,"&gt;2000000")</t>
  </si>
  <si>
    <t xml:space="preserve">L3 Ranking the sales team   ★★★</t>
  </si>
  <si>
    <t xml:space="preserve">=SUMIF($D$9:$D$188,$J19,$G$9:$G$188)   (first cell, then fill right and down)</t>
  </si>
  <si>
    <t xml:space="preserve">Avg order can also be the revenue cell divided by the orders cell — fewer passes over the data
=SUMPRODUCT(($D$9:$D$188=$J12)*$G$9:$G$188) does the same as SUMIF and can handle conditions SUMIF cannot</t>
  </si>
  <si>
    <t xml:space="preserve">AVERAGEIF ignores blanks; revenue ÷ orders does not. On clean data they agree, on messy data they do not.</t>
  </si>
  <si>
    <t xml:space="preserve">=MAX(K19:K28)</t>
  </si>
  <si>
    <t xml:space="preserve">=LARGE(K12:K21,1)</t>
  </si>
  <si>
    <t xml:space="preserve">=INDEX($J19:$J28,MATCH(MAX(K19:K28),K19:K28,0))</t>
  </si>
  <si>
    <t xml:space="preserve">=XLOOKUP(MAX(K12:K21),K12:K21,J12:J21)</t>
  </si>
  <si>
    <t xml:space="preserve">=LARGE(K19:K28,2)</t>
  </si>
  <si>
    <t xml:space="preserve">=SMALL(K12:K21,9) — counting from the other end</t>
  </si>
  <si>
    <t xml:space="preserve">=SUM(LARGE(K19:K28,{1,2,3}))</t>
  </si>
  <si>
    <t xml:space="preserve">=LARGE(K12:K21,1)+LARGE(K12:K21,2)+LARGE(K12:K21,3)</t>
  </si>
  <si>
    <t xml:space="preserve">An array constant in {braces} is the neatest way to ask one function for several answers.</t>
  </si>
  <si>
    <t xml:space="preserve">=SUM(LARGE(K19:K28,{1,2,3}))/SUM($G$9:$G$188)</t>
  </si>
  <si>
    <t xml:space="preserve">Concentration risk: if three people carry the number, losing one of them is a forecast problem.</t>
  </si>
  <si>
    <t xml:space="preserve">=COUNTIF(K19:K28,"&gt;"&amp;AVERAGE(K19:K28))</t>
  </si>
  <si>
    <t xml:space="preserve">You cannot write "&gt;AVERAGE(...)" inside quotes. The comparison has to be built as text with &amp;.</t>
  </si>
  <si>
    <t xml:space="preserve">L4 Contribution and the 80-20 r   ★★★★</t>
  </si>
  <si>
    <t xml:space="preserve">=SUMIF($C$9:$C$188,$J19,$G$9:$G$188)   (first cell, then fill right and down)</t>
  </si>
  <si>
    <t xml:space="preserve">Share can also be the revenue cell ÷ the grid's own total, if you add a total row underneath</t>
  </si>
  <si>
    <t xml:space="preserve">The classic bug here is dividing by an unlocked SUM(G9:G188) that slides down to SUM(G10:G189) on the next row.</t>
  </si>
  <si>
    <t xml:space="preserve">=SUM(L19:L24)</t>
  </si>
  <si>
    <t xml:space="preserve">If it is not 100%, a product is missing from your list or a label is spelled differently in the data.</t>
  </si>
  <si>
    <t xml:space="preserve">=MAX(L19:L24)</t>
  </si>
  <si>
    <t xml:space="preserve">=SUM(LARGE(L19:L24,{1,2}))</t>
  </si>
  <si>
    <t xml:space="preserve">=IFS(LARGE(L19:L24,1)&gt;=0.8,1,SUM(LARGE(L19:L24,{1,2}))&gt;=0.8,2,SUM(LARGE(L19:L24,{1,2,3}))&gt;=0.8,3,SUM(LARGE(L19:L24,{1,2,3,4}))&gt;=0.8,4,SUM(LARGE(L19:L24,{1,2,3,4,5}))&gt;=0.8,5,TRUE,6)</t>
  </si>
  <si>
    <t xml:space="preserve">Add a sorted 'cumulative share' column beside the grid, then =COUNTIF(cumulative,"&lt;0.8")+1
=MATCH(0.8,cumulativeShares,1)+1 on an ascending cumulative column</t>
  </si>
  <si>
    <t xml:space="preserve">Pareto is not always 80/20. Measure it; do not assume it.</t>
  </si>
  <si>
    <t xml:space="preserve">=MIN(K19:K24)</t>
  </si>
  <si>
    <t xml:space="preserve">=COUNTIF(L19:L24,"&gt;0.15")</t>
  </si>
  <si>
    <t xml:space="preserve">L5 Growth, running totals and i   ★★★★</t>
  </si>
  <si>
    <t xml:space="preserve">column C</t>
  </si>
  <si>
    <t xml:space="preserve">=SUM($B$9:B9)   (row 9, then fill down)</t>
  </si>
  <si>
    <t xml:space="preserve">=C8+B9 with a zero above it — a chain instead of an expanding range</t>
  </si>
  <si>
    <t xml:space="preserve">Watch the range in the formula bar as you move down the column. It should grow, never slide.</t>
  </si>
  <si>
    <t xml:space="preserve">column D</t>
  </si>
  <si>
    <t xml:space="preserve">=B9/$B$9*100   (row 9, then fill down)</t>
  </si>
  <si>
    <t xml:space="preserve">Index numbers let you compare shapes, not sizes. Two regions of very different size can be put on the same chart this way.</t>
  </si>
  <si>
    <t xml:space="preserve">column E</t>
  </si>
  <si>
    <t xml:space="preserve">=B9/SUM($B$9:$B$20)   (row 9, then fill down)</t>
  </si>
  <si>
    <t xml:space="preserve">=B9/$C$20 if your running total column already ends at the full-year figure</t>
  </si>
  <si>
    <t xml:space="preserve">I12</t>
  </si>
  <si>
    <t xml:space="preserve">I13</t>
  </si>
  <si>
    <t xml:space="preserve">=INDEX($A$9:$A$20,MATCH(MAX($B$9:$B$20),$B$9:$B$20,0))</t>
  </si>
  <si>
    <t xml:space="preserve">I14</t>
  </si>
  <si>
    <t xml:space="preserve">=(B20/B9)^(1/11)-1</t>
  </si>
  <si>
    <t xml:space="preserve">=RATE(11,0,-B9,B20) — the same compound growth rate, asked as a finance question</t>
  </si>
  <si>
    <t xml:space="preserve">Averaging the monthly growth percentages gives a different and wrong answer. Compound growth is geometric, not arithmetic.</t>
  </si>
  <si>
    <t xml:space="preserve">I15</t>
  </si>
  <si>
    <t xml:space="preserve">=COUNTIF($C$9:$C$20,"&lt;"&amp;SUM($B$9:$B$20)/2)+1</t>
  </si>
  <si>
    <t xml:space="preserve">If half the year lands in month 5, the business is front-loaded. If it lands in month 9, you have a Q4 problem.</t>
  </si>
  <si>
    <t xml:space="preserve">I16</t>
  </si>
  <si>
    <t xml:space="preserve">=COUNTIF($B$9:$B$20,"&gt;"&amp;AVERAGE($B$9:$B$20))</t>
  </si>
  <si>
    <t xml:space="preserve">L6 Boss round — the KPI panel   ★★★★★</t>
  </si>
  <si>
    <t xml:space="preserve">K9</t>
  </si>
  <si>
    <t xml:space="preserve">=COUNTIFS($A$9:$A$188,"&gt;="&amp;DATE(2025,10,1),$A$9:$A$188,"&lt;="&amp;DATE(2025,12,31))</t>
  </si>
  <si>
    <t xml:space="preserve">=MAX($G$9:$G$188)</t>
  </si>
  <si>
    <t xml:space="preserve">=INDEX($C$9:$C$188,MATCH(MAX($G$9:$G$188),$G$9:$G$188,0))</t>
  </si>
  <si>
    <t xml:space="preserve">=XLOOKUP(MAX(G9:G188),G9:G188,C9:C188)</t>
  </si>
  <si>
    <t xml:space="preserve">VLOOKUP cannot do this — Product sits to the LEFT of Revenue, and VLOOKUP only ever looks right.</t>
  </si>
  <si>
    <t xml:space="preserve">=AVERAGEIFS($G$9:$G$188,$B$9:$B$188,"West",$E$9:$E$188,"&gt;20")</t>
  </si>
  <si>
    <t xml:space="preserve">=MAXIFS($G$9:$G$188,$C$9:$C$188,"Server")</t>
  </si>
  <si>
    <t xml:space="preserve">=MAX(IF(C9:C188="Server",G9:G188)) entered with Ctrl+Shift+Enter, for Excel 2016 and older
=SUMPRODUCT(MAX((C9:C188="Server")*G9:G188))</t>
  </si>
  <si>
    <t xml:space="preserve">=SUMPRODUCT(($G$9:$G$188&gt;AVERAGE($G$9:$G$188))*$G$9:$G$188)</t>
  </si>
  <si>
    <t xml:space="preserve">=SUMIF(G9:G188,"&gt;"&amp;AVERAGE(G9:G188))</t>
  </si>
  <si>
    <t xml:space="preserve">A condition that depends on a calculation is where SUMPRODUCT earns its keep.</t>
  </si>
  <si>
    <t xml:space="preserve">K16</t>
  </si>
  <si>
    <t xml:space="preserve">=SUMIF($G$9:$G$188,"&gt;="&amp;PERCENTILE($G$9:$G$188,0.9))</t>
  </si>
  <si>
    <t xml:space="preserve">=SUMPRODUCT((G9:G188&gt;=LARGE(G9:G188,18))*G9:G188) — 18 orders is the top 10% of 180</t>
  </si>
  <si>
    <t xml:space="preserve">Percentiles describe a distribution far better than an average does, especially with a long tail.</t>
  </si>
  <si>
    <t xml:space="preserve">K17</t>
  </si>
  <si>
    <t xml:space="preserve">=SUMIF($G$9:$G$188,"&gt;="&amp;PERCENTILE($G$9:$G$188,0.9))/SUM($G$9:$G$188)</t>
  </si>
  <si>
    <t xml:space="preserve">If 10% of orders carry 40% of revenue, your sales strategy and your credit policy should both know that.</t>
  </si>
</sst>
</file>

<file path=xl/styles.xml><?xml version="1.0" encoding="utf-8"?>
<styleSheet xmlns="http://schemas.openxmlformats.org/spreadsheetml/2006/main">
  <numFmts count="9">
    <numFmt numFmtId="164" formatCode="General"/>
    <numFmt numFmtId="165" formatCode="0"/>
    <numFmt numFmtId="166" formatCode="0.0%"/>
    <numFmt numFmtId="167" formatCode="dd\-mmm\-yyyy"/>
    <numFmt numFmtId="168" formatCode="#,##0"/>
    <numFmt numFmtId="169" formatCode="General"/>
    <numFmt numFmtId="170" formatCode="#,##0.00"/>
    <numFmt numFmtId="171" formatCode="0.00%"/>
    <numFmt numFmtId="172" formatCode="0.00"/>
  </numFmts>
  <fonts count="2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1E293B"/>
      <name val="Arial"/>
      <family val="0"/>
      <charset val="1"/>
    </font>
    <font>
      <b val="true"/>
      <sz val="11"/>
      <color rgb="FFA21433"/>
      <name val="Arial"/>
      <family val="0"/>
      <charset val="1"/>
    </font>
    <font>
      <b val="true"/>
      <sz val="10"/>
      <color rgb="FFE11D48"/>
      <name val="Arial"/>
      <family val="0"/>
      <charset val="1"/>
    </font>
    <font>
      <b val="true"/>
      <sz val="10"/>
      <color rgb="FFFFFFFF"/>
      <name val="Arial"/>
      <family val="0"/>
      <charset val="1"/>
    </font>
    <font>
      <b val="true"/>
      <sz val="10"/>
      <color rgb="FF1E293B"/>
      <name val="Arial"/>
      <family val="0"/>
      <charset val="1"/>
    </font>
    <font>
      <b val="true"/>
      <sz val="10"/>
      <color rgb="FF1D4ED8"/>
      <name val="Arial"/>
      <family val="0"/>
      <charset val="1"/>
    </font>
    <font>
      <b val="true"/>
      <sz val="10"/>
      <color rgb="FFD97706"/>
      <name val="Arial"/>
      <family val="0"/>
      <charset val="1"/>
    </font>
    <font>
      <b val="true"/>
      <sz val="9"/>
      <color rgb="FF64748B"/>
      <name val="Arial"/>
      <family val="0"/>
      <charset val="1"/>
    </font>
    <font>
      <b val="true"/>
      <sz val="15"/>
      <color rgb="FFFFFFFF"/>
      <name val="Arial"/>
      <family val="0"/>
      <charset val="1"/>
    </font>
    <font>
      <b val="true"/>
      <sz val="10"/>
      <color rgb="FF0E8477"/>
      <name val="Arial"/>
      <family val="0"/>
      <charset val="1"/>
    </font>
    <font>
      <b val="true"/>
      <sz val="9"/>
      <color rgb="FF92400E"/>
      <name val="Arial"/>
      <family val="0"/>
      <charset val="1"/>
    </font>
    <font>
      <i val="true"/>
      <sz val="9"/>
      <color rgb="FF64748B"/>
      <name val="Arial"/>
      <family val="0"/>
      <charset val="1"/>
    </font>
    <font>
      <b val="true"/>
      <sz val="11"/>
      <color rgb="FF1E293B"/>
      <name val="Arial"/>
      <family val="0"/>
      <charset val="1"/>
    </font>
    <font>
      <b val="true"/>
      <sz val="10"/>
      <color rgb="FF2A5DB1"/>
      <name val="Arial"/>
      <family val="0"/>
      <charset val="1"/>
    </font>
    <font>
      <b val="true"/>
      <sz val="10"/>
      <color rgb="FF6442B1"/>
      <name val="Arial"/>
      <family val="0"/>
      <charset val="1"/>
    </font>
    <font>
      <b val="true"/>
      <sz val="10"/>
      <color rgb="FFA21433"/>
      <name val="Arial"/>
      <family val="0"/>
      <charset val="1"/>
    </font>
    <font>
      <b val="true"/>
      <sz val="14"/>
      <color rgb="FFFFFFFF"/>
      <name val="Arial"/>
      <family val="0"/>
      <charset val="1"/>
    </font>
    <font>
      <b val="true"/>
      <sz val="11"/>
      <color rgb="FFFFFFFF"/>
      <name val="Arial"/>
      <family val="0"/>
      <charset val="1"/>
    </font>
    <font>
      <b val="true"/>
      <sz val="10"/>
      <color rgb="FF1E293B"/>
      <name val="Consolas"/>
      <family val="0"/>
      <charset val="1"/>
    </font>
    <font>
      <sz val="10"/>
      <color rgb="FF1E293B"/>
      <name val="Consolas"/>
      <family val="0"/>
      <charset val="1"/>
    </font>
  </fonts>
  <fills count="25">
    <fill>
      <patternFill patternType="none"/>
    </fill>
    <fill>
      <patternFill patternType="gray125"/>
    </fill>
    <fill>
      <patternFill patternType="solid">
        <fgColor rgb="FFE11D48"/>
        <bgColor rgb="FFA21433"/>
      </patternFill>
    </fill>
    <fill>
      <patternFill patternType="solid">
        <fgColor rgb="FFFFF3B0"/>
        <bgColor rgb="FFFEF3C7"/>
      </patternFill>
    </fill>
    <fill>
      <patternFill patternType="solid">
        <fgColor rgb="FFDBEAFE"/>
        <bgColor rgb="FFE2E8F0"/>
      </patternFill>
    </fill>
    <fill>
      <patternFill patternType="solid">
        <fgColor rgb="FFD1FAE5"/>
        <bgColor rgb="FFE7F7F6"/>
      </patternFill>
    </fill>
    <fill>
      <patternFill patternType="solid">
        <fgColor rgb="FFFEE2E2"/>
        <bgColor rgb="FFFCE8EC"/>
      </patternFill>
    </fill>
    <fill>
      <patternFill patternType="solid">
        <fgColor rgb="FFFEF3C7"/>
        <bgColor rgb="FFFFF3B0"/>
      </patternFill>
    </fill>
    <fill>
      <patternFill patternType="solid">
        <fgColor rgb="FFA21433"/>
        <bgColor rgb="FF991B1B"/>
      </patternFill>
    </fill>
    <fill>
      <patternFill patternType="solid">
        <fgColor rgb="FF14B8A6"/>
        <bgColor rgb="FF00CCFF"/>
      </patternFill>
    </fill>
    <fill>
      <patternFill patternType="solid">
        <fgColor rgb="FFE7F7F6"/>
        <bgColor rgb="FFEBF2FE"/>
      </patternFill>
    </fill>
    <fill>
      <patternFill patternType="solid">
        <fgColor rgb="FF0F172A"/>
        <bgColor rgb="FF1E293B"/>
      </patternFill>
    </fill>
    <fill>
      <patternFill patternType="solid">
        <fgColor rgb="FFF59E0B"/>
        <bgColor rgb="FFD97706"/>
      </patternFill>
    </fill>
    <fill>
      <patternFill patternType="solid">
        <fgColor rgb="FF0E8477"/>
        <bgColor rgb="FF339966"/>
      </patternFill>
    </fill>
    <fill>
      <patternFill patternType="solid">
        <fgColor rgb="FFF8FAFC"/>
        <bgColor rgb="FFFFFFFF"/>
      </patternFill>
    </fill>
    <fill>
      <patternFill patternType="solid">
        <fgColor rgb="FF3B82F6"/>
        <bgColor rgb="FF2A5DB1"/>
      </patternFill>
    </fill>
    <fill>
      <patternFill patternType="solid">
        <fgColor rgb="FFEBF2FE"/>
        <bgColor rgb="FFF1F5F9"/>
      </patternFill>
    </fill>
    <fill>
      <patternFill patternType="solid">
        <fgColor rgb="FF2A5DB1"/>
        <bgColor rgb="FF1D4ED8"/>
      </patternFill>
    </fill>
    <fill>
      <patternFill patternType="solid">
        <fgColor rgb="FF475569"/>
        <bgColor rgb="FF334155"/>
      </patternFill>
    </fill>
    <fill>
      <patternFill patternType="solid">
        <fgColor rgb="FFE2E8F0"/>
        <bgColor rgb="FFDBEAFE"/>
      </patternFill>
    </fill>
    <fill>
      <patternFill patternType="solid">
        <fgColor rgb="FF8B5CF6"/>
        <bgColor rgb="FF6442B1"/>
      </patternFill>
    </fill>
    <fill>
      <patternFill patternType="solid">
        <fgColor rgb="FFF3EEFE"/>
        <bgColor rgb="FFEBF2FE"/>
      </patternFill>
    </fill>
    <fill>
      <patternFill patternType="solid">
        <fgColor rgb="FF6442B1"/>
        <bgColor rgb="FF475569"/>
      </patternFill>
    </fill>
    <fill>
      <patternFill patternType="solid">
        <fgColor rgb="FFFCE8EC"/>
        <bgColor rgb="FFFEE2E2"/>
      </patternFill>
    </fill>
    <fill>
      <patternFill patternType="solid">
        <fgColor rgb="FF334155"/>
        <bgColor rgb="FF475569"/>
      </patternFill>
    </fill>
  </fills>
  <borders count="3">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medium">
        <color rgb="FFF59E0B"/>
      </left>
      <right style="medium">
        <color rgb="FFF59E0B"/>
      </right>
      <top style="medium">
        <color rgb="FFF59E0B"/>
      </top>
      <bottom style="medium">
        <color rgb="FFF59E0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false" indent="1" shrinkToFit="false"/>
      <protection locked="true" hidden="false"/>
    </xf>
    <xf numFmtId="164" fontId="14" fillId="0" borderId="0" xfId="0" applyFont="true" applyBorder="true" applyAlignment="true" applyProtection="false">
      <alignment horizontal="general" vertical="center" textRotation="0" wrapText="false" indent="1" shrinkToFit="false"/>
      <protection locked="true" hidden="false"/>
    </xf>
    <xf numFmtId="164" fontId="5" fillId="10" borderId="0" xfId="0" applyFont="true" applyBorder="true" applyAlignment="true" applyProtection="false">
      <alignment horizontal="general" vertical="top" textRotation="0" wrapText="true" indent="1"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7" fontId="5" fillId="14" borderId="1" xfId="0" applyFont="true" applyBorder="true" applyAlignment="false" applyProtection="false">
      <alignment horizontal="general" vertical="bottom" textRotation="0" wrapText="false" indent="0" shrinkToFit="false"/>
      <protection locked="true" hidden="false"/>
    </xf>
    <xf numFmtId="164" fontId="5" fillId="14" borderId="1" xfId="0" applyFont="true" applyBorder="true" applyAlignment="false" applyProtection="false">
      <alignment horizontal="general" vertical="bottom" textRotation="0" wrapText="false" indent="0" shrinkToFit="false"/>
      <protection locked="true" hidden="false"/>
    </xf>
    <xf numFmtId="165" fontId="5" fillId="14" borderId="1" xfId="0" applyFont="true" applyBorder="true" applyAlignment="false" applyProtection="false">
      <alignment horizontal="general" vertical="bottom" textRotation="0" wrapText="false" indent="0" shrinkToFit="false"/>
      <protection locked="true" hidden="false"/>
    </xf>
    <xf numFmtId="168" fontId="5" fillId="14" borderId="1" xfId="0" applyFont="true" applyBorder="true" applyAlignment="false" applyProtection="false">
      <alignment horizontal="general" vertical="bottom" textRotation="0" wrapText="false" indent="0" shrinkToFit="false"/>
      <protection locked="true" hidden="false"/>
    </xf>
    <xf numFmtId="168" fontId="17" fillId="3" borderId="2" xfId="0" applyFont="true" applyBorder="true" applyAlignment="true" applyProtection="false">
      <alignment horizontal="center" vertical="center" textRotation="0" wrapText="false" indent="0" shrinkToFit="false"/>
      <protection locked="true" hidden="false"/>
    </xf>
    <xf numFmtId="165" fontId="17" fillId="3" borderId="2"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17" fillId="3" borderId="2"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3" fillId="15" borderId="0" xfId="0" applyFont="true" applyBorder="true" applyAlignment="true" applyProtection="false">
      <alignment horizontal="general" vertical="center" textRotation="0" wrapText="false" indent="1" shrinkToFit="false"/>
      <protection locked="true" hidden="false"/>
    </xf>
    <xf numFmtId="164" fontId="18" fillId="0" borderId="0" xfId="0" applyFont="true" applyBorder="true" applyAlignment="true" applyProtection="false">
      <alignment horizontal="general" vertical="center" textRotation="0" wrapText="false" indent="1" shrinkToFit="false"/>
      <protection locked="true" hidden="false"/>
    </xf>
    <xf numFmtId="164" fontId="5" fillId="16" borderId="0" xfId="0" applyFont="true" applyBorder="true" applyAlignment="true" applyProtection="false">
      <alignment horizontal="general" vertical="top" textRotation="0" wrapText="true" indent="1" shrinkToFit="false"/>
      <protection locked="true" hidden="false"/>
    </xf>
    <xf numFmtId="164" fontId="8" fillId="17"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center" vertical="center" textRotation="0" wrapText="fals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8" fillId="18" borderId="1" xfId="0" applyFont="true" applyBorder="true" applyAlignment="true" applyProtection="false">
      <alignment horizontal="center" vertical="center" textRotation="0" wrapText="true" indent="0" shrinkToFit="false"/>
      <protection locked="true" hidden="false"/>
    </xf>
    <xf numFmtId="164" fontId="9" fillId="19"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71" fontId="17" fillId="3" borderId="2" xfId="0" applyFont="true" applyBorder="true" applyAlignment="true" applyProtection="false">
      <alignment horizontal="center" vertical="center"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4" fontId="13" fillId="20" borderId="0" xfId="0" applyFont="true" applyBorder="true" applyAlignment="true" applyProtection="false">
      <alignment horizontal="general" vertical="center" textRotation="0" wrapText="false" indent="1" shrinkToFit="false"/>
      <protection locked="true" hidden="false"/>
    </xf>
    <xf numFmtId="164" fontId="19" fillId="0" borderId="0" xfId="0" applyFont="true" applyBorder="true" applyAlignment="true" applyProtection="false">
      <alignment horizontal="general" vertical="center" textRotation="0" wrapText="false" indent="1" shrinkToFit="false"/>
      <protection locked="true" hidden="false"/>
    </xf>
    <xf numFmtId="164" fontId="5" fillId="21" borderId="0" xfId="0" applyFont="true" applyBorder="true" applyAlignment="true" applyProtection="false">
      <alignment horizontal="general" vertical="top" textRotation="0" wrapText="true" indent="1" shrinkToFit="false"/>
      <protection locked="true" hidden="false"/>
    </xf>
    <xf numFmtId="164" fontId="8" fillId="22" borderId="1" xfId="0" applyFont="true" applyBorder="true" applyAlignment="true" applyProtection="false">
      <alignment horizontal="center" vertical="center" textRotation="0" wrapText="tru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72" fontId="5" fillId="3" borderId="1" xfId="0" applyFont="true" applyBorder="true" applyAlignment="false" applyProtection="false">
      <alignment horizontal="general" vertical="bottom" textRotation="0" wrapText="false" indent="0" shrinkToFit="false"/>
      <protection locked="true" hidden="false"/>
    </xf>
    <xf numFmtId="171" fontId="5" fillId="3" borderId="1"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1" shrinkToFit="false"/>
      <protection locked="true" hidden="false"/>
    </xf>
    <xf numFmtId="164" fontId="20" fillId="0" borderId="0" xfId="0" applyFont="true" applyBorder="true" applyAlignment="true" applyProtection="false">
      <alignment horizontal="general" vertical="center" textRotation="0" wrapText="false" indent="1" shrinkToFit="false"/>
      <protection locked="true" hidden="false"/>
    </xf>
    <xf numFmtId="164" fontId="5" fillId="23" borderId="0" xfId="0" applyFont="true" applyBorder="true" applyAlignment="true" applyProtection="false">
      <alignment horizontal="general" vertical="top" textRotation="0" wrapText="true" indent="1"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21" fillId="11" borderId="0" xfId="0" applyFont="true" applyBorder="true" applyAlignment="true" applyProtection="false">
      <alignment horizontal="general" vertical="center" textRotation="0" wrapText="false" indent="1"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2" fillId="9" borderId="0" xfId="0" applyFont="true" applyBorder="true" applyAlignment="true" applyProtection="false">
      <alignment horizontal="general" vertical="center" textRotation="0" wrapText="false" indent="1"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2" fillId="15" borderId="0" xfId="0" applyFont="true" applyBorder="true" applyAlignment="true" applyProtection="false">
      <alignment horizontal="general" vertical="center" textRotation="0" wrapText="false" indent="1" shrinkToFit="false"/>
      <protection locked="true" hidden="false"/>
    </xf>
    <xf numFmtId="164" fontId="22" fillId="20" borderId="0" xfId="0" applyFont="true" applyBorder="true" applyAlignment="true" applyProtection="false">
      <alignment horizontal="general" vertical="center" textRotation="0" wrapText="false" indent="1" shrinkToFit="false"/>
      <protection locked="true" hidden="false"/>
    </xf>
    <xf numFmtId="164" fontId="22" fillId="2" borderId="0" xfId="0" applyFont="true" applyBorder="tru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65F46"/>
      </font>
      <fill>
        <patternFill>
          <bgColor rgb="FFD1FAE5"/>
        </patternFill>
      </fill>
    </dxf>
    <dxf>
      <font>
        <name val="Arial"/>
        <charset val="1"/>
        <family val="0"/>
        <b val="1"/>
        <color rgb="FF991B1B"/>
      </font>
      <fill>
        <patternFill>
          <bgColor rgb="FFFEE2E2"/>
        </patternFill>
      </fill>
    </dxf>
    <dxf>
      <font>
        <name val="Arial"/>
        <charset val="1"/>
        <family val="0"/>
        <b val="1"/>
        <color rgb="FF92400E"/>
      </font>
      <fill>
        <patternFill>
          <bgColor rgb="FFFEF3C7"/>
        </patternFill>
      </fill>
    </dxf>
    <dxf>
      <font>
        <name val="Arial"/>
        <charset val="1"/>
        <family val="0"/>
        <b val="1"/>
        <color rgb="FF64748B"/>
      </font>
      <fill>
        <patternFill>
          <bgColor rgb="FFF1F5F9"/>
        </patternFill>
      </fill>
    </dxf>
  </dxfs>
  <colors>
    <indexedColors>
      <rgbColor rgb="FF000000"/>
      <rgbColor rgb="FFFFFFFF"/>
      <rgbColor rgb="FFE11D48"/>
      <rgbColor rgb="FF00FF00"/>
      <rgbColor rgb="FF0000FF"/>
      <rgbColor rgb="FFF1F5F9"/>
      <rgbColor rgb="FFFF00FF"/>
      <rgbColor rgb="FF00FFFF"/>
      <rgbColor rgb="FF991B1B"/>
      <rgbColor rgb="FF008000"/>
      <rgbColor rgb="FF000080"/>
      <rgbColor rgb="FF808000"/>
      <rgbColor rgb="FF800080"/>
      <rgbColor rgb="FF0E8477"/>
      <rgbColor rgb="FFE2E8F0"/>
      <rgbColor rgb="FF808080"/>
      <rgbColor rgb="FF8B5CF6"/>
      <rgbColor rgb="FF6442B1"/>
      <rgbColor rgb="FFFEF3C7"/>
      <rgbColor rgb="FFE7F7F6"/>
      <rgbColor rgb="FF660066"/>
      <rgbColor rgb="FFFF8080"/>
      <rgbColor rgb="FF1D4ED8"/>
      <rgbColor rgb="FFCBD5E1"/>
      <rgbColor rgb="FF000080"/>
      <rgbColor rgb="FFFF00FF"/>
      <rgbColor rgb="FFF8FAFC"/>
      <rgbColor rgb="FF00FFFF"/>
      <rgbColor rgb="FF800080"/>
      <rgbColor rgb="FFA21433"/>
      <rgbColor rgb="FF065F46"/>
      <rgbColor rgb="FF0000FF"/>
      <rgbColor rgb="FF00CCFF"/>
      <rgbColor rgb="FFDBEAFE"/>
      <rgbColor rgb="FFD1FAE5"/>
      <rgbColor rgb="FFFFF3B0"/>
      <rgbColor rgb="FFEBF2FE"/>
      <rgbColor rgb="FFFCE8EC"/>
      <rgbColor rgb="FFF3EEFE"/>
      <rgbColor rgb="FFFEE2E2"/>
      <rgbColor rgb="FF3B82F6"/>
      <rgbColor rgb="FF14B8A6"/>
      <rgbColor rgb="FF99CC00"/>
      <rgbColor rgb="FFFFCC00"/>
      <rgbColor rgb="FFF59E0B"/>
      <rgbColor rgb="FFD97706"/>
      <rgbColor rgb="FF64748B"/>
      <rgbColor rgb="FF969696"/>
      <rgbColor rgb="FF2A5DB1"/>
      <rgbColor rgb="FF339966"/>
      <rgbColor rgb="FF0F172A"/>
      <rgbColor rgb="FF475569"/>
      <rgbColor rgb="FF92400E"/>
      <rgbColor rgb="FF993366"/>
      <rgbColor rgb="FF334155"/>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excel-lab-08-sales-analytics.xlsx" TargetMode="External"/><Relationship Id="rId2" Type="http://schemas.openxmlformats.org/officeDocument/2006/relationships/hyperlink" Target="excel-lab-08-sales-analytics.xlsx" TargetMode="External"/><Relationship Id="rId3" Type="http://schemas.openxmlformats.org/officeDocument/2006/relationships/hyperlink" Target="excel-lab-08-sales-analytics.xlsx" TargetMode="External"/><Relationship Id="rId4" Type="http://schemas.openxmlformats.org/officeDocument/2006/relationships/hyperlink" Target="excel-lab-08-sales-analytics.xlsx" TargetMode="External"/><Relationship Id="rId5" Type="http://schemas.openxmlformats.org/officeDocument/2006/relationships/hyperlink" Target="excel-lab-08-sales-analytics.xlsx" TargetMode="External"/><Relationship Id="rId6" Type="http://schemas.openxmlformats.org/officeDocument/2006/relationships/hyperlink" Target="excel-lab-08-sales-analytic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1D48"/>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4"/>
    <col collapsed="false" customWidth="true" hidden="false" outlineLevel="0" max="5" min="4" style="0" width="10"/>
    <col collapsed="false" customWidth="true" hidden="false" outlineLevel="0" max="6" min="6" style="0" width="16"/>
    <col collapsed="false" customWidth="true" hidden="false" outlineLevel="0" max="8" min="7" style="0" width="4"/>
  </cols>
  <sheetData>
    <row r="1" customFormat="false" ht="43.5" hidden="false" customHeight="true" outlineLevel="0" collapsed="false">
      <c r="A1" s="1" t="s">
        <v>0</v>
      </c>
      <c r="B1" s="1"/>
      <c r="C1" s="1"/>
      <c r="D1" s="1"/>
      <c r="E1" s="1"/>
      <c r="F1" s="1"/>
    </row>
    <row r="2" customFormat="false" ht="43.5" hidden="false" customHeight="true" outlineLevel="0" collapsed="false">
      <c r="A2" s="2" t="s">
        <v>1</v>
      </c>
      <c r="B2" s="2"/>
      <c r="C2" s="2"/>
      <c r="D2" s="2"/>
      <c r="E2" s="2"/>
      <c r="F2" s="2"/>
    </row>
    <row r="4" customFormat="false" ht="15" hidden="false" customHeight="false" outlineLevel="0" collapsed="false">
      <c r="A4" s="3" t="s">
        <v>2</v>
      </c>
    </row>
    <row r="5" customFormat="false" ht="27.75" hidden="false" customHeight="true" outlineLevel="0" collapsed="false">
      <c r="A5" s="4" t="n">
        <v>1</v>
      </c>
      <c r="B5" s="5" t="s">
        <v>3</v>
      </c>
      <c r="C5" s="5"/>
      <c r="D5" s="5"/>
      <c r="E5" s="5"/>
      <c r="F5" s="5"/>
    </row>
    <row r="6" customFormat="false" ht="27.75" hidden="false" customHeight="true" outlineLevel="0" collapsed="false">
      <c r="A6" s="4" t="n">
        <v>2</v>
      </c>
      <c r="B6" s="5" t="s">
        <v>4</v>
      </c>
      <c r="C6" s="5"/>
      <c r="D6" s="5"/>
      <c r="E6" s="5"/>
      <c r="F6" s="5"/>
    </row>
    <row r="7" customFormat="false" ht="27.75" hidden="false" customHeight="true" outlineLevel="0" collapsed="false">
      <c r="A7" s="4" t="n">
        <v>3</v>
      </c>
      <c r="B7" s="5" t="s">
        <v>5</v>
      </c>
      <c r="C7" s="5"/>
      <c r="D7" s="5"/>
      <c r="E7" s="5"/>
      <c r="F7" s="5"/>
    </row>
    <row r="8" customFormat="false" ht="27.75" hidden="false" customHeight="true" outlineLevel="0" collapsed="false">
      <c r="A8" s="4" t="n">
        <v>4</v>
      </c>
      <c r="B8" s="5" t="s">
        <v>6</v>
      </c>
      <c r="C8" s="5"/>
      <c r="D8" s="5"/>
      <c r="E8" s="5"/>
      <c r="F8" s="5"/>
    </row>
    <row r="9" customFormat="false" ht="27.75" hidden="false" customHeight="true" outlineLevel="0" collapsed="false">
      <c r="A9" s="4" t="n">
        <v>5</v>
      </c>
      <c r="B9" s="5" t="s">
        <v>7</v>
      </c>
      <c r="C9" s="5"/>
      <c r="D9" s="5"/>
      <c r="E9" s="5"/>
      <c r="F9" s="5"/>
    </row>
    <row r="11" customFormat="false" ht="15" hidden="false" customHeight="false" outlineLevel="0" collapsed="false">
      <c r="A11" s="3" t="s">
        <v>8</v>
      </c>
    </row>
    <row r="12" customFormat="false" ht="19.5" hidden="false" customHeight="true" outlineLevel="0" collapsed="false">
      <c r="A12" s="6"/>
      <c r="B12" s="7" t="s">
        <v>9</v>
      </c>
      <c r="C12" s="7"/>
      <c r="D12" s="7"/>
      <c r="E12" s="7"/>
      <c r="F12" s="7"/>
    </row>
    <row r="13" customFormat="false" ht="19.5" hidden="false" customHeight="true" outlineLevel="0" collapsed="false">
      <c r="A13" s="8"/>
      <c r="B13" s="7" t="s">
        <v>10</v>
      </c>
      <c r="C13" s="7"/>
      <c r="D13" s="7"/>
      <c r="E13" s="7"/>
      <c r="F13" s="7"/>
    </row>
    <row r="14" customFormat="false" ht="19.5" hidden="false" customHeight="true" outlineLevel="0" collapsed="false">
      <c r="A14" s="9"/>
      <c r="B14" s="7" t="s">
        <v>11</v>
      </c>
      <c r="C14" s="7"/>
      <c r="D14" s="7"/>
      <c r="E14" s="7"/>
      <c r="F14" s="7"/>
    </row>
    <row r="15" customFormat="false" ht="19.5" hidden="false" customHeight="true" outlineLevel="0" collapsed="false">
      <c r="A15" s="10"/>
      <c r="B15" s="7" t="s">
        <v>12</v>
      </c>
      <c r="C15" s="7"/>
      <c r="D15" s="7"/>
      <c r="E15" s="7"/>
      <c r="F15" s="7"/>
    </row>
    <row r="16" customFormat="false" ht="19.5" hidden="false" customHeight="true" outlineLevel="0" collapsed="false">
      <c r="A16" s="11"/>
      <c r="B16" s="7" t="s">
        <v>13</v>
      </c>
      <c r="C16" s="7"/>
      <c r="D16" s="7"/>
      <c r="E16" s="7"/>
      <c r="F16" s="7"/>
    </row>
    <row r="18" customFormat="false" ht="21.75" hidden="false" customHeight="true" outlineLevel="0" collapsed="false">
      <c r="A18" s="12" t="s">
        <v>14</v>
      </c>
      <c r="B18" s="12" t="s">
        <v>15</v>
      </c>
      <c r="C18" s="12" t="s">
        <v>16</v>
      </c>
      <c r="D18" s="12" t="s">
        <v>17</v>
      </c>
      <c r="E18" s="12" t="s">
        <v>18</v>
      </c>
      <c r="F18" s="12" t="s">
        <v>19</v>
      </c>
    </row>
    <row r="19" customFormat="false" ht="19.5" hidden="false" customHeight="true" outlineLevel="0" collapsed="false">
      <c r="A19" s="13" t="n">
        <v>1</v>
      </c>
      <c r="B19" s="14" t="s">
        <v>20</v>
      </c>
      <c r="C19" s="15" t="s">
        <v>21</v>
      </c>
      <c r="D19" s="16" t="n">
        <v>7</v>
      </c>
      <c r="E19" s="13" t="n">
        <f aca="false">COUNTIF('L1 Revenue and segments'!L9:L15,"✓*")</f>
        <v>0</v>
      </c>
      <c r="F19" s="17" t="n">
        <f aca="false">IFERROR(E19/D19,0)</f>
        <v>0</v>
      </c>
    </row>
    <row r="20" customFormat="false" ht="19.5" hidden="false" customHeight="true" outlineLevel="0" collapsed="false">
      <c r="A20" s="13" t="n">
        <v>2</v>
      </c>
      <c r="B20" s="14" t="s">
        <v>22</v>
      </c>
      <c r="C20" s="15" t="s">
        <v>23</v>
      </c>
      <c r="D20" s="16" t="n">
        <v>6</v>
      </c>
      <c r="E20" s="13" t="n">
        <f aca="false">COUNTIF('L2 The month by region matrix'!M9:M14,"✓*")</f>
        <v>0</v>
      </c>
      <c r="F20" s="17" t="n">
        <f aca="false">IFERROR(E20/D20,0)</f>
        <v>0</v>
      </c>
    </row>
    <row r="21" customFormat="false" ht="19.5" hidden="false" customHeight="true" outlineLevel="0" collapsed="false">
      <c r="A21" s="13" t="n">
        <v>3</v>
      </c>
      <c r="B21" s="14" t="s">
        <v>24</v>
      </c>
      <c r="C21" s="15" t="s">
        <v>23</v>
      </c>
      <c r="D21" s="16" t="n">
        <v>7</v>
      </c>
      <c r="E21" s="13" t="n">
        <f aca="false">COUNTIF('L3 Ranking the sales team'!L9:L15,"✓*")</f>
        <v>0</v>
      </c>
      <c r="F21" s="17" t="n">
        <f aca="false">IFERROR(E21/D21,0)</f>
        <v>0</v>
      </c>
    </row>
    <row r="22" customFormat="false" ht="19.5" hidden="false" customHeight="true" outlineLevel="0" collapsed="false">
      <c r="A22" s="13" t="n">
        <v>4</v>
      </c>
      <c r="B22" s="14" t="s">
        <v>25</v>
      </c>
      <c r="C22" s="15" t="s">
        <v>26</v>
      </c>
      <c r="D22" s="16" t="n">
        <v>7</v>
      </c>
      <c r="E22" s="13" t="n">
        <f aca="false">COUNTIF('L4 Contribution and the 80-20 r'!L9:L15,"✓*")</f>
        <v>0</v>
      </c>
      <c r="F22" s="17" t="n">
        <f aca="false">IFERROR(E22/D22,0)</f>
        <v>0</v>
      </c>
    </row>
    <row r="23" customFormat="false" ht="19.5" hidden="false" customHeight="true" outlineLevel="0" collapsed="false">
      <c r="A23" s="13" t="n">
        <v>5</v>
      </c>
      <c r="B23" s="14" t="s">
        <v>27</v>
      </c>
      <c r="C23" s="15" t="s">
        <v>26</v>
      </c>
      <c r="D23" s="16" t="n">
        <v>8</v>
      </c>
      <c r="E23" s="13" t="n">
        <f aca="false">COUNTIF('L5 Growth, running totals and i'!J9:J16,"✓*")</f>
        <v>0</v>
      </c>
      <c r="F23" s="17" t="n">
        <f aca="false">IFERROR(E23/D23,0)</f>
        <v>0</v>
      </c>
    </row>
    <row r="24" customFormat="false" ht="19.5" hidden="false" customHeight="true" outlineLevel="0" collapsed="false">
      <c r="A24" s="13" t="n">
        <v>6</v>
      </c>
      <c r="B24" s="14" t="s">
        <v>28</v>
      </c>
      <c r="C24" s="15" t="s">
        <v>29</v>
      </c>
      <c r="D24" s="16" t="n">
        <v>9</v>
      </c>
      <c r="E24" s="13" t="n">
        <f aca="false">COUNTIF('L6 Boss round — the KPI panel'!L9:L17,"✓*")</f>
        <v>0</v>
      </c>
      <c r="F24" s="17" t="n">
        <f aca="false">IFERROR(E24/D24,0)</f>
        <v>0</v>
      </c>
    </row>
    <row r="25" customFormat="false" ht="15" hidden="false" customHeight="false" outlineLevel="0" collapsed="false">
      <c r="B25" s="18" t="s">
        <v>30</v>
      </c>
      <c r="D25" s="13" t="n">
        <f aca="false">SUM(D19:D24)</f>
        <v>44</v>
      </c>
      <c r="E25" s="13" t="n">
        <f aca="false">SUM(E19:E24)</f>
        <v>0</v>
      </c>
      <c r="F25" s="19" t="n">
        <f aca="false">IFERROR(E25/D25,0)</f>
        <v>0</v>
      </c>
    </row>
    <row r="27" customFormat="false" ht="15" hidden="false" customHeight="false" outlineLevel="0" collapsed="false">
      <c r="A27" s="20" t="s">
        <v>31</v>
      </c>
      <c r="B27" s="20"/>
      <c r="C27" s="20"/>
      <c r="D27" s="20"/>
      <c r="E27" s="20"/>
      <c r="F27" s="20"/>
    </row>
  </sheetData>
  <mergeCells count="13">
    <mergeCell ref="A1:F1"/>
    <mergeCell ref="A2:F2"/>
    <mergeCell ref="B5:F5"/>
    <mergeCell ref="B6:F6"/>
    <mergeCell ref="B7:F7"/>
    <mergeCell ref="B8:F8"/>
    <mergeCell ref="B9:F9"/>
    <mergeCell ref="B12:F12"/>
    <mergeCell ref="B13:F13"/>
    <mergeCell ref="B14:F14"/>
    <mergeCell ref="B15:F15"/>
    <mergeCell ref="B16:F16"/>
    <mergeCell ref="A27:F27"/>
  </mergeCells>
  <conditionalFormatting sqref="F19:F25">
    <cfRule type="dataBar" priority="2">
      <dataBar showValue="1" minLength="10" maxLength="90">
        <cfvo type="num" val="0"/>
        <cfvo type="num" val="1"/>
        <color rgb="FFE11D48"/>
      </dataBar>
      <extLst>
        <ext xmlns:x14="http://schemas.microsoft.com/office/spreadsheetml/2009/9/main" uri="{B025F937-C7B1-47D3-B67F-A62EFF666E3E}">
          <x14:id>{6CA14234-3FE1-4773-9BB1-8677514D3D65}</x14:id>
        </ext>
      </extLst>
    </cfRule>
  </conditionalFormatting>
  <hyperlinks>
    <hyperlink ref="B19" r:id="rId1" location="'L1%20Revenue%20and%20segments'!A1" display="L1 Revenue and segments"/>
    <hyperlink ref="B20" r:id="rId2" location="'L2%20The%20month%20by%20region%20matrix'!A1" display="L2 The month by region matrix"/>
    <hyperlink ref="B21" r:id="rId3" location="'L3%20Ranking%20the%20sales%20team'!A1" display="L3 Ranking the sales team"/>
    <hyperlink ref="B22" r:id="rId4" location="'L4%20Contribution%20and%20the%2080-20%20r'!A1" display="L4 Contribution and the 80-20 r"/>
    <hyperlink ref="B23" r:id="rId5" location="'L5%20Growth,%20running%20totals%20and%20i'!A1" display="L5 Growth, running totals and i"/>
    <hyperlink ref="B24" r:id="rId6" location="'L6%20Boss%20round%20—%20the%20KPI%20panel'!A1" display="L6 Boss round — the KPI pane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CA14234-3FE1-4773-9BB1-8677514D3D65}">
            <x14:dataBar minLength="10" maxLength="90" axisPosition="none" gradient="true">
              <x14:cfvo type="num">
                <xm:f>0</xm:f>
              </x14:cfvo>
              <x14:cfvo type="num">
                <xm:f>1</xm:f>
              </x14:cfvo>
              <x14:negativeFillColor rgb="FFE11D48"/>
              <x14:axisColor rgb="FF000000"/>
            </x14:dataBar>
          </x14:cfRule>
          <xm:sqref>F19:F25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B8A6"/>
    <pageSetUpPr fitToPage="true"/>
  </sheetPr>
  <dimension ref="A1:O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6"/>
    <col collapsed="false" customWidth="true" hidden="false" outlineLevel="0" max="5" min="5" style="0" width="9"/>
    <col collapsed="false" customWidth="true" hidden="false" outlineLevel="0" max="6" min="6" style="0" width="11"/>
    <col collapsed="false" customWidth="true" hidden="false" outlineLevel="0" max="7" min="7" style="0" width="15"/>
    <col collapsed="false" customWidth="true" hidden="false" outlineLevel="0" max="8" min="8" style="0" width="3"/>
    <col collapsed="false" customWidth="true" hidden="false" outlineLevel="0" max="9" min="9" style="0" width="5"/>
    <col collapsed="false" customWidth="true" hidden="false" outlineLevel="0" max="10" min="10" style="0" width="46"/>
    <col collapsed="false" customWidth="true" hidden="false" outlineLevel="0" max="11" min="11" style="0" width="18"/>
    <col collapsed="false" customWidth="true" hidden="false" outlineLevel="0" max="12" min="12" style="0" width="17"/>
    <col collapsed="false" customWidth="true" hidden="false" outlineLevel="0" max="13" min="13" style="0" width="38"/>
    <col collapsed="false" customWidth="true" hidden="true" outlineLevel="0" max="16" min="14" style="0" width="13"/>
  </cols>
  <sheetData>
    <row r="1" customFormat="false" ht="31.5" hidden="false" customHeight="true" outlineLevel="0" collapsed="false">
      <c r="A1" s="21" t="s">
        <v>32</v>
      </c>
      <c r="B1" s="21"/>
      <c r="C1" s="21"/>
      <c r="D1" s="21"/>
      <c r="E1" s="21"/>
      <c r="F1" s="21"/>
      <c r="G1" s="21"/>
      <c r="H1" s="21"/>
      <c r="I1" s="21"/>
      <c r="J1" s="21"/>
      <c r="K1" s="21"/>
      <c r="L1" s="21"/>
      <c r="M1" s="21"/>
    </row>
    <row r="2" customFormat="false" ht="19.5" hidden="false" customHeight="true" outlineLevel="0" collapsed="false">
      <c r="A2" s="22" t="s">
        <v>33</v>
      </c>
      <c r="B2" s="22"/>
      <c r="C2" s="22"/>
      <c r="D2" s="22"/>
      <c r="E2" s="22"/>
      <c r="F2" s="22"/>
      <c r="G2" s="22"/>
      <c r="H2" s="22"/>
      <c r="I2" s="22"/>
      <c r="J2" s="22"/>
      <c r="K2" s="22"/>
      <c r="L2" s="22"/>
      <c r="M2" s="22"/>
    </row>
    <row r="3" customFormat="false" ht="18.75" hidden="false" customHeight="true" outlineLevel="0" collapsed="false">
      <c r="A3" s="23" t="s">
        <v>34</v>
      </c>
      <c r="B3" s="23"/>
      <c r="C3" s="23"/>
      <c r="D3" s="23"/>
      <c r="E3" s="23"/>
      <c r="F3" s="23"/>
      <c r="G3" s="23"/>
      <c r="H3" s="23"/>
      <c r="I3" s="23"/>
      <c r="J3" s="23"/>
      <c r="K3" s="23"/>
      <c r="L3" s="23"/>
      <c r="M3" s="23"/>
    </row>
    <row r="4" customFormat="false" ht="18.75" hidden="false" customHeight="true" outlineLevel="0" collapsed="false">
      <c r="A4" s="23"/>
      <c r="B4" s="23"/>
      <c r="C4" s="23"/>
      <c r="D4" s="23"/>
      <c r="E4" s="23"/>
      <c r="F4" s="23"/>
      <c r="G4" s="23"/>
      <c r="H4" s="23"/>
      <c r="I4" s="23"/>
      <c r="J4" s="23"/>
      <c r="K4" s="23"/>
      <c r="L4" s="23"/>
      <c r="M4" s="23"/>
    </row>
    <row r="5" customFormat="false" ht="18.75" hidden="false" customHeight="true" outlineLevel="0" collapsed="false">
      <c r="A5" s="23"/>
      <c r="B5" s="23"/>
      <c r="C5" s="23"/>
      <c r="D5" s="23"/>
      <c r="E5" s="23"/>
      <c r="F5" s="23"/>
      <c r="G5" s="23"/>
      <c r="H5" s="23"/>
      <c r="I5" s="23"/>
      <c r="J5" s="23"/>
      <c r="K5" s="23"/>
      <c r="L5" s="23"/>
      <c r="M5" s="23"/>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G8" s="25" t="s">
        <v>41</v>
      </c>
      <c r="I8" s="26" t="s">
        <v>14</v>
      </c>
      <c r="J8" s="26" t="s">
        <v>42</v>
      </c>
      <c r="K8" s="26" t="s">
        <v>43</v>
      </c>
      <c r="L8" s="26" t="s">
        <v>44</v>
      </c>
      <c r="M8" s="26" t="s">
        <v>45</v>
      </c>
    </row>
    <row r="9" customFormat="false" ht="33.75" hidden="false" customHeight="true" outlineLevel="0" collapsed="false">
      <c r="A9" s="27" t="n">
        <v>45749</v>
      </c>
      <c r="B9" s="28" t="s">
        <v>46</v>
      </c>
      <c r="C9" s="28" t="s">
        <v>47</v>
      </c>
      <c r="D9" s="28" t="s">
        <v>48</v>
      </c>
      <c r="E9" s="29" t="n">
        <v>12</v>
      </c>
      <c r="F9" s="30" t="n">
        <v>9800</v>
      </c>
      <c r="G9" s="31"/>
      <c r="I9" s="32" t="n">
        <v>1</v>
      </c>
      <c r="J9" s="33" t="s">
        <v>49</v>
      </c>
      <c r="K9" s="34" t="s">
        <v>50</v>
      </c>
      <c r="L9" s="35" t="str">
        <f aca="false">IF(COUNTA($G$9:$G$188)=0,"◯ Not attempted",IF(NOT(_xlfn.ISFORMULA(G9)),"✎ Use a formula",IFERROR(IF(SUMPRODUCT(--(ABS($G$9:$G$188-$O$9:$O$188)&lt;0.01))=ROWS($G$9:$G$188),"✓ Correct","✗ "&amp;(ROWS($G$9:$G$188)-SUMPRODUCT(--(ABS($G$9:$G$188-$O$9:$O$188)&lt;0.01)))&amp;" rows differ"),"✗ Check the column")))</f>
        <v>◯ Not attempted</v>
      </c>
      <c r="M9" s="36" t="s">
        <v>51</v>
      </c>
      <c r="O9" s="0" t="n">
        <f aca="false">E9*F9</f>
        <v>117600</v>
      </c>
    </row>
    <row r="10" customFormat="false" ht="33.75" hidden="false" customHeight="true" outlineLevel="0" collapsed="false">
      <c r="A10" s="37" t="n">
        <v>45749</v>
      </c>
      <c r="B10" s="38" t="s">
        <v>52</v>
      </c>
      <c r="C10" s="38" t="s">
        <v>53</v>
      </c>
      <c r="D10" s="38" t="s">
        <v>54</v>
      </c>
      <c r="E10" s="39" t="n">
        <v>21</v>
      </c>
      <c r="F10" s="40" t="n">
        <v>15200</v>
      </c>
      <c r="G10" s="31"/>
      <c r="I10" s="32" t="n">
        <v>2</v>
      </c>
      <c r="J10" s="33" t="s">
        <v>55</v>
      </c>
      <c r="K10" s="41"/>
      <c r="L10" s="35" t="str">
        <f aca="false">IF(ISBLANK(K10),"◯ Not attempted",IF(NOT(_xlfn.ISFORMULA(K10)),"✎ Use a formula",IF(ISNUMBER(K10),IF(ABS(K10-$N$10)&lt;0.005,"✓ Correct","✗ Check again"),"✗ Not a number")))</f>
        <v>◯ Not attempted</v>
      </c>
      <c r="M10" s="36" t="s">
        <v>56</v>
      </c>
      <c r="N10" s="0" t="n">
        <f aca="false">SUMPRODUCT($E$9:$E$188,$F$9:$F$188)</f>
        <v>164874500</v>
      </c>
      <c r="O10" s="0" t="n">
        <f aca="false">E10*F10</f>
        <v>319200</v>
      </c>
    </row>
    <row r="11" customFormat="false" ht="33.75" hidden="false" customHeight="true" outlineLevel="0" collapsed="false">
      <c r="A11" s="27" t="n">
        <v>45750</v>
      </c>
      <c r="B11" s="28" t="s">
        <v>46</v>
      </c>
      <c r="C11" s="28" t="s">
        <v>57</v>
      </c>
      <c r="D11" s="28" t="s">
        <v>48</v>
      </c>
      <c r="E11" s="29" t="n">
        <v>8</v>
      </c>
      <c r="F11" s="30" t="n">
        <v>5700</v>
      </c>
      <c r="G11" s="31"/>
      <c r="I11" s="32" t="n">
        <v>3</v>
      </c>
      <c r="J11" s="33" t="s">
        <v>58</v>
      </c>
      <c r="K11" s="42"/>
      <c r="L11" s="35" t="str">
        <f aca="false">IF(ISBLANK(K11),"◯ Not attempted",IF(NOT(_xlfn.ISFORMULA(K11)),"✎ Use a formula",IF(ISNUMBER(K11),IF(ABS(K11-$N$11)&lt;0.005,"✓ Correct","✗ Check again"),"✗ Not a number")))</f>
        <v>◯ Not attempted</v>
      </c>
      <c r="M11" s="36" t="s">
        <v>59</v>
      </c>
      <c r="N11" s="43" t="n">
        <f aca="false">SUM($E$9:$E$188)</f>
        <v>3450</v>
      </c>
      <c r="O11" s="44" t="n">
        <f aca="false">E11*F11</f>
        <v>45600</v>
      </c>
    </row>
    <row r="12" customFormat="false" ht="33.75" hidden="false" customHeight="true" outlineLevel="0" collapsed="false">
      <c r="A12" s="37" t="n">
        <v>45751</v>
      </c>
      <c r="B12" s="38" t="s">
        <v>52</v>
      </c>
      <c r="C12" s="38" t="s">
        <v>53</v>
      </c>
      <c r="D12" s="38" t="s">
        <v>60</v>
      </c>
      <c r="E12" s="39" t="n">
        <v>24</v>
      </c>
      <c r="F12" s="40" t="n">
        <v>15300</v>
      </c>
      <c r="G12" s="31"/>
      <c r="I12" s="32" t="n">
        <v>4</v>
      </c>
      <c r="J12" s="33" t="s">
        <v>61</v>
      </c>
      <c r="K12" s="45"/>
      <c r="L12" s="35" t="str">
        <f aca="false">IF(ISBLANK(K12),"◯ Not attempted",IF(NOT(_xlfn.ISFORMULA(K12)),"✎ Use a formula",IF(ISNUMBER(K12),IF(ABS(K12-$N$12)&lt;0.05,"✓ Correct","✗ Check again"),"✗ Not a number")))</f>
        <v>◯ Not attempted</v>
      </c>
      <c r="M12" s="36" t="s">
        <v>62</v>
      </c>
      <c r="N12" s="46" t="n">
        <f aca="false">SUMPRODUCT($E$9:$E$188,$F$9:$F$188)/COUNTA($A$9:$A$188)</f>
        <v>915969.444444445</v>
      </c>
      <c r="O12" s="44" t="n">
        <f aca="false">E12*F12</f>
        <v>367200</v>
      </c>
    </row>
    <row r="13" customFormat="false" ht="33.75" hidden="false" customHeight="true" outlineLevel="0" collapsed="false">
      <c r="A13" s="27" t="n">
        <v>45752</v>
      </c>
      <c r="B13" s="28" t="s">
        <v>63</v>
      </c>
      <c r="C13" s="28" t="s">
        <v>64</v>
      </c>
      <c r="D13" s="28" t="s">
        <v>65</v>
      </c>
      <c r="E13" s="29" t="n">
        <v>16</v>
      </c>
      <c r="F13" s="30" t="n">
        <v>138700</v>
      </c>
      <c r="G13" s="31"/>
      <c r="I13" s="32" t="n">
        <v>5</v>
      </c>
      <c r="J13" s="33" t="s">
        <v>66</v>
      </c>
      <c r="K13" s="41"/>
      <c r="L13" s="35" t="str">
        <f aca="false">IF(ISBLANK(K13),"◯ Not attempted",IF(NOT(_xlfn.ISFORMULA(K13)),"✎ Use a formula",IF(ISNUMBER(K13),IF(ABS(K13-$N$13)&lt;0.005,"✓ Correct","✗ Check again"),"✗ Not a number")))</f>
        <v>◯ Not attempted</v>
      </c>
      <c r="M13" s="36" t="s">
        <v>67</v>
      </c>
      <c r="N13" s="0" t="n">
        <f aca="false">SUMPRODUCT(($B$9:$B$188="West")*$E$9:$E$188*$F$9:$F$188)</f>
        <v>37229600</v>
      </c>
      <c r="O13" s="0" t="n">
        <f aca="false">E13*F13</f>
        <v>2219200</v>
      </c>
    </row>
    <row r="14" customFormat="false" ht="33.75" hidden="false" customHeight="true" outlineLevel="0" collapsed="false">
      <c r="A14" s="37" t="n">
        <v>45753</v>
      </c>
      <c r="B14" s="38" t="s">
        <v>52</v>
      </c>
      <c r="C14" s="38" t="s">
        <v>47</v>
      </c>
      <c r="D14" s="38" t="s">
        <v>60</v>
      </c>
      <c r="E14" s="39" t="n">
        <v>38</v>
      </c>
      <c r="F14" s="40" t="n">
        <v>9000</v>
      </c>
      <c r="G14" s="31"/>
      <c r="I14" s="32" t="n">
        <v>6</v>
      </c>
      <c r="J14" s="33" t="s">
        <v>68</v>
      </c>
      <c r="K14" s="42"/>
      <c r="L14" s="35" t="str">
        <f aca="false">IF(ISBLANK(K14),"◯ Not attempted",IF(NOT(_xlfn.ISFORMULA(K14)),"✎ Use a formula",IF(ISNUMBER(K14),IF(ABS(K14-$N$14)&lt;0.005,"✓ Correct","✗ Check again"),"✗ Not a number")))</f>
        <v>◯ Not attempted</v>
      </c>
      <c r="M14" s="36" t="s">
        <v>69</v>
      </c>
      <c r="N14" s="43" t="n">
        <f aca="false">SUMPRODUCT(--($E$9:$E$188*$F$9:$F$188&gt;500000))</f>
        <v>72</v>
      </c>
      <c r="O14" s="44" t="n">
        <f aca="false">E14*F14</f>
        <v>342000</v>
      </c>
    </row>
    <row r="15" customFormat="false" ht="33.75" hidden="false" customHeight="true" outlineLevel="0" collapsed="false">
      <c r="A15" s="27" t="n">
        <v>45755</v>
      </c>
      <c r="B15" s="28" t="s">
        <v>63</v>
      </c>
      <c r="C15" s="28" t="s">
        <v>47</v>
      </c>
      <c r="D15" s="28" t="s">
        <v>70</v>
      </c>
      <c r="E15" s="29" t="n">
        <v>8</v>
      </c>
      <c r="F15" s="30" t="n">
        <v>9800</v>
      </c>
      <c r="G15" s="31"/>
      <c r="I15" s="32" t="n">
        <v>7</v>
      </c>
      <c r="J15" s="33" t="s">
        <v>71</v>
      </c>
      <c r="K15" s="45"/>
      <c r="L15" s="35" t="str">
        <f aca="false">IF(ISBLANK(K15),"◯ Not attempted",IF(NOT(_xlfn.ISFORMULA(K15)),"✎ Use a formula",IF(ISNUMBER(K15),IF(ABS(K15-$N$15)&lt;0.05,"✓ Correct","✗ Check again"),"✗ Not a number")))</f>
        <v>◯ Not attempted</v>
      </c>
      <c r="M15" s="36" t="s">
        <v>72</v>
      </c>
      <c r="N15" s="46" t="n">
        <f aca="false">47789.710145</f>
        <v>47789.710145</v>
      </c>
      <c r="O15" s="44" t="n">
        <f aca="false">E15*F15</f>
        <v>78400</v>
      </c>
    </row>
    <row r="16" customFormat="false" ht="15" hidden="false" customHeight="false" outlineLevel="0" collapsed="false">
      <c r="A16" s="37" t="n">
        <v>45759</v>
      </c>
      <c r="B16" s="38" t="s">
        <v>46</v>
      </c>
      <c r="C16" s="38" t="s">
        <v>53</v>
      </c>
      <c r="D16" s="38" t="s">
        <v>70</v>
      </c>
      <c r="E16" s="39" t="n">
        <v>28</v>
      </c>
      <c r="F16" s="40" t="n">
        <v>13900</v>
      </c>
      <c r="G16" s="31"/>
      <c r="O16" s="44" t="n">
        <f aca="false">E16*F16</f>
        <v>389200</v>
      </c>
    </row>
    <row r="17" customFormat="false" ht="15" hidden="false" customHeight="false" outlineLevel="0" collapsed="false">
      <c r="A17" s="27" t="n">
        <v>45761</v>
      </c>
      <c r="B17" s="28" t="s">
        <v>73</v>
      </c>
      <c r="C17" s="28" t="s">
        <v>74</v>
      </c>
      <c r="D17" s="28" t="s">
        <v>75</v>
      </c>
      <c r="E17" s="29" t="n">
        <v>27</v>
      </c>
      <c r="F17" s="30" t="n">
        <v>58500</v>
      </c>
      <c r="G17" s="31"/>
      <c r="O17" s="44" t="n">
        <f aca="false">E17*F17</f>
        <v>1579500</v>
      </c>
    </row>
    <row r="18" customFormat="false" ht="15" hidden="false" customHeight="false" outlineLevel="0" collapsed="false">
      <c r="A18" s="37" t="n">
        <v>45764</v>
      </c>
      <c r="B18" s="38" t="s">
        <v>46</v>
      </c>
      <c r="C18" s="38" t="s">
        <v>76</v>
      </c>
      <c r="D18" s="38" t="s">
        <v>65</v>
      </c>
      <c r="E18" s="39" t="n">
        <v>15</v>
      </c>
      <c r="F18" s="40" t="n">
        <v>26900</v>
      </c>
      <c r="G18" s="31"/>
      <c r="O18" s="44" t="n">
        <f aca="false">E18*F18</f>
        <v>403500</v>
      </c>
    </row>
    <row r="19" customFormat="false" ht="15" hidden="false" customHeight="false" outlineLevel="0" collapsed="false">
      <c r="A19" s="27" t="n">
        <v>45767</v>
      </c>
      <c r="B19" s="28" t="s">
        <v>63</v>
      </c>
      <c r="C19" s="28" t="s">
        <v>64</v>
      </c>
      <c r="D19" s="28" t="s">
        <v>77</v>
      </c>
      <c r="E19" s="29" t="n">
        <v>37</v>
      </c>
      <c r="F19" s="30" t="n">
        <v>160300</v>
      </c>
      <c r="G19" s="31"/>
      <c r="O19" s="44" t="n">
        <f aca="false">E19*F19</f>
        <v>5931100</v>
      </c>
    </row>
    <row r="20" customFormat="false" ht="15" hidden="false" customHeight="false" outlineLevel="0" collapsed="false">
      <c r="A20" s="37" t="n">
        <v>45769</v>
      </c>
      <c r="B20" s="38" t="s">
        <v>63</v>
      </c>
      <c r="C20" s="38" t="s">
        <v>47</v>
      </c>
      <c r="D20" s="38" t="s">
        <v>65</v>
      </c>
      <c r="E20" s="39" t="n">
        <v>13</v>
      </c>
      <c r="F20" s="40" t="n">
        <v>10400</v>
      </c>
      <c r="G20" s="31"/>
      <c r="O20" s="44" t="n">
        <f aca="false">E20*F20</f>
        <v>135200</v>
      </c>
    </row>
    <row r="21" customFormat="false" ht="15" hidden="false" customHeight="false" outlineLevel="0" collapsed="false">
      <c r="A21" s="27" t="n">
        <v>45772</v>
      </c>
      <c r="B21" s="28" t="s">
        <v>78</v>
      </c>
      <c r="C21" s="28" t="s">
        <v>53</v>
      </c>
      <c r="D21" s="28" t="s">
        <v>79</v>
      </c>
      <c r="E21" s="29" t="n">
        <v>21</v>
      </c>
      <c r="F21" s="30" t="n">
        <v>15700</v>
      </c>
      <c r="G21" s="31"/>
      <c r="O21" s="44" t="n">
        <f aca="false">E21*F21</f>
        <v>329700</v>
      </c>
    </row>
    <row r="22" customFormat="false" ht="15" hidden="false" customHeight="false" outlineLevel="0" collapsed="false">
      <c r="A22" s="37" t="n">
        <v>45773</v>
      </c>
      <c r="B22" s="38" t="s">
        <v>46</v>
      </c>
      <c r="C22" s="38" t="s">
        <v>53</v>
      </c>
      <c r="D22" s="38" t="s">
        <v>48</v>
      </c>
      <c r="E22" s="39" t="n">
        <v>2</v>
      </c>
      <c r="F22" s="40" t="n">
        <v>15400</v>
      </c>
      <c r="G22" s="31"/>
      <c r="O22" s="44" t="n">
        <f aca="false">E22*F22</f>
        <v>30800</v>
      </c>
    </row>
    <row r="23" customFormat="false" ht="15" hidden="false" customHeight="false" outlineLevel="0" collapsed="false">
      <c r="A23" s="27" t="n">
        <v>45776</v>
      </c>
      <c r="B23" s="28" t="s">
        <v>73</v>
      </c>
      <c r="C23" s="28" t="s">
        <v>76</v>
      </c>
      <c r="D23" s="28" t="s">
        <v>70</v>
      </c>
      <c r="E23" s="29" t="n">
        <v>11</v>
      </c>
      <c r="F23" s="30" t="n">
        <v>22700</v>
      </c>
      <c r="G23" s="31"/>
      <c r="O23" s="44" t="n">
        <f aca="false">E23*F23</f>
        <v>249700</v>
      </c>
    </row>
    <row r="24" customFormat="false" ht="15" hidden="false" customHeight="false" outlineLevel="0" collapsed="false">
      <c r="A24" s="37" t="n">
        <v>45782</v>
      </c>
      <c r="B24" s="38" t="s">
        <v>63</v>
      </c>
      <c r="C24" s="38" t="s">
        <v>74</v>
      </c>
      <c r="D24" s="38" t="s">
        <v>48</v>
      </c>
      <c r="E24" s="39" t="n">
        <v>21</v>
      </c>
      <c r="F24" s="40" t="n">
        <v>66900</v>
      </c>
      <c r="G24" s="31"/>
      <c r="O24" s="44" t="n">
        <f aca="false">E24*F24</f>
        <v>1404900</v>
      </c>
    </row>
    <row r="25" customFormat="false" ht="15" hidden="false" customHeight="false" outlineLevel="0" collapsed="false">
      <c r="A25" s="27" t="n">
        <v>45782</v>
      </c>
      <c r="B25" s="28" t="s">
        <v>63</v>
      </c>
      <c r="C25" s="28" t="s">
        <v>47</v>
      </c>
      <c r="D25" s="28" t="s">
        <v>75</v>
      </c>
      <c r="E25" s="29" t="n">
        <v>13</v>
      </c>
      <c r="F25" s="30" t="n">
        <v>10300</v>
      </c>
      <c r="G25" s="31"/>
      <c r="O25" s="44" t="n">
        <f aca="false">E25*F25</f>
        <v>133900</v>
      </c>
    </row>
    <row r="26" customFormat="false" ht="15" hidden="false" customHeight="false" outlineLevel="0" collapsed="false">
      <c r="A26" s="37" t="n">
        <v>45782</v>
      </c>
      <c r="B26" s="38" t="s">
        <v>73</v>
      </c>
      <c r="C26" s="38" t="s">
        <v>74</v>
      </c>
      <c r="D26" s="38" t="s">
        <v>65</v>
      </c>
      <c r="E26" s="39" t="n">
        <v>29</v>
      </c>
      <c r="F26" s="40" t="n">
        <v>67400</v>
      </c>
      <c r="G26" s="31"/>
      <c r="O26" s="44" t="n">
        <f aca="false">E26*F26</f>
        <v>1954600</v>
      </c>
    </row>
    <row r="27" customFormat="false" ht="15" hidden="false" customHeight="false" outlineLevel="0" collapsed="false">
      <c r="A27" s="27" t="n">
        <v>45786</v>
      </c>
      <c r="B27" s="28" t="s">
        <v>52</v>
      </c>
      <c r="C27" s="28" t="s">
        <v>53</v>
      </c>
      <c r="D27" s="28" t="s">
        <v>80</v>
      </c>
      <c r="E27" s="29" t="n">
        <v>24</v>
      </c>
      <c r="F27" s="30" t="n">
        <v>13400</v>
      </c>
      <c r="G27" s="31"/>
      <c r="O27" s="44" t="n">
        <f aca="false">E27*F27</f>
        <v>321600</v>
      </c>
    </row>
    <row r="28" customFormat="false" ht="15" hidden="false" customHeight="false" outlineLevel="0" collapsed="false">
      <c r="A28" s="37" t="n">
        <v>45787</v>
      </c>
      <c r="B28" s="38" t="s">
        <v>46</v>
      </c>
      <c r="C28" s="38" t="s">
        <v>47</v>
      </c>
      <c r="D28" s="38" t="s">
        <v>65</v>
      </c>
      <c r="E28" s="39" t="n">
        <v>21</v>
      </c>
      <c r="F28" s="40" t="n">
        <v>9900</v>
      </c>
      <c r="G28" s="31"/>
      <c r="O28" s="44" t="n">
        <f aca="false">E28*F28</f>
        <v>207900</v>
      </c>
    </row>
    <row r="29" customFormat="false" ht="15" hidden="false" customHeight="false" outlineLevel="0" collapsed="false">
      <c r="A29" s="27" t="n">
        <v>45791</v>
      </c>
      <c r="B29" s="28" t="s">
        <v>78</v>
      </c>
      <c r="C29" s="28" t="s">
        <v>53</v>
      </c>
      <c r="D29" s="28" t="s">
        <v>80</v>
      </c>
      <c r="E29" s="29" t="n">
        <v>21</v>
      </c>
      <c r="F29" s="30" t="n">
        <v>15200</v>
      </c>
      <c r="G29" s="31"/>
      <c r="O29" s="44" t="n">
        <f aca="false">E29*F29</f>
        <v>319200</v>
      </c>
    </row>
    <row r="30" customFormat="false" ht="15" hidden="false" customHeight="false" outlineLevel="0" collapsed="false">
      <c r="A30" s="37" t="n">
        <v>45794</v>
      </c>
      <c r="B30" s="38" t="s">
        <v>46</v>
      </c>
      <c r="C30" s="38" t="s">
        <v>47</v>
      </c>
      <c r="D30" s="38" t="s">
        <v>60</v>
      </c>
      <c r="E30" s="39" t="n">
        <v>17</v>
      </c>
      <c r="F30" s="40" t="n">
        <v>10200</v>
      </c>
      <c r="G30" s="31"/>
      <c r="O30" s="44" t="n">
        <f aca="false">E30*F30</f>
        <v>173400</v>
      </c>
    </row>
    <row r="31" customFormat="false" ht="15" hidden="false" customHeight="false" outlineLevel="0" collapsed="false">
      <c r="A31" s="27" t="n">
        <v>45797</v>
      </c>
      <c r="B31" s="28" t="s">
        <v>63</v>
      </c>
      <c r="C31" s="28" t="s">
        <v>64</v>
      </c>
      <c r="D31" s="28" t="s">
        <v>48</v>
      </c>
      <c r="E31" s="29" t="n">
        <v>8</v>
      </c>
      <c r="F31" s="30" t="n">
        <v>136000</v>
      </c>
      <c r="G31" s="31"/>
      <c r="O31" s="44" t="n">
        <f aca="false">E31*F31</f>
        <v>1088000</v>
      </c>
    </row>
    <row r="32" customFormat="false" ht="15" hidden="false" customHeight="false" outlineLevel="0" collapsed="false">
      <c r="A32" s="37" t="n">
        <v>45797</v>
      </c>
      <c r="B32" s="38" t="s">
        <v>52</v>
      </c>
      <c r="C32" s="38" t="s">
        <v>53</v>
      </c>
      <c r="D32" s="38" t="s">
        <v>80</v>
      </c>
      <c r="E32" s="39" t="n">
        <v>37</v>
      </c>
      <c r="F32" s="40" t="n">
        <v>14000</v>
      </c>
      <c r="G32" s="31"/>
      <c r="O32" s="44" t="n">
        <f aca="false">E32*F32</f>
        <v>518000</v>
      </c>
    </row>
    <row r="33" customFormat="false" ht="15" hidden="false" customHeight="false" outlineLevel="0" collapsed="false">
      <c r="A33" s="27" t="n">
        <v>45798</v>
      </c>
      <c r="B33" s="28" t="s">
        <v>63</v>
      </c>
      <c r="C33" s="28" t="s">
        <v>57</v>
      </c>
      <c r="D33" s="28" t="s">
        <v>70</v>
      </c>
      <c r="E33" s="29" t="n">
        <v>19</v>
      </c>
      <c r="F33" s="30" t="n">
        <v>5000</v>
      </c>
      <c r="G33" s="31"/>
      <c r="O33" s="44" t="n">
        <f aca="false">E33*F33</f>
        <v>95000</v>
      </c>
    </row>
    <row r="34" customFormat="false" ht="15" hidden="false" customHeight="false" outlineLevel="0" collapsed="false">
      <c r="A34" s="37" t="n">
        <v>45798</v>
      </c>
      <c r="B34" s="38" t="s">
        <v>52</v>
      </c>
      <c r="C34" s="38" t="s">
        <v>64</v>
      </c>
      <c r="D34" s="38" t="s">
        <v>54</v>
      </c>
      <c r="E34" s="39" t="n">
        <v>18</v>
      </c>
      <c r="F34" s="40" t="n">
        <v>164300</v>
      </c>
      <c r="G34" s="31"/>
      <c r="O34" s="44" t="n">
        <f aca="false">E34*F34</f>
        <v>2957400</v>
      </c>
    </row>
    <row r="35" customFormat="false" ht="15" hidden="false" customHeight="false" outlineLevel="0" collapsed="false">
      <c r="A35" s="27" t="n">
        <v>45800</v>
      </c>
      <c r="B35" s="28" t="s">
        <v>46</v>
      </c>
      <c r="C35" s="28" t="s">
        <v>47</v>
      </c>
      <c r="D35" s="28" t="s">
        <v>54</v>
      </c>
      <c r="E35" s="29" t="n">
        <v>3</v>
      </c>
      <c r="F35" s="30" t="n">
        <v>8900</v>
      </c>
      <c r="G35" s="31"/>
      <c r="O35" s="44" t="n">
        <f aca="false">E35*F35</f>
        <v>26700</v>
      </c>
    </row>
    <row r="36" customFormat="false" ht="15" hidden="false" customHeight="false" outlineLevel="0" collapsed="false">
      <c r="A36" s="37" t="n">
        <v>45800</v>
      </c>
      <c r="B36" s="38" t="s">
        <v>63</v>
      </c>
      <c r="C36" s="38" t="s">
        <v>64</v>
      </c>
      <c r="D36" s="38" t="s">
        <v>70</v>
      </c>
      <c r="E36" s="39" t="n">
        <v>38</v>
      </c>
      <c r="F36" s="40" t="n">
        <v>140200</v>
      </c>
      <c r="G36" s="31"/>
      <c r="O36" s="44" t="n">
        <f aca="false">E36*F36</f>
        <v>5327600</v>
      </c>
    </row>
    <row r="37" customFormat="false" ht="15" hidden="false" customHeight="false" outlineLevel="0" collapsed="false">
      <c r="A37" s="27" t="n">
        <v>45802</v>
      </c>
      <c r="B37" s="28" t="s">
        <v>78</v>
      </c>
      <c r="C37" s="28" t="s">
        <v>64</v>
      </c>
      <c r="D37" s="28" t="s">
        <v>79</v>
      </c>
      <c r="E37" s="29" t="n">
        <v>18</v>
      </c>
      <c r="F37" s="30" t="n">
        <v>168200</v>
      </c>
      <c r="G37" s="31"/>
      <c r="O37" s="44" t="n">
        <f aca="false">E37*F37</f>
        <v>3027600</v>
      </c>
    </row>
    <row r="38" customFormat="false" ht="15" hidden="false" customHeight="false" outlineLevel="0" collapsed="false">
      <c r="A38" s="37" t="n">
        <v>45803</v>
      </c>
      <c r="B38" s="38" t="s">
        <v>73</v>
      </c>
      <c r="C38" s="38" t="s">
        <v>74</v>
      </c>
      <c r="D38" s="38" t="s">
        <v>65</v>
      </c>
      <c r="E38" s="39" t="n">
        <v>14</v>
      </c>
      <c r="F38" s="40" t="n">
        <v>70700</v>
      </c>
      <c r="G38" s="31"/>
      <c r="O38" s="44" t="n">
        <f aca="false">E38*F38</f>
        <v>989800</v>
      </c>
    </row>
    <row r="39" customFormat="false" ht="15" hidden="false" customHeight="false" outlineLevel="0" collapsed="false">
      <c r="A39" s="27" t="n">
        <v>45810</v>
      </c>
      <c r="B39" s="28" t="s">
        <v>78</v>
      </c>
      <c r="C39" s="28" t="s">
        <v>74</v>
      </c>
      <c r="D39" s="28" t="s">
        <v>60</v>
      </c>
      <c r="E39" s="29" t="n">
        <v>28</v>
      </c>
      <c r="F39" s="30" t="n">
        <v>62700</v>
      </c>
      <c r="G39" s="31"/>
      <c r="O39" s="44" t="n">
        <f aca="false">E39*F39</f>
        <v>1755600</v>
      </c>
    </row>
    <row r="40" customFormat="false" ht="15" hidden="false" customHeight="false" outlineLevel="0" collapsed="false">
      <c r="A40" s="37" t="n">
        <v>45813</v>
      </c>
      <c r="B40" s="38" t="s">
        <v>78</v>
      </c>
      <c r="C40" s="38" t="s">
        <v>76</v>
      </c>
      <c r="D40" s="38" t="s">
        <v>60</v>
      </c>
      <c r="E40" s="39" t="n">
        <v>15</v>
      </c>
      <c r="F40" s="40" t="n">
        <v>25700</v>
      </c>
      <c r="G40" s="31"/>
      <c r="O40" s="44" t="n">
        <f aca="false">E40*F40</f>
        <v>385500</v>
      </c>
    </row>
    <row r="41" customFormat="false" ht="15" hidden="false" customHeight="false" outlineLevel="0" collapsed="false">
      <c r="A41" s="27" t="n">
        <v>45815</v>
      </c>
      <c r="B41" s="28" t="s">
        <v>63</v>
      </c>
      <c r="C41" s="28" t="s">
        <v>74</v>
      </c>
      <c r="D41" s="28" t="s">
        <v>77</v>
      </c>
      <c r="E41" s="29" t="n">
        <v>24</v>
      </c>
      <c r="F41" s="30" t="n">
        <v>68000</v>
      </c>
      <c r="G41" s="31"/>
      <c r="O41" s="44" t="n">
        <f aca="false">E41*F41</f>
        <v>1632000</v>
      </c>
    </row>
    <row r="42" customFormat="false" ht="15" hidden="false" customHeight="false" outlineLevel="0" collapsed="false">
      <c r="A42" s="37" t="n">
        <v>45818</v>
      </c>
      <c r="B42" s="38" t="s">
        <v>63</v>
      </c>
      <c r="C42" s="38" t="s">
        <v>53</v>
      </c>
      <c r="D42" s="38" t="s">
        <v>79</v>
      </c>
      <c r="E42" s="39" t="n">
        <v>1</v>
      </c>
      <c r="F42" s="40" t="n">
        <v>16600</v>
      </c>
      <c r="G42" s="31"/>
      <c r="O42" s="44" t="n">
        <f aca="false">E42*F42</f>
        <v>16600</v>
      </c>
    </row>
    <row r="43" customFormat="false" ht="15" hidden="false" customHeight="false" outlineLevel="0" collapsed="false">
      <c r="A43" s="27" t="n">
        <v>45826</v>
      </c>
      <c r="B43" s="28" t="s">
        <v>52</v>
      </c>
      <c r="C43" s="28" t="s">
        <v>76</v>
      </c>
      <c r="D43" s="28" t="s">
        <v>77</v>
      </c>
      <c r="E43" s="29" t="n">
        <v>19</v>
      </c>
      <c r="F43" s="30" t="n">
        <v>25300</v>
      </c>
      <c r="G43" s="31"/>
      <c r="O43" s="44" t="n">
        <f aca="false">E43*F43</f>
        <v>480700</v>
      </c>
    </row>
    <row r="44" customFormat="false" ht="15" hidden="false" customHeight="false" outlineLevel="0" collapsed="false">
      <c r="A44" s="37" t="n">
        <v>45827</v>
      </c>
      <c r="B44" s="38" t="s">
        <v>73</v>
      </c>
      <c r="C44" s="38" t="s">
        <v>76</v>
      </c>
      <c r="D44" s="38" t="s">
        <v>81</v>
      </c>
      <c r="E44" s="39" t="n">
        <v>25</v>
      </c>
      <c r="F44" s="40" t="n">
        <v>21300</v>
      </c>
      <c r="G44" s="31"/>
      <c r="O44" s="44" t="n">
        <f aca="false">E44*F44</f>
        <v>532500</v>
      </c>
    </row>
    <row r="45" customFormat="false" ht="15" hidden="false" customHeight="false" outlineLevel="0" collapsed="false">
      <c r="A45" s="27" t="n">
        <v>45827</v>
      </c>
      <c r="B45" s="28" t="s">
        <v>78</v>
      </c>
      <c r="C45" s="28" t="s">
        <v>76</v>
      </c>
      <c r="D45" s="28" t="s">
        <v>77</v>
      </c>
      <c r="E45" s="29" t="n">
        <v>26</v>
      </c>
      <c r="F45" s="30" t="n">
        <v>26200</v>
      </c>
      <c r="G45" s="31"/>
      <c r="O45" s="44" t="n">
        <f aca="false">E45*F45</f>
        <v>681200</v>
      </c>
    </row>
    <row r="46" customFormat="false" ht="15" hidden="false" customHeight="false" outlineLevel="0" collapsed="false">
      <c r="A46" s="37" t="n">
        <v>45832</v>
      </c>
      <c r="B46" s="38" t="s">
        <v>63</v>
      </c>
      <c r="C46" s="38" t="s">
        <v>47</v>
      </c>
      <c r="D46" s="38" t="s">
        <v>65</v>
      </c>
      <c r="E46" s="39" t="n">
        <v>35</v>
      </c>
      <c r="F46" s="40" t="n">
        <v>9400</v>
      </c>
      <c r="G46" s="31"/>
      <c r="O46" s="44" t="n">
        <f aca="false">E46*F46</f>
        <v>329000</v>
      </c>
    </row>
    <row r="47" customFormat="false" ht="15" hidden="false" customHeight="false" outlineLevel="0" collapsed="false">
      <c r="A47" s="27" t="n">
        <v>45833</v>
      </c>
      <c r="B47" s="28" t="s">
        <v>73</v>
      </c>
      <c r="C47" s="28" t="s">
        <v>64</v>
      </c>
      <c r="D47" s="28" t="s">
        <v>75</v>
      </c>
      <c r="E47" s="29" t="n">
        <v>9</v>
      </c>
      <c r="F47" s="30" t="n">
        <v>145300</v>
      </c>
      <c r="G47" s="31"/>
      <c r="O47" s="44" t="n">
        <f aca="false">E47*F47</f>
        <v>1307700</v>
      </c>
    </row>
    <row r="48" customFormat="false" ht="15" hidden="false" customHeight="false" outlineLevel="0" collapsed="false">
      <c r="A48" s="37" t="n">
        <v>45835</v>
      </c>
      <c r="B48" s="38" t="s">
        <v>63</v>
      </c>
      <c r="C48" s="38" t="s">
        <v>74</v>
      </c>
      <c r="D48" s="38" t="s">
        <v>60</v>
      </c>
      <c r="E48" s="39" t="n">
        <v>22</v>
      </c>
      <c r="F48" s="40" t="n">
        <v>56400</v>
      </c>
      <c r="G48" s="31"/>
      <c r="O48" s="44" t="n">
        <f aca="false">E48*F48</f>
        <v>1240800</v>
      </c>
    </row>
    <row r="49" customFormat="false" ht="15" hidden="false" customHeight="false" outlineLevel="0" collapsed="false">
      <c r="A49" s="27" t="n">
        <v>45839</v>
      </c>
      <c r="B49" s="28" t="s">
        <v>46</v>
      </c>
      <c r="C49" s="28" t="s">
        <v>64</v>
      </c>
      <c r="D49" s="28" t="s">
        <v>65</v>
      </c>
      <c r="E49" s="29" t="n">
        <v>33</v>
      </c>
      <c r="F49" s="30" t="n">
        <v>156300</v>
      </c>
      <c r="G49" s="31"/>
      <c r="O49" s="44" t="n">
        <f aca="false">E49*F49</f>
        <v>5157900</v>
      </c>
    </row>
    <row r="50" customFormat="false" ht="15" hidden="false" customHeight="false" outlineLevel="0" collapsed="false">
      <c r="A50" s="37" t="n">
        <v>45846</v>
      </c>
      <c r="B50" s="38" t="s">
        <v>73</v>
      </c>
      <c r="C50" s="38" t="s">
        <v>64</v>
      </c>
      <c r="D50" s="38" t="s">
        <v>75</v>
      </c>
      <c r="E50" s="39" t="n">
        <v>23</v>
      </c>
      <c r="F50" s="40" t="n">
        <v>153100</v>
      </c>
      <c r="G50" s="31"/>
      <c r="O50" s="44" t="n">
        <f aca="false">E50*F50</f>
        <v>3521300</v>
      </c>
    </row>
    <row r="51" customFormat="false" ht="15" hidden="false" customHeight="false" outlineLevel="0" collapsed="false">
      <c r="A51" s="27" t="n">
        <v>45848</v>
      </c>
      <c r="B51" s="28" t="s">
        <v>46</v>
      </c>
      <c r="C51" s="28" t="s">
        <v>53</v>
      </c>
      <c r="D51" s="28" t="s">
        <v>60</v>
      </c>
      <c r="E51" s="29" t="n">
        <v>23</v>
      </c>
      <c r="F51" s="30" t="n">
        <v>14200</v>
      </c>
      <c r="G51" s="31"/>
      <c r="O51" s="44" t="n">
        <f aca="false">E51*F51</f>
        <v>326600</v>
      </c>
    </row>
    <row r="52" customFormat="false" ht="15" hidden="false" customHeight="false" outlineLevel="0" collapsed="false">
      <c r="A52" s="37" t="n">
        <v>45852</v>
      </c>
      <c r="B52" s="38" t="s">
        <v>63</v>
      </c>
      <c r="C52" s="38" t="s">
        <v>53</v>
      </c>
      <c r="D52" s="38" t="s">
        <v>75</v>
      </c>
      <c r="E52" s="39" t="n">
        <v>8</v>
      </c>
      <c r="F52" s="40" t="n">
        <v>15700</v>
      </c>
      <c r="G52" s="31"/>
      <c r="O52" s="44" t="n">
        <f aca="false">E52*F52</f>
        <v>125600</v>
      </c>
    </row>
    <row r="53" customFormat="false" ht="15" hidden="false" customHeight="false" outlineLevel="0" collapsed="false">
      <c r="A53" s="27" t="n">
        <v>45854</v>
      </c>
      <c r="B53" s="28" t="s">
        <v>63</v>
      </c>
      <c r="C53" s="28" t="s">
        <v>47</v>
      </c>
      <c r="D53" s="28" t="s">
        <v>75</v>
      </c>
      <c r="E53" s="29" t="n">
        <v>22</v>
      </c>
      <c r="F53" s="30" t="n">
        <v>10600</v>
      </c>
      <c r="G53" s="31"/>
      <c r="O53" s="44" t="n">
        <f aca="false">E53*F53</f>
        <v>233200</v>
      </c>
    </row>
    <row r="54" customFormat="false" ht="15" hidden="false" customHeight="false" outlineLevel="0" collapsed="false">
      <c r="A54" s="37" t="n">
        <v>45854</v>
      </c>
      <c r="B54" s="38" t="s">
        <v>46</v>
      </c>
      <c r="C54" s="38" t="s">
        <v>74</v>
      </c>
      <c r="D54" s="38" t="s">
        <v>81</v>
      </c>
      <c r="E54" s="39" t="n">
        <v>13</v>
      </c>
      <c r="F54" s="40" t="n">
        <v>57700</v>
      </c>
      <c r="G54" s="31"/>
      <c r="O54" s="44" t="n">
        <f aca="false">E54*F54</f>
        <v>750100</v>
      </c>
    </row>
    <row r="55" customFormat="false" ht="15" hidden="false" customHeight="false" outlineLevel="0" collapsed="false">
      <c r="A55" s="27" t="n">
        <v>45855</v>
      </c>
      <c r="B55" s="28" t="s">
        <v>78</v>
      </c>
      <c r="C55" s="28" t="s">
        <v>53</v>
      </c>
      <c r="D55" s="28" t="s">
        <v>48</v>
      </c>
      <c r="E55" s="29" t="n">
        <v>4</v>
      </c>
      <c r="F55" s="30" t="n">
        <v>14600</v>
      </c>
      <c r="G55" s="31"/>
      <c r="O55" s="44" t="n">
        <f aca="false">E55*F55</f>
        <v>58400</v>
      </c>
    </row>
    <row r="56" customFormat="false" ht="15" hidden="false" customHeight="false" outlineLevel="0" collapsed="false">
      <c r="A56" s="37" t="n">
        <v>45862</v>
      </c>
      <c r="B56" s="38" t="s">
        <v>73</v>
      </c>
      <c r="C56" s="38" t="s">
        <v>47</v>
      </c>
      <c r="D56" s="38" t="s">
        <v>80</v>
      </c>
      <c r="E56" s="39" t="n">
        <v>13</v>
      </c>
      <c r="F56" s="40" t="n">
        <v>9700</v>
      </c>
      <c r="G56" s="31"/>
      <c r="O56" s="44" t="n">
        <f aca="false">E56*F56</f>
        <v>126100</v>
      </c>
    </row>
    <row r="57" customFormat="false" ht="15" hidden="false" customHeight="false" outlineLevel="0" collapsed="false">
      <c r="A57" s="27" t="n">
        <v>45862</v>
      </c>
      <c r="B57" s="28" t="s">
        <v>73</v>
      </c>
      <c r="C57" s="28" t="s">
        <v>64</v>
      </c>
      <c r="D57" s="28" t="s">
        <v>70</v>
      </c>
      <c r="E57" s="29" t="n">
        <v>37</v>
      </c>
      <c r="F57" s="30" t="n">
        <v>145400</v>
      </c>
      <c r="G57" s="31"/>
      <c r="O57" s="44" t="n">
        <f aca="false">E57*F57</f>
        <v>5379800</v>
      </c>
    </row>
    <row r="58" customFormat="false" ht="15" hidden="false" customHeight="false" outlineLevel="0" collapsed="false">
      <c r="A58" s="37" t="n">
        <v>45863</v>
      </c>
      <c r="B58" s="38" t="s">
        <v>63</v>
      </c>
      <c r="C58" s="38" t="s">
        <v>64</v>
      </c>
      <c r="D58" s="38" t="s">
        <v>81</v>
      </c>
      <c r="E58" s="39" t="n">
        <v>29</v>
      </c>
      <c r="F58" s="40" t="n">
        <v>147200</v>
      </c>
      <c r="G58" s="31"/>
      <c r="O58" s="44" t="n">
        <f aca="false">E58*F58</f>
        <v>4268800</v>
      </c>
    </row>
    <row r="59" customFormat="false" ht="15" hidden="false" customHeight="false" outlineLevel="0" collapsed="false">
      <c r="A59" s="27" t="n">
        <v>45863</v>
      </c>
      <c r="B59" s="28" t="s">
        <v>46</v>
      </c>
      <c r="C59" s="28" t="s">
        <v>76</v>
      </c>
      <c r="D59" s="28" t="s">
        <v>54</v>
      </c>
      <c r="E59" s="29" t="n">
        <v>10</v>
      </c>
      <c r="F59" s="30" t="n">
        <v>22800</v>
      </c>
      <c r="G59" s="31"/>
      <c r="O59" s="44" t="n">
        <f aca="false">E59*F59</f>
        <v>228000</v>
      </c>
    </row>
    <row r="60" customFormat="false" ht="15" hidden="false" customHeight="false" outlineLevel="0" collapsed="false">
      <c r="A60" s="37" t="n">
        <v>45864</v>
      </c>
      <c r="B60" s="38" t="s">
        <v>46</v>
      </c>
      <c r="C60" s="38" t="s">
        <v>64</v>
      </c>
      <c r="D60" s="38" t="s">
        <v>65</v>
      </c>
      <c r="E60" s="39" t="n">
        <v>34</v>
      </c>
      <c r="F60" s="40" t="n">
        <v>166100</v>
      </c>
      <c r="G60" s="31"/>
      <c r="O60" s="44" t="n">
        <f aca="false">E60*F60</f>
        <v>5647400</v>
      </c>
    </row>
    <row r="61" customFormat="false" ht="15" hidden="false" customHeight="false" outlineLevel="0" collapsed="false">
      <c r="A61" s="27" t="n">
        <v>45864</v>
      </c>
      <c r="B61" s="28" t="s">
        <v>46</v>
      </c>
      <c r="C61" s="28" t="s">
        <v>76</v>
      </c>
      <c r="D61" s="28" t="s">
        <v>79</v>
      </c>
      <c r="E61" s="29" t="n">
        <v>36</v>
      </c>
      <c r="F61" s="30" t="n">
        <v>21700</v>
      </c>
      <c r="G61" s="31"/>
      <c r="O61" s="44" t="n">
        <f aca="false">E61*F61</f>
        <v>781200</v>
      </c>
    </row>
    <row r="62" customFormat="false" ht="15" hidden="false" customHeight="false" outlineLevel="0" collapsed="false">
      <c r="A62" s="37" t="n">
        <v>45866</v>
      </c>
      <c r="B62" s="38" t="s">
        <v>52</v>
      </c>
      <c r="C62" s="38" t="s">
        <v>47</v>
      </c>
      <c r="D62" s="38" t="s">
        <v>81</v>
      </c>
      <c r="E62" s="39" t="n">
        <v>12</v>
      </c>
      <c r="F62" s="40" t="n">
        <v>10200</v>
      </c>
      <c r="G62" s="31"/>
      <c r="O62" s="44" t="n">
        <f aca="false">E62*F62</f>
        <v>122400</v>
      </c>
    </row>
    <row r="63" customFormat="false" ht="15" hidden="false" customHeight="false" outlineLevel="0" collapsed="false">
      <c r="A63" s="27" t="n">
        <v>45867</v>
      </c>
      <c r="B63" s="28" t="s">
        <v>63</v>
      </c>
      <c r="C63" s="28" t="s">
        <v>53</v>
      </c>
      <c r="D63" s="28" t="s">
        <v>79</v>
      </c>
      <c r="E63" s="29" t="n">
        <v>7</v>
      </c>
      <c r="F63" s="30" t="n">
        <v>15800</v>
      </c>
      <c r="G63" s="31"/>
      <c r="O63" s="44" t="n">
        <f aca="false">E63*F63</f>
        <v>110600</v>
      </c>
    </row>
    <row r="64" customFormat="false" ht="15" hidden="false" customHeight="false" outlineLevel="0" collapsed="false">
      <c r="A64" s="37" t="n">
        <v>45870</v>
      </c>
      <c r="B64" s="38" t="s">
        <v>52</v>
      </c>
      <c r="C64" s="38" t="s">
        <v>76</v>
      </c>
      <c r="D64" s="38" t="s">
        <v>70</v>
      </c>
      <c r="E64" s="39" t="n">
        <v>22</v>
      </c>
      <c r="F64" s="40" t="n">
        <v>23000</v>
      </c>
      <c r="G64" s="31"/>
      <c r="O64" s="44" t="n">
        <f aca="false">E64*F64</f>
        <v>506000</v>
      </c>
    </row>
    <row r="65" customFormat="false" ht="15" hidden="false" customHeight="false" outlineLevel="0" collapsed="false">
      <c r="A65" s="27" t="n">
        <v>45871</v>
      </c>
      <c r="B65" s="28" t="s">
        <v>52</v>
      </c>
      <c r="C65" s="28" t="s">
        <v>74</v>
      </c>
      <c r="D65" s="28" t="s">
        <v>81</v>
      </c>
      <c r="E65" s="29" t="n">
        <v>4</v>
      </c>
      <c r="F65" s="30" t="n">
        <v>66100</v>
      </c>
      <c r="G65" s="31"/>
      <c r="O65" s="44" t="n">
        <f aca="false">E65*F65</f>
        <v>264400</v>
      </c>
    </row>
    <row r="66" customFormat="false" ht="15" hidden="false" customHeight="false" outlineLevel="0" collapsed="false">
      <c r="A66" s="37" t="n">
        <v>45871</v>
      </c>
      <c r="B66" s="38" t="s">
        <v>73</v>
      </c>
      <c r="C66" s="38" t="s">
        <v>64</v>
      </c>
      <c r="D66" s="38" t="s">
        <v>77</v>
      </c>
      <c r="E66" s="39" t="n">
        <v>29</v>
      </c>
      <c r="F66" s="40" t="n">
        <v>133700</v>
      </c>
      <c r="G66" s="31"/>
      <c r="O66" s="44" t="n">
        <f aca="false">E66*F66</f>
        <v>3877300</v>
      </c>
    </row>
    <row r="67" customFormat="false" ht="15" hidden="false" customHeight="false" outlineLevel="0" collapsed="false">
      <c r="A67" s="27" t="n">
        <v>45873</v>
      </c>
      <c r="B67" s="28" t="s">
        <v>73</v>
      </c>
      <c r="C67" s="28" t="s">
        <v>47</v>
      </c>
      <c r="D67" s="28" t="s">
        <v>65</v>
      </c>
      <c r="E67" s="29" t="n">
        <v>30</v>
      </c>
      <c r="F67" s="30" t="n">
        <v>10400</v>
      </c>
      <c r="G67" s="31"/>
      <c r="O67" s="44" t="n">
        <f aca="false">E67*F67</f>
        <v>312000</v>
      </c>
    </row>
    <row r="68" customFormat="false" ht="15" hidden="false" customHeight="false" outlineLevel="0" collapsed="false">
      <c r="A68" s="37" t="n">
        <v>45875</v>
      </c>
      <c r="B68" s="38" t="s">
        <v>46</v>
      </c>
      <c r="C68" s="38" t="s">
        <v>53</v>
      </c>
      <c r="D68" s="38" t="s">
        <v>60</v>
      </c>
      <c r="E68" s="39" t="n">
        <v>2</v>
      </c>
      <c r="F68" s="40" t="n">
        <v>13500</v>
      </c>
      <c r="G68" s="31"/>
      <c r="O68" s="44" t="n">
        <f aca="false">E68*F68</f>
        <v>27000</v>
      </c>
    </row>
    <row r="69" customFormat="false" ht="15" hidden="false" customHeight="false" outlineLevel="0" collapsed="false">
      <c r="A69" s="27" t="n">
        <v>45878</v>
      </c>
      <c r="B69" s="28" t="s">
        <v>73</v>
      </c>
      <c r="C69" s="28" t="s">
        <v>64</v>
      </c>
      <c r="D69" s="28" t="s">
        <v>77</v>
      </c>
      <c r="E69" s="29" t="n">
        <v>31</v>
      </c>
      <c r="F69" s="30" t="n">
        <v>155500</v>
      </c>
      <c r="G69" s="31"/>
      <c r="O69" s="44" t="n">
        <f aca="false">E69*F69</f>
        <v>4820500</v>
      </c>
    </row>
    <row r="70" customFormat="false" ht="15" hidden="false" customHeight="false" outlineLevel="0" collapsed="false">
      <c r="A70" s="37" t="n">
        <v>45879</v>
      </c>
      <c r="B70" s="38" t="s">
        <v>78</v>
      </c>
      <c r="C70" s="38" t="s">
        <v>74</v>
      </c>
      <c r="D70" s="38" t="s">
        <v>80</v>
      </c>
      <c r="E70" s="39" t="n">
        <v>21</v>
      </c>
      <c r="F70" s="40" t="n">
        <v>69200</v>
      </c>
      <c r="G70" s="31"/>
      <c r="O70" s="44" t="n">
        <f aca="false">E70*F70</f>
        <v>1453200</v>
      </c>
    </row>
    <row r="71" customFormat="false" ht="15" hidden="false" customHeight="false" outlineLevel="0" collapsed="false">
      <c r="A71" s="27" t="n">
        <v>45880</v>
      </c>
      <c r="B71" s="28" t="s">
        <v>63</v>
      </c>
      <c r="C71" s="28" t="s">
        <v>47</v>
      </c>
      <c r="D71" s="28" t="s">
        <v>70</v>
      </c>
      <c r="E71" s="29" t="n">
        <v>19</v>
      </c>
      <c r="F71" s="30" t="n">
        <v>10400</v>
      </c>
      <c r="G71" s="31"/>
      <c r="O71" s="44" t="n">
        <f aca="false">E71*F71</f>
        <v>197600</v>
      </c>
    </row>
    <row r="72" customFormat="false" ht="15" hidden="false" customHeight="false" outlineLevel="0" collapsed="false">
      <c r="A72" s="37" t="n">
        <v>45883</v>
      </c>
      <c r="B72" s="38" t="s">
        <v>52</v>
      </c>
      <c r="C72" s="38" t="s">
        <v>74</v>
      </c>
      <c r="D72" s="38" t="s">
        <v>65</v>
      </c>
      <c r="E72" s="39" t="n">
        <v>5</v>
      </c>
      <c r="F72" s="40" t="n">
        <v>56000</v>
      </c>
      <c r="G72" s="31"/>
      <c r="O72" s="44" t="n">
        <f aca="false">E72*F72</f>
        <v>280000</v>
      </c>
    </row>
    <row r="73" customFormat="false" ht="15" hidden="false" customHeight="false" outlineLevel="0" collapsed="false">
      <c r="A73" s="27" t="n">
        <v>45884</v>
      </c>
      <c r="B73" s="28" t="s">
        <v>52</v>
      </c>
      <c r="C73" s="28" t="s">
        <v>64</v>
      </c>
      <c r="D73" s="28" t="s">
        <v>65</v>
      </c>
      <c r="E73" s="29" t="n">
        <v>16</v>
      </c>
      <c r="F73" s="30" t="n">
        <v>146000</v>
      </c>
      <c r="G73" s="31"/>
      <c r="O73" s="44" t="n">
        <f aca="false">E73*F73</f>
        <v>2336000</v>
      </c>
    </row>
    <row r="74" customFormat="false" ht="15" hidden="false" customHeight="false" outlineLevel="0" collapsed="false">
      <c r="A74" s="37" t="n">
        <v>45884</v>
      </c>
      <c r="B74" s="38" t="s">
        <v>78</v>
      </c>
      <c r="C74" s="38" t="s">
        <v>64</v>
      </c>
      <c r="D74" s="38" t="s">
        <v>80</v>
      </c>
      <c r="E74" s="39" t="n">
        <v>16</v>
      </c>
      <c r="F74" s="40" t="n">
        <v>157400</v>
      </c>
      <c r="G74" s="31"/>
      <c r="O74" s="44" t="n">
        <f aca="false">E74*F74</f>
        <v>2518400</v>
      </c>
    </row>
    <row r="75" customFormat="false" ht="15" hidden="false" customHeight="false" outlineLevel="0" collapsed="false">
      <c r="A75" s="27" t="n">
        <v>45884</v>
      </c>
      <c r="B75" s="28" t="s">
        <v>52</v>
      </c>
      <c r="C75" s="28" t="s">
        <v>74</v>
      </c>
      <c r="D75" s="28" t="s">
        <v>75</v>
      </c>
      <c r="E75" s="29" t="n">
        <v>5</v>
      </c>
      <c r="F75" s="30" t="n">
        <v>60700</v>
      </c>
      <c r="G75" s="31"/>
      <c r="O75" s="44" t="n">
        <f aca="false">E75*F75</f>
        <v>303500</v>
      </c>
    </row>
    <row r="76" customFormat="false" ht="15" hidden="false" customHeight="false" outlineLevel="0" collapsed="false">
      <c r="A76" s="37" t="n">
        <v>45885</v>
      </c>
      <c r="B76" s="38" t="s">
        <v>73</v>
      </c>
      <c r="C76" s="38" t="s">
        <v>47</v>
      </c>
      <c r="D76" s="38" t="s">
        <v>75</v>
      </c>
      <c r="E76" s="39" t="n">
        <v>14</v>
      </c>
      <c r="F76" s="40" t="n">
        <v>9300</v>
      </c>
      <c r="G76" s="31"/>
      <c r="O76" s="44" t="n">
        <f aca="false">E76*F76</f>
        <v>130200</v>
      </c>
    </row>
    <row r="77" customFormat="false" ht="15" hidden="false" customHeight="false" outlineLevel="0" collapsed="false">
      <c r="A77" s="27" t="n">
        <v>45890</v>
      </c>
      <c r="B77" s="28" t="s">
        <v>52</v>
      </c>
      <c r="C77" s="28" t="s">
        <v>64</v>
      </c>
      <c r="D77" s="28" t="s">
        <v>77</v>
      </c>
      <c r="E77" s="29" t="n">
        <v>36</v>
      </c>
      <c r="F77" s="30" t="n">
        <v>144500</v>
      </c>
      <c r="G77" s="31"/>
      <c r="O77" s="44" t="n">
        <f aca="false">E77*F77</f>
        <v>5202000</v>
      </c>
    </row>
    <row r="78" customFormat="false" ht="15" hidden="false" customHeight="false" outlineLevel="0" collapsed="false">
      <c r="A78" s="37" t="n">
        <v>45891</v>
      </c>
      <c r="B78" s="38" t="s">
        <v>52</v>
      </c>
      <c r="C78" s="38" t="s">
        <v>64</v>
      </c>
      <c r="D78" s="38" t="s">
        <v>79</v>
      </c>
      <c r="E78" s="39" t="n">
        <v>18</v>
      </c>
      <c r="F78" s="40" t="n">
        <v>168500</v>
      </c>
      <c r="G78" s="31"/>
      <c r="O78" s="44" t="n">
        <f aca="false">E78*F78</f>
        <v>3033000</v>
      </c>
    </row>
    <row r="79" customFormat="false" ht="15" hidden="false" customHeight="false" outlineLevel="0" collapsed="false">
      <c r="A79" s="27" t="n">
        <v>45891</v>
      </c>
      <c r="B79" s="28" t="s">
        <v>46</v>
      </c>
      <c r="C79" s="28" t="s">
        <v>53</v>
      </c>
      <c r="D79" s="28" t="s">
        <v>60</v>
      </c>
      <c r="E79" s="29" t="n">
        <v>9</v>
      </c>
      <c r="F79" s="30" t="n">
        <v>15800</v>
      </c>
      <c r="G79" s="31"/>
      <c r="O79" s="44" t="n">
        <f aca="false">E79*F79</f>
        <v>142200</v>
      </c>
    </row>
    <row r="80" customFormat="false" ht="15" hidden="false" customHeight="false" outlineLevel="0" collapsed="false">
      <c r="A80" s="37" t="n">
        <v>45893</v>
      </c>
      <c r="B80" s="38" t="s">
        <v>46</v>
      </c>
      <c r="C80" s="38" t="s">
        <v>53</v>
      </c>
      <c r="D80" s="38" t="s">
        <v>77</v>
      </c>
      <c r="E80" s="39" t="n">
        <v>24</v>
      </c>
      <c r="F80" s="40" t="n">
        <v>13500</v>
      </c>
      <c r="G80" s="31"/>
      <c r="O80" s="44" t="n">
        <f aca="false">E80*F80</f>
        <v>324000</v>
      </c>
    </row>
    <row r="81" customFormat="false" ht="15" hidden="false" customHeight="false" outlineLevel="0" collapsed="false">
      <c r="A81" s="27" t="n">
        <v>45901</v>
      </c>
      <c r="B81" s="28" t="s">
        <v>46</v>
      </c>
      <c r="C81" s="28" t="s">
        <v>57</v>
      </c>
      <c r="D81" s="28" t="s">
        <v>80</v>
      </c>
      <c r="E81" s="29" t="n">
        <v>10</v>
      </c>
      <c r="F81" s="30" t="n">
        <v>5600</v>
      </c>
      <c r="G81" s="31"/>
      <c r="O81" s="44" t="n">
        <f aca="false">E81*F81</f>
        <v>56000</v>
      </c>
    </row>
    <row r="82" customFormat="false" ht="15" hidden="false" customHeight="false" outlineLevel="0" collapsed="false">
      <c r="A82" s="37" t="n">
        <v>45905</v>
      </c>
      <c r="B82" s="38" t="s">
        <v>73</v>
      </c>
      <c r="C82" s="38" t="s">
        <v>76</v>
      </c>
      <c r="D82" s="38" t="s">
        <v>54</v>
      </c>
      <c r="E82" s="39" t="n">
        <v>32</v>
      </c>
      <c r="F82" s="40" t="n">
        <v>21700</v>
      </c>
      <c r="G82" s="31"/>
      <c r="O82" s="44" t="n">
        <f aca="false">E82*F82</f>
        <v>694400</v>
      </c>
    </row>
    <row r="83" customFormat="false" ht="15" hidden="false" customHeight="false" outlineLevel="0" collapsed="false">
      <c r="A83" s="27" t="n">
        <v>45905</v>
      </c>
      <c r="B83" s="28" t="s">
        <v>73</v>
      </c>
      <c r="C83" s="28" t="s">
        <v>53</v>
      </c>
      <c r="D83" s="28" t="s">
        <v>75</v>
      </c>
      <c r="E83" s="29" t="n">
        <v>6</v>
      </c>
      <c r="F83" s="30" t="n">
        <v>15500</v>
      </c>
      <c r="G83" s="31"/>
      <c r="O83" s="44" t="n">
        <f aca="false">E83*F83</f>
        <v>93000</v>
      </c>
    </row>
    <row r="84" customFormat="false" ht="15" hidden="false" customHeight="false" outlineLevel="0" collapsed="false">
      <c r="A84" s="37" t="n">
        <v>45906</v>
      </c>
      <c r="B84" s="38" t="s">
        <v>52</v>
      </c>
      <c r="C84" s="38" t="s">
        <v>76</v>
      </c>
      <c r="D84" s="38" t="s">
        <v>60</v>
      </c>
      <c r="E84" s="39" t="n">
        <v>2</v>
      </c>
      <c r="F84" s="40" t="n">
        <v>24700</v>
      </c>
      <c r="G84" s="31"/>
      <c r="O84" s="44" t="n">
        <f aca="false">E84*F84</f>
        <v>49400</v>
      </c>
    </row>
    <row r="85" customFormat="false" ht="15" hidden="false" customHeight="false" outlineLevel="0" collapsed="false">
      <c r="A85" s="27" t="n">
        <v>45906</v>
      </c>
      <c r="B85" s="28" t="s">
        <v>63</v>
      </c>
      <c r="C85" s="28" t="s">
        <v>47</v>
      </c>
      <c r="D85" s="28" t="s">
        <v>65</v>
      </c>
      <c r="E85" s="29" t="n">
        <v>32</v>
      </c>
      <c r="F85" s="30" t="n">
        <v>8900</v>
      </c>
      <c r="G85" s="31"/>
      <c r="O85" s="44" t="n">
        <f aca="false">E85*F85</f>
        <v>284800</v>
      </c>
    </row>
    <row r="86" customFormat="false" ht="15" hidden="false" customHeight="false" outlineLevel="0" collapsed="false">
      <c r="A86" s="37" t="n">
        <v>45907</v>
      </c>
      <c r="B86" s="38" t="s">
        <v>78</v>
      </c>
      <c r="C86" s="38" t="s">
        <v>74</v>
      </c>
      <c r="D86" s="38" t="s">
        <v>65</v>
      </c>
      <c r="E86" s="39" t="n">
        <v>12</v>
      </c>
      <c r="F86" s="40" t="n">
        <v>68600</v>
      </c>
      <c r="G86" s="31"/>
      <c r="O86" s="44" t="n">
        <f aca="false">E86*F86</f>
        <v>823200</v>
      </c>
    </row>
    <row r="87" customFormat="false" ht="15" hidden="false" customHeight="false" outlineLevel="0" collapsed="false">
      <c r="A87" s="27" t="n">
        <v>45907</v>
      </c>
      <c r="B87" s="28" t="s">
        <v>73</v>
      </c>
      <c r="C87" s="28" t="s">
        <v>53</v>
      </c>
      <c r="D87" s="28" t="s">
        <v>80</v>
      </c>
      <c r="E87" s="29" t="n">
        <v>35</v>
      </c>
      <c r="F87" s="30" t="n">
        <v>15600</v>
      </c>
      <c r="G87" s="31"/>
      <c r="O87" s="44" t="n">
        <f aca="false">E87*F87</f>
        <v>546000</v>
      </c>
    </row>
    <row r="88" customFormat="false" ht="15" hidden="false" customHeight="false" outlineLevel="0" collapsed="false">
      <c r="A88" s="37" t="n">
        <v>45908</v>
      </c>
      <c r="B88" s="38" t="s">
        <v>73</v>
      </c>
      <c r="C88" s="38" t="s">
        <v>74</v>
      </c>
      <c r="D88" s="38" t="s">
        <v>65</v>
      </c>
      <c r="E88" s="39" t="n">
        <v>9</v>
      </c>
      <c r="F88" s="40" t="n">
        <v>69300</v>
      </c>
      <c r="G88" s="31"/>
      <c r="O88" s="44" t="n">
        <f aca="false">E88*F88</f>
        <v>623700</v>
      </c>
    </row>
    <row r="89" customFormat="false" ht="15" hidden="false" customHeight="false" outlineLevel="0" collapsed="false">
      <c r="A89" s="27" t="n">
        <v>45908</v>
      </c>
      <c r="B89" s="28" t="s">
        <v>73</v>
      </c>
      <c r="C89" s="28" t="s">
        <v>57</v>
      </c>
      <c r="D89" s="28" t="s">
        <v>79</v>
      </c>
      <c r="E89" s="29" t="n">
        <v>35</v>
      </c>
      <c r="F89" s="30" t="n">
        <v>5800</v>
      </c>
      <c r="G89" s="31"/>
      <c r="O89" s="44" t="n">
        <f aca="false">E89*F89</f>
        <v>203000</v>
      </c>
    </row>
    <row r="90" customFormat="false" ht="15" hidden="false" customHeight="false" outlineLevel="0" collapsed="false">
      <c r="A90" s="37" t="n">
        <v>45910</v>
      </c>
      <c r="B90" s="38" t="s">
        <v>46</v>
      </c>
      <c r="C90" s="38" t="s">
        <v>74</v>
      </c>
      <c r="D90" s="38" t="s">
        <v>60</v>
      </c>
      <c r="E90" s="39" t="n">
        <v>11</v>
      </c>
      <c r="F90" s="40" t="n">
        <v>64300</v>
      </c>
      <c r="G90" s="31"/>
      <c r="O90" s="44" t="n">
        <f aca="false">E90*F90</f>
        <v>707300</v>
      </c>
    </row>
    <row r="91" customFormat="false" ht="15" hidden="false" customHeight="false" outlineLevel="0" collapsed="false">
      <c r="A91" s="27" t="n">
        <v>45911</v>
      </c>
      <c r="B91" s="28" t="s">
        <v>78</v>
      </c>
      <c r="C91" s="28" t="s">
        <v>53</v>
      </c>
      <c r="D91" s="28" t="s">
        <v>75</v>
      </c>
      <c r="E91" s="29" t="n">
        <v>38</v>
      </c>
      <c r="F91" s="30" t="n">
        <v>14700</v>
      </c>
      <c r="G91" s="31"/>
      <c r="O91" s="44" t="n">
        <f aca="false">E91*F91</f>
        <v>558600</v>
      </c>
    </row>
    <row r="92" customFormat="false" ht="15" hidden="false" customHeight="false" outlineLevel="0" collapsed="false">
      <c r="A92" s="37" t="n">
        <v>45913</v>
      </c>
      <c r="B92" s="38" t="s">
        <v>63</v>
      </c>
      <c r="C92" s="38" t="s">
        <v>74</v>
      </c>
      <c r="D92" s="38" t="s">
        <v>60</v>
      </c>
      <c r="E92" s="39" t="n">
        <v>10</v>
      </c>
      <c r="F92" s="40" t="n">
        <v>56600</v>
      </c>
      <c r="G92" s="31"/>
      <c r="O92" s="44" t="n">
        <f aca="false">E92*F92</f>
        <v>566000</v>
      </c>
    </row>
    <row r="93" customFormat="false" ht="15" hidden="false" customHeight="false" outlineLevel="0" collapsed="false">
      <c r="A93" s="27" t="n">
        <v>45915</v>
      </c>
      <c r="B93" s="28" t="s">
        <v>63</v>
      </c>
      <c r="C93" s="28" t="s">
        <v>74</v>
      </c>
      <c r="D93" s="28" t="s">
        <v>77</v>
      </c>
      <c r="E93" s="29" t="n">
        <v>15</v>
      </c>
      <c r="F93" s="30" t="n">
        <v>59500</v>
      </c>
      <c r="G93" s="31"/>
      <c r="O93" s="44" t="n">
        <f aca="false">E93*F93</f>
        <v>892500</v>
      </c>
    </row>
    <row r="94" customFormat="false" ht="15" hidden="false" customHeight="false" outlineLevel="0" collapsed="false">
      <c r="A94" s="37" t="n">
        <v>45917</v>
      </c>
      <c r="B94" s="38" t="s">
        <v>52</v>
      </c>
      <c r="C94" s="38" t="s">
        <v>64</v>
      </c>
      <c r="D94" s="38" t="s">
        <v>81</v>
      </c>
      <c r="E94" s="39" t="n">
        <v>25</v>
      </c>
      <c r="F94" s="40" t="n">
        <v>162700</v>
      </c>
      <c r="G94" s="31"/>
      <c r="O94" s="44" t="n">
        <f aca="false">E94*F94</f>
        <v>4067500</v>
      </c>
    </row>
    <row r="95" customFormat="false" ht="15" hidden="false" customHeight="false" outlineLevel="0" collapsed="false">
      <c r="A95" s="27" t="n">
        <v>45917</v>
      </c>
      <c r="B95" s="28" t="s">
        <v>63</v>
      </c>
      <c r="C95" s="28" t="s">
        <v>53</v>
      </c>
      <c r="D95" s="28" t="s">
        <v>81</v>
      </c>
      <c r="E95" s="29" t="n">
        <v>19</v>
      </c>
      <c r="F95" s="30" t="n">
        <v>14700</v>
      </c>
      <c r="G95" s="31"/>
      <c r="O95" s="44" t="n">
        <f aca="false">E95*F95</f>
        <v>279300</v>
      </c>
    </row>
    <row r="96" customFormat="false" ht="15" hidden="false" customHeight="false" outlineLevel="0" collapsed="false">
      <c r="A96" s="37" t="n">
        <v>45918</v>
      </c>
      <c r="B96" s="38" t="s">
        <v>46</v>
      </c>
      <c r="C96" s="38" t="s">
        <v>64</v>
      </c>
      <c r="D96" s="38" t="s">
        <v>48</v>
      </c>
      <c r="E96" s="39" t="n">
        <v>3</v>
      </c>
      <c r="F96" s="40" t="n">
        <v>145500</v>
      </c>
      <c r="G96" s="31"/>
      <c r="O96" s="44" t="n">
        <f aca="false">E96*F96</f>
        <v>436500</v>
      </c>
    </row>
    <row r="97" customFormat="false" ht="15" hidden="false" customHeight="false" outlineLevel="0" collapsed="false">
      <c r="A97" s="27" t="n">
        <v>45919</v>
      </c>
      <c r="B97" s="28" t="s">
        <v>63</v>
      </c>
      <c r="C97" s="28" t="s">
        <v>57</v>
      </c>
      <c r="D97" s="28" t="s">
        <v>81</v>
      </c>
      <c r="E97" s="29" t="n">
        <v>33</v>
      </c>
      <c r="F97" s="30" t="n">
        <v>4900</v>
      </c>
      <c r="G97" s="31"/>
      <c r="O97" s="44" t="n">
        <f aca="false">E97*F97</f>
        <v>161700</v>
      </c>
    </row>
    <row r="98" customFormat="false" ht="15" hidden="false" customHeight="false" outlineLevel="0" collapsed="false">
      <c r="A98" s="37" t="n">
        <v>45922</v>
      </c>
      <c r="B98" s="38" t="s">
        <v>52</v>
      </c>
      <c r="C98" s="38" t="s">
        <v>74</v>
      </c>
      <c r="D98" s="38" t="s">
        <v>80</v>
      </c>
      <c r="E98" s="39" t="n">
        <v>19</v>
      </c>
      <c r="F98" s="40" t="n">
        <v>59400</v>
      </c>
      <c r="G98" s="31"/>
      <c r="O98" s="44" t="n">
        <f aca="false">E98*F98</f>
        <v>1128600</v>
      </c>
    </row>
    <row r="99" customFormat="false" ht="15" hidden="false" customHeight="false" outlineLevel="0" collapsed="false">
      <c r="A99" s="27" t="n">
        <v>45924</v>
      </c>
      <c r="B99" s="28" t="s">
        <v>46</v>
      </c>
      <c r="C99" s="28" t="s">
        <v>74</v>
      </c>
      <c r="D99" s="28" t="s">
        <v>60</v>
      </c>
      <c r="E99" s="29" t="n">
        <v>18</v>
      </c>
      <c r="F99" s="30" t="n">
        <v>63100</v>
      </c>
      <c r="G99" s="31"/>
      <c r="O99" s="44" t="n">
        <f aca="false">E99*F99</f>
        <v>1135800</v>
      </c>
    </row>
    <row r="100" customFormat="false" ht="15" hidden="false" customHeight="false" outlineLevel="0" collapsed="false">
      <c r="A100" s="37" t="n">
        <v>45927</v>
      </c>
      <c r="B100" s="38" t="s">
        <v>78</v>
      </c>
      <c r="C100" s="38" t="s">
        <v>57</v>
      </c>
      <c r="D100" s="38" t="s">
        <v>79</v>
      </c>
      <c r="E100" s="39" t="n">
        <v>12</v>
      </c>
      <c r="F100" s="40" t="n">
        <v>5300</v>
      </c>
      <c r="G100" s="31"/>
      <c r="O100" s="44" t="n">
        <f aca="false">E100*F100</f>
        <v>63600</v>
      </c>
    </row>
    <row r="101" customFormat="false" ht="15" hidden="false" customHeight="false" outlineLevel="0" collapsed="false">
      <c r="A101" s="27" t="n">
        <v>45928</v>
      </c>
      <c r="B101" s="28" t="s">
        <v>73</v>
      </c>
      <c r="C101" s="28" t="s">
        <v>76</v>
      </c>
      <c r="D101" s="28" t="s">
        <v>60</v>
      </c>
      <c r="E101" s="29" t="n">
        <v>16</v>
      </c>
      <c r="F101" s="30" t="n">
        <v>23000</v>
      </c>
      <c r="G101" s="31"/>
      <c r="O101" s="44" t="n">
        <f aca="false">E101*F101</f>
        <v>368000</v>
      </c>
    </row>
    <row r="102" customFormat="false" ht="15" hidden="false" customHeight="false" outlineLevel="0" collapsed="false">
      <c r="A102" s="37" t="n">
        <v>45930</v>
      </c>
      <c r="B102" s="38" t="s">
        <v>78</v>
      </c>
      <c r="C102" s="38" t="s">
        <v>57</v>
      </c>
      <c r="D102" s="38" t="s">
        <v>54</v>
      </c>
      <c r="E102" s="39" t="n">
        <v>4</v>
      </c>
      <c r="F102" s="40" t="n">
        <v>5700</v>
      </c>
      <c r="G102" s="31"/>
      <c r="O102" s="44" t="n">
        <f aca="false">E102*F102</f>
        <v>22800</v>
      </c>
    </row>
    <row r="103" customFormat="false" ht="15" hidden="false" customHeight="false" outlineLevel="0" collapsed="false">
      <c r="A103" s="27" t="n">
        <v>45934</v>
      </c>
      <c r="B103" s="28" t="s">
        <v>78</v>
      </c>
      <c r="C103" s="28" t="s">
        <v>57</v>
      </c>
      <c r="D103" s="28" t="s">
        <v>70</v>
      </c>
      <c r="E103" s="29" t="n">
        <v>16</v>
      </c>
      <c r="F103" s="30" t="n">
        <v>5500</v>
      </c>
      <c r="G103" s="31"/>
      <c r="O103" s="44" t="n">
        <f aca="false">E103*F103</f>
        <v>88000</v>
      </c>
    </row>
    <row r="104" customFormat="false" ht="15" hidden="false" customHeight="false" outlineLevel="0" collapsed="false">
      <c r="A104" s="37" t="n">
        <v>45934</v>
      </c>
      <c r="B104" s="38" t="s">
        <v>63</v>
      </c>
      <c r="C104" s="38" t="s">
        <v>64</v>
      </c>
      <c r="D104" s="38" t="s">
        <v>48</v>
      </c>
      <c r="E104" s="39" t="n">
        <v>19</v>
      </c>
      <c r="F104" s="40" t="n">
        <v>160900</v>
      </c>
      <c r="G104" s="31"/>
      <c r="O104" s="44" t="n">
        <f aca="false">E104*F104</f>
        <v>3057100</v>
      </c>
    </row>
    <row r="105" customFormat="false" ht="15" hidden="false" customHeight="false" outlineLevel="0" collapsed="false">
      <c r="A105" s="27" t="n">
        <v>45935</v>
      </c>
      <c r="B105" s="28" t="s">
        <v>46</v>
      </c>
      <c r="C105" s="28" t="s">
        <v>47</v>
      </c>
      <c r="D105" s="28" t="s">
        <v>48</v>
      </c>
      <c r="E105" s="29" t="n">
        <v>27</v>
      </c>
      <c r="F105" s="30" t="n">
        <v>10600</v>
      </c>
      <c r="G105" s="31"/>
      <c r="O105" s="44" t="n">
        <f aca="false">E105*F105</f>
        <v>286200</v>
      </c>
    </row>
    <row r="106" customFormat="false" ht="15" hidden="false" customHeight="false" outlineLevel="0" collapsed="false">
      <c r="A106" s="37" t="n">
        <v>45935</v>
      </c>
      <c r="B106" s="38" t="s">
        <v>78</v>
      </c>
      <c r="C106" s="38" t="s">
        <v>64</v>
      </c>
      <c r="D106" s="38" t="s">
        <v>81</v>
      </c>
      <c r="E106" s="39" t="n">
        <v>36</v>
      </c>
      <c r="F106" s="40" t="n">
        <v>156900</v>
      </c>
      <c r="G106" s="31"/>
      <c r="O106" s="44" t="n">
        <f aca="false">E106*F106</f>
        <v>5648400</v>
      </c>
    </row>
    <row r="107" customFormat="false" ht="15" hidden="false" customHeight="false" outlineLevel="0" collapsed="false">
      <c r="A107" s="27" t="n">
        <v>45938</v>
      </c>
      <c r="B107" s="28" t="s">
        <v>63</v>
      </c>
      <c r="C107" s="28" t="s">
        <v>74</v>
      </c>
      <c r="D107" s="28" t="s">
        <v>81</v>
      </c>
      <c r="E107" s="29" t="n">
        <v>24</v>
      </c>
      <c r="F107" s="30" t="n">
        <v>70200</v>
      </c>
      <c r="G107" s="31"/>
      <c r="O107" s="44" t="n">
        <f aca="false">E107*F107</f>
        <v>1684800</v>
      </c>
    </row>
    <row r="108" customFormat="false" ht="15" hidden="false" customHeight="false" outlineLevel="0" collapsed="false">
      <c r="A108" s="37" t="n">
        <v>45941</v>
      </c>
      <c r="B108" s="38" t="s">
        <v>78</v>
      </c>
      <c r="C108" s="38" t="s">
        <v>53</v>
      </c>
      <c r="D108" s="38" t="s">
        <v>70</v>
      </c>
      <c r="E108" s="39" t="n">
        <v>24</v>
      </c>
      <c r="F108" s="40" t="n">
        <v>13800</v>
      </c>
      <c r="G108" s="31"/>
      <c r="O108" s="44" t="n">
        <f aca="false">E108*F108</f>
        <v>331200</v>
      </c>
    </row>
    <row r="109" customFormat="false" ht="15" hidden="false" customHeight="false" outlineLevel="0" collapsed="false">
      <c r="A109" s="27" t="n">
        <v>45944</v>
      </c>
      <c r="B109" s="28" t="s">
        <v>63</v>
      </c>
      <c r="C109" s="28" t="s">
        <v>76</v>
      </c>
      <c r="D109" s="28" t="s">
        <v>70</v>
      </c>
      <c r="E109" s="29" t="n">
        <v>17</v>
      </c>
      <c r="F109" s="30" t="n">
        <v>22000</v>
      </c>
      <c r="G109" s="31"/>
      <c r="O109" s="44" t="n">
        <f aca="false">E109*F109</f>
        <v>374000</v>
      </c>
    </row>
    <row r="110" customFormat="false" ht="15" hidden="false" customHeight="false" outlineLevel="0" collapsed="false">
      <c r="A110" s="37" t="n">
        <v>45946</v>
      </c>
      <c r="B110" s="38" t="s">
        <v>52</v>
      </c>
      <c r="C110" s="38" t="s">
        <v>53</v>
      </c>
      <c r="D110" s="38" t="s">
        <v>54</v>
      </c>
      <c r="E110" s="39" t="n">
        <v>37</v>
      </c>
      <c r="F110" s="40" t="n">
        <v>14700</v>
      </c>
      <c r="G110" s="31"/>
      <c r="O110" s="44" t="n">
        <f aca="false">E110*F110</f>
        <v>543900</v>
      </c>
    </row>
    <row r="111" customFormat="false" ht="15" hidden="false" customHeight="false" outlineLevel="0" collapsed="false">
      <c r="A111" s="27" t="n">
        <v>45958</v>
      </c>
      <c r="B111" s="28" t="s">
        <v>63</v>
      </c>
      <c r="C111" s="28" t="s">
        <v>76</v>
      </c>
      <c r="D111" s="28" t="s">
        <v>75</v>
      </c>
      <c r="E111" s="29" t="n">
        <v>16</v>
      </c>
      <c r="F111" s="30" t="n">
        <v>24600</v>
      </c>
      <c r="G111" s="31"/>
      <c r="O111" s="44" t="n">
        <f aca="false">E111*F111</f>
        <v>393600</v>
      </c>
    </row>
    <row r="112" customFormat="false" ht="15" hidden="false" customHeight="false" outlineLevel="0" collapsed="false">
      <c r="A112" s="37" t="n">
        <v>45959</v>
      </c>
      <c r="B112" s="38" t="s">
        <v>63</v>
      </c>
      <c r="C112" s="38" t="s">
        <v>57</v>
      </c>
      <c r="D112" s="38" t="s">
        <v>80</v>
      </c>
      <c r="E112" s="39" t="n">
        <v>2</v>
      </c>
      <c r="F112" s="40" t="n">
        <v>5700</v>
      </c>
      <c r="G112" s="31"/>
      <c r="O112" s="44" t="n">
        <f aca="false">E112*F112</f>
        <v>11400</v>
      </c>
    </row>
    <row r="113" customFormat="false" ht="15" hidden="false" customHeight="false" outlineLevel="0" collapsed="false">
      <c r="A113" s="27" t="n">
        <v>45961</v>
      </c>
      <c r="B113" s="28" t="s">
        <v>46</v>
      </c>
      <c r="C113" s="28" t="s">
        <v>53</v>
      </c>
      <c r="D113" s="28" t="s">
        <v>79</v>
      </c>
      <c r="E113" s="29" t="n">
        <v>3</v>
      </c>
      <c r="F113" s="30" t="n">
        <v>14000</v>
      </c>
      <c r="G113" s="31"/>
      <c r="O113" s="44" t="n">
        <f aca="false">E113*F113</f>
        <v>42000</v>
      </c>
    </row>
    <row r="114" customFormat="false" ht="15" hidden="false" customHeight="false" outlineLevel="0" collapsed="false">
      <c r="A114" s="37" t="n">
        <v>45967</v>
      </c>
      <c r="B114" s="38" t="s">
        <v>46</v>
      </c>
      <c r="C114" s="38" t="s">
        <v>74</v>
      </c>
      <c r="D114" s="38" t="s">
        <v>80</v>
      </c>
      <c r="E114" s="39" t="n">
        <v>27</v>
      </c>
      <c r="F114" s="40" t="n">
        <v>56800</v>
      </c>
      <c r="G114" s="31"/>
      <c r="O114" s="44" t="n">
        <f aca="false">E114*F114</f>
        <v>1533600</v>
      </c>
    </row>
    <row r="115" customFormat="false" ht="15" hidden="false" customHeight="false" outlineLevel="0" collapsed="false">
      <c r="A115" s="27" t="n">
        <v>45968</v>
      </c>
      <c r="B115" s="28" t="s">
        <v>46</v>
      </c>
      <c r="C115" s="28" t="s">
        <v>76</v>
      </c>
      <c r="D115" s="28" t="s">
        <v>81</v>
      </c>
      <c r="E115" s="29" t="n">
        <v>3</v>
      </c>
      <c r="F115" s="30" t="n">
        <v>26800</v>
      </c>
      <c r="G115" s="31"/>
      <c r="O115" s="44" t="n">
        <f aca="false">E115*F115</f>
        <v>80400</v>
      </c>
    </row>
    <row r="116" customFormat="false" ht="15" hidden="false" customHeight="false" outlineLevel="0" collapsed="false">
      <c r="A116" s="37" t="n">
        <v>45969</v>
      </c>
      <c r="B116" s="38" t="s">
        <v>46</v>
      </c>
      <c r="C116" s="38" t="s">
        <v>57</v>
      </c>
      <c r="D116" s="38" t="s">
        <v>54</v>
      </c>
      <c r="E116" s="39" t="n">
        <v>8</v>
      </c>
      <c r="F116" s="40" t="n">
        <v>6000</v>
      </c>
      <c r="G116" s="31"/>
      <c r="O116" s="44" t="n">
        <f aca="false">E116*F116</f>
        <v>48000</v>
      </c>
    </row>
    <row r="117" customFormat="false" ht="15" hidden="false" customHeight="false" outlineLevel="0" collapsed="false">
      <c r="A117" s="27" t="n">
        <v>45977</v>
      </c>
      <c r="B117" s="28" t="s">
        <v>78</v>
      </c>
      <c r="C117" s="28" t="s">
        <v>53</v>
      </c>
      <c r="D117" s="28" t="s">
        <v>60</v>
      </c>
      <c r="E117" s="29" t="n">
        <v>19</v>
      </c>
      <c r="F117" s="30" t="n">
        <v>15000</v>
      </c>
      <c r="G117" s="31"/>
      <c r="O117" s="44" t="n">
        <f aca="false">E117*F117</f>
        <v>285000</v>
      </c>
    </row>
    <row r="118" customFormat="false" ht="15" hidden="false" customHeight="false" outlineLevel="0" collapsed="false">
      <c r="A118" s="37" t="n">
        <v>45980</v>
      </c>
      <c r="B118" s="38" t="s">
        <v>78</v>
      </c>
      <c r="C118" s="38" t="s">
        <v>57</v>
      </c>
      <c r="D118" s="38" t="s">
        <v>54</v>
      </c>
      <c r="E118" s="39" t="n">
        <v>11</v>
      </c>
      <c r="F118" s="40" t="n">
        <v>5700</v>
      </c>
      <c r="G118" s="31"/>
      <c r="O118" s="44" t="n">
        <f aca="false">E118*F118</f>
        <v>62700</v>
      </c>
    </row>
    <row r="119" customFormat="false" ht="15" hidden="false" customHeight="false" outlineLevel="0" collapsed="false">
      <c r="A119" s="27" t="n">
        <v>45983</v>
      </c>
      <c r="B119" s="28" t="s">
        <v>46</v>
      </c>
      <c r="C119" s="28" t="s">
        <v>74</v>
      </c>
      <c r="D119" s="28" t="s">
        <v>79</v>
      </c>
      <c r="E119" s="29" t="n">
        <v>19</v>
      </c>
      <c r="F119" s="30" t="n">
        <v>60200</v>
      </c>
      <c r="G119" s="31"/>
      <c r="O119" s="44" t="n">
        <f aca="false">E119*F119</f>
        <v>1143800</v>
      </c>
    </row>
    <row r="120" customFormat="false" ht="15" hidden="false" customHeight="false" outlineLevel="0" collapsed="false">
      <c r="A120" s="37" t="n">
        <v>45984</v>
      </c>
      <c r="B120" s="38" t="s">
        <v>73</v>
      </c>
      <c r="C120" s="38" t="s">
        <v>53</v>
      </c>
      <c r="D120" s="38" t="s">
        <v>54</v>
      </c>
      <c r="E120" s="39" t="n">
        <v>37</v>
      </c>
      <c r="F120" s="40" t="n">
        <v>13500</v>
      </c>
      <c r="G120" s="31"/>
      <c r="O120" s="44" t="n">
        <f aca="false">E120*F120</f>
        <v>499500</v>
      </c>
    </row>
    <row r="121" customFormat="false" ht="15" hidden="false" customHeight="false" outlineLevel="0" collapsed="false">
      <c r="A121" s="27" t="n">
        <v>45990</v>
      </c>
      <c r="B121" s="28" t="s">
        <v>52</v>
      </c>
      <c r="C121" s="28" t="s">
        <v>53</v>
      </c>
      <c r="D121" s="28" t="s">
        <v>81</v>
      </c>
      <c r="E121" s="29" t="n">
        <v>12</v>
      </c>
      <c r="F121" s="30" t="n">
        <v>16300</v>
      </c>
      <c r="G121" s="31"/>
      <c r="O121" s="44" t="n">
        <f aca="false">E121*F121</f>
        <v>195600</v>
      </c>
    </row>
    <row r="122" customFormat="false" ht="15" hidden="false" customHeight="false" outlineLevel="0" collapsed="false">
      <c r="A122" s="37" t="n">
        <v>45992</v>
      </c>
      <c r="B122" s="38" t="s">
        <v>78</v>
      </c>
      <c r="C122" s="38" t="s">
        <v>47</v>
      </c>
      <c r="D122" s="38" t="s">
        <v>65</v>
      </c>
      <c r="E122" s="39" t="n">
        <v>5</v>
      </c>
      <c r="F122" s="40" t="n">
        <v>9000</v>
      </c>
      <c r="G122" s="31"/>
      <c r="O122" s="44" t="n">
        <f aca="false">E122*F122</f>
        <v>45000</v>
      </c>
    </row>
    <row r="123" customFormat="false" ht="15" hidden="false" customHeight="false" outlineLevel="0" collapsed="false">
      <c r="A123" s="27" t="n">
        <v>45993</v>
      </c>
      <c r="B123" s="28" t="s">
        <v>46</v>
      </c>
      <c r="C123" s="28" t="s">
        <v>64</v>
      </c>
      <c r="D123" s="28" t="s">
        <v>77</v>
      </c>
      <c r="E123" s="29" t="n">
        <v>16</v>
      </c>
      <c r="F123" s="30" t="n">
        <v>153900</v>
      </c>
      <c r="G123" s="31"/>
      <c r="O123" s="44" t="n">
        <f aca="false">E123*F123</f>
        <v>2462400</v>
      </c>
    </row>
    <row r="124" customFormat="false" ht="15" hidden="false" customHeight="false" outlineLevel="0" collapsed="false">
      <c r="A124" s="37" t="n">
        <v>45994</v>
      </c>
      <c r="B124" s="38" t="s">
        <v>63</v>
      </c>
      <c r="C124" s="38" t="s">
        <v>57</v>
      </c>
      <c r="D124" s="38" t="s">
        <v>65</v>
      </c>
      <c r="E124" s="39" t="n">
        <v>17</v>
      </c>
      <c r="F124" s="40" t="n">
        <v>5700</v>
      </c>
      <c r="G124" s="31"/>
      <c r="O124" s="44" t="n">
        <f aca="false">E124*F124</f>
        <v>96900</v>
      </c>
    </row>
    <row r="125" customFormat="false" ht="15" hidden="false" customHeight="false" outlineLevel="0" collapsed="false">
      <c r="A125" s="27" t="n">
        <v>45994</v>
      </c>
      <c r="B125" s="28" t="s">
        <v>46</v>
      </c>
      <c r="C125" s="28" t="s">
        <v>76</v>
      </c>
      <c r="D125" s="28" t="s">
        <v>65</v>
      </c>
      <c r="E125" s="29" t="n">
        <v>33</v>
      </c>
      <c r="F125" s="30" t="n">
        <v>25100</v>
      </c>
      <c r="G125" s="31"/>
      <c r="O125" s="44" t="n">
        <f aca="false">E125*F125</f>
        <v>828300</v>
      </c>
    </row>
    <row r="126" customFormat="false" ht="15" hidden="false" customHeight="false" outlineLevel="0" collapsed="false">
      <c r="A126" s="37" t="n">
        <v>45996</v>
      </c>
      <c r="B126" s="38" t="s">
        <v>78</v>
      </c>
      <c r="C126" s="38" t="s">
        <v>53</v>
      </c>
      <c r="D126" s="38" t="s">
        <v>65</v>
      </c>
      <c r="E126" s="39" t="n">
        <v>10</v>
      </c>
      <c r="F126" s="40" t="n">
        <v>13500</v>
      </c>
      <c r="G126" s="31"/>
      <c r="O126" s="44" t="n">
        <f aca="false">E126*F126</f>
        <v>135000</v>
      </c>
    </row>
    <row r="127" customFormat="false" ht="15" hidden="false" customHeight="false" outlineLevel="0" collapsed="false">
      <c r="A127" s="27" t="n">
        <v>45998</v>
      </c>
      <c r="B127" s="28" t="s">
        <v>78</v>
      </c>
      <c r="C127" s="28" t="s">
        <v>47</v>
      </c>
      <c r="D127" s="28" t="s">
        <v>60</v>
      </c>
      <c r="E127" s="29" t="n">
        <v>37</v>
      </c>
      <c r="F127" s="30" t="n">
        <v>10200</v>
      </c>
      <c r="G127" s="31"/>
      <c r="O127" s="44" t="n">
        <f aca="false">E127*F127</f>
        <v>377400</v>
      </c>
    </row>
    <row r="128" customFormat="false" ht="15" hidden="false" customHeight="false" outlineLevel="0" collapsed="false">
      <c r="A128" s="37" t="n">
        <v>45999</v>
      </c>
      <c r="B128" s="38" t="s">
        <v>52</v>
      </c>
      <c r="C128" s="38" t="s">
        <v>76</v>
      </c>
      <c r="D128" s="38" t="s">
        <v>54</v>
      </c>
      <c r="E128" s="39" t="n">
        <v>31</v>
      </c>
      <c r="F128" s="40" t="n">
        <v>26900</v>
      </c>
      <c r="G128" s="31"/>
      <c r="O128" s="44" t="n">
        <f aca="false">E128*F128</f>
        <v>833900</v>
      </c>
    </row>
    <row r="129" customFormat="false" ht="15" hidden="false" customHeight="false" outlineLevel="0" collapsed="false">
      <c r="A129" s="27" t="n">
        <v>46001</v>
      </c>
      <c r="B129" s="28" t="s">
        <v>63</v>
      </c>
      <c r="C129" s="28" t="s">
        <v>76</v>
      </c>
      <c r="D129" s="28" t="s">
        <v>70</v>
      </c>
      <c r="E129" s="29" t="n">
        <v>25</v>
      </c>
      <c r="F129" s="30" t="n">
        <v>26100</v>
      </c>
      <c r="G129" s="31"/>
      <c r="O129" s="44" t="n">
        <f aca="false">E129*F129</f>
        <v>652500</v>
      </c>
    </row>
    <row r="130" customFormat="false" ht="15" hidden="false" customHeight="false" outlineLevel="0" collapsed="false">
      <c r="A130" s="37" t="n">
        <v>46006</v>
      </c>
      <c r="B130" s="38" t="s">
        <v>78</v>
      </c>
      <c r="C130" s="38" t="s">
        <v>53</v>
      </c>
      <c r="D130" s="38" t="s">
        <v>75</v>
      </c>
      <c r="E130" s="39" t="n">
        <v>18</v>
      </c>
      <c r="F130" s="40" t="n">
        <v>15900</v>
      </c>
      <c r="G130" s="31"/>
      <c r="O130" s="44" t="n">
        <f aca="false">E130*F130</f>
        <v>286200</v>
      </c>
    </row>
    <row r="131" customFormat="false" ht="15" hidden="false" customHeight="false" outlineLevel="0" collapsed="false">
      <c r="A131" s="27" t="n">
        <v>46006</v>
      </c>
      <c r="B131" s="28" t="s">
        <v>78</v>
      </c>
      <c r="C131" s="28" t="s">
        <v>57</v>
      </c>
      <c r="D131" s="28" t="s">
        <v>81</v>
      </c>
      <c r="E131" s="29" t="n">
        <v>12</v>
      </c>
      <c r="F131" s="30" t="n">
        <v>5200</v>
      </c>
      <c r="G131" s="31"/>
      <c r="O131" s="44" t="n">
        <f aca="false">E131*F131</f>
        <v>62400</v>
      </c>
    </row>
    <row r="132" customFormat="false" ht="15" hidden="false" customHeight="false" outlineLevel="0" collapsed="false">
      <c r="A132" s="37" t="n">
        <v>46007</v>
      </c>
      <c r="B132" s="38" t="s">
        <v>63</v>
      </c>
      <c r="C132" s="38" t="s">
        <v>53</v>
      </c>
      <c r="D132" s="38" t="s">
        <v>70</v>
      </c>
      <c r="E132" s="39" t="n">
        <v>1</v>
      </c>
      <c r="F132" s="40" t="n">
        <v>16400</v>
      </c>
      <c r="G132" s="31"/>
      <c r="O132" s="44" t="n">
        <f aca="false">E132*F132</f>
        <v>16400</v>
      </c>
    </row>
    <row r="133" customFormat="false" ht="15" hidden="false" customHeight="false" outlineLevel="0" collapsed="false">
      <c r="A133" s="27" t="n">
        <v>46009</v>
      </c>
      <c r="B133" s="28" t="s">
        <v>73</v>
      </c>
      <c r="C133" s="28" t="s">
        <v>53</v>
      </c>
      <c r="D133" s="28" t="s">
        <v>70</v>
      </c>
      <c r="E133" s="29" t="n">
        <v>8</v>
      </c>
      <c r="F133" s="30" t="n">
        <v>13500</v>
      </c>
      <c r="G133" s="31"/>
      <c r="O133" s="44" t="n">
        <f aca="false">E133*F133</f>
        <v>108000</v>
      </c>
    </row>
    <row r="134" customFormat="false" ht="15" hidden="false" customHeight="false" outlineLevel="0" collapsed="false">
      <c r="A134" s="37" t="n">
        <v>46010</v>
      </c>
      <c r="B134" s="38" t="s">
        <v>52</v>
      </c>
      <c r="C134" s="38" t="s">
        <v>74</v>
      </c>
      <c r="D134" s="38" t="s">
        <v>77</v>
      </c>
      <c r="E134" s="39" t="n">
        <v>6</v>
      </c>
      <c r="F134" s="40" t="n">
        <v>57100</v>
      </c>
      <c r="G134" s="31"/>
      <c r="O134" s="44" t="n">
        <f aca="false">E134*F134</f>
        <v>342600</v>
      </c>
    </row>
    <row r="135" customFormat="false" ht="15" hidden="false" customHeight="false" outlineLevel="0" collapsed="false">
      <c r="A135" s="27" t="n">
        <v>46012</v>
      </c>
      <c r="B135" s="28" t="s">
        <v>63</v>
      </c>
      <c r="C135" s="28" t="s">
        <v>64</v>
      </c>
      <c r="D135" s="28" t="s">
        <v>48</v>
      </c>
      <c r="E135" s="29" t="n">
        <v>3</v>
      </c>
      <c r="F135" s="30" t="n">
        <v>146200</v>
      </c>
      <c r="G135" s="31"/>
      <c r="O135" s="44" t="n">
        <f aca="false">E135*F135</f>
        <v>438600</v>
      </c>
    </row>
    <row r="136" customFormat="false" ht="15" hidden="false" customHeight="false" outlineLevel="0" collapsed="false">
      <c r="A136" s="37" t="n">
        <v>46013</v>
      </c>
      <c r="B136" s="38" t="s">
        <v>73</v>
      </c>
      <c r="C136" s="38" t="s">
        <v>57</v>
      </c>
      <c r="D136" s="38" t="s">
        <v>77</v>
      </c>
      <c r="E136" s="39" t="n">
        <v>31</v>
      </c>
      <c r="F136" s="40" t="n">
        <v>4800</v>
      </c>
      <c r="G136" s="31"/>
      <c r="O136" s="44" t="n">
        <f aca="false">E136*F136</f>
        <v>148800</v>
      </c>
    </row>
    <row r="137" customFormat="false" ht="15" hidden="false" customHeight="false" outlineLevel="0" collapsed="false">
      <c r="A137" s="27" t="n">
        <v>46015</v>
      </c>
      <c r="B137" s="28" t="s">
        <v>63</v>
      </c>
      <c r="C137" s="28" t="s">
        <v>64</v>
      </c>
      <c r="D137" s="28" t="s">
        <v>77</v>
      </c>
      <c r="E137" s="29" t="n">
        <v>33</v>
      </c>
      <c r="F137" s="30" t="n">
        <v>153800</v>
      </c>
      <c r="G137" s="31"/>
      <c r="O137" s="44" t="n">
        <f aca="false">E137*F137</f>
        <v>5075400</v>
      </c>
    </row>
    <row r="138" customFormat="false" ht="15" hidden="false" customHeight="false" outlineLevel="0" collapsed="false">
      <c r="A138" s="37" t="n">
        <v>46015</v>
      </c>
      <c r="B138" s="38" t="s">
        <v>46</v>
      </c>
      <c r="C138" s="38" t="s">
        <v>53</v>
      </c>
      <c r="D138" s="38" t="s">
        <v>77</v>
      </c>
      <c r="E138" s="39" t="n">
        <v>31</v>
      </c>
      <c r="F138" s="40" t="n">
        <v>15900</v>
      </c>
      <c r="G138" s="31"/>
      <c r="O138" s="44" t="n">
        <f aca="false">E138*F138</f>
        <v>492900</v>
      </c>
    </row>
    <row r="139" customFormat="false" ht="15" hidden="false" customHeight="false" outlineLevel="0" collapsed="false">
      <c r="A139" s="27" t="n">
        <v>46016</v>
      </c>
      <c r="B139" s="28" t="s">
        <v>46</v>
      </c>
      <c r="C139" s="28" t="s">
        <v>47</v>
      </c>
      <c r="D139" s="28" t="s">
        <v>70</v>
      </c>
      <c r="E139" s="29" t="n">
        <v>13</v>
      </c>
      <c r="F139" s="30" t="n">
        <v>8900</v>
      </c>
      <c r="G139" s="31"/>
      <c r="O139" s="44" t="n">
        <f aca="false">E139*F139</f>
        <v>115700</v>
      </c>
    </row>
    <row r="140" customFormat="false" ht="15" hidden="false" customHeight="false" outlineLevel="0" collapsed="false">
      <c r="A140" s="37" t="n">
        <v>46017</v>
      </c>
      <c r="B140" s="38" t="s">
        <v>73</v>
      </c>
      <c r="C140" s="38" t="s">
        <v>53</v>
      </c>
      <c r="D140" s="38" t="s">
        <v>75</v>
      </c>
      <c r="E140" s="39" t="n">
        <v>35</v>
      </c>
      <c r="F140" s="40" t="n">
        <v>16200</v>
      </c>
      <c r="G140" s="31"/>
      <c r="O140" s="44" t="n">
        <f aca="false">E140*F140</f>
        <v>567000</v>
      </c>
    </row>
    <row r="141" customFormat="false" ht="15" hidden="false" customHeight="false" outlineLevel="0" collapsed="false">
      <c r="A141" s="27" t="n">
        <v>46017</v>
      </c>
      <c r="B141" s="28" t="s">
        <v>73</v>
      </c>
      <c r="C141" s="28" t="s">
        <v>57</v>
      </c>
      <c r="D141" s="28" t="s">
        <v>81</v>
      </c>
      <c r="E141" s="29" t="n">
        <v>21</v>
      </c>
      <c r="F141" s="30" t="n">
        <v>5200</v>
      </c>
      <c r="G141" s="31"/>
      <c r="O141" s="44" t="n">
        <f aca="false">E141*F141</f>
        <v>109200</v>
      </c>
    </row>
    <row r="142" customFormat="false" ht="15" hidden="false" customHeight="false" outlineLevel="0" collapsed="false">
      <c r="A142" s="37" t="n">
        <v>46025</v>
      </c>
      <c r="B142" s="38" t="s">
        <v>52</v>
      </c>
      <c r="C142" s="38" t="s">
        <v>53</v>
      </c>
      <c r="D142" s="38" t="s">
        <v>77</v>
      </c>
      <c r="E142" s="39" t="n">
        <v>29</v>
      </c>
      <c r="F142" s="40" t="n">
        <v>15500</v>
      </c>
      <c r="G142" s="31"/>
      <c r="O142" s="44" t="n">
        <f aca="false">E142*F142</f>
        <v>449500</v>
      </c>
    </row>
    <row r="143" customFormat="false" ht="15" hidden="false" customHeight="false" outlineLevel="0" collapsed="false">
      <c r="A143" s="27" t="n">
        <v>46028</v>
      </c>
      <c r="B143" s="28" t="s">
        <v>63</v>
      </c>
      <c r="C143" s="28" t="s">
        <v>47</v>
      </c>
      <c r="D143" s="28" t="s">
        <v>77</v>
      </c>
      <c r="E143" s="29" t="n">
        <v>2</v>
      </c>
      <c r="F143" s="30" t="n">
        <v>8800</v>
      </c>
      <c r="G143" s="31"/>
      <c r="O143" s="44" t="n">
        <f aca="false">E143*F143</f>
        <v>17600</v>
      </c>
    </row>
    <row r="144" customFormat="false" ht="15" hidden="false" customHeight="false" outlineLevel="0" collapsed="false">
      <c r="A144" s="37" t="n">
        <v>46028</v>
      </c>
      <c r="B144" s="38" t="s">
        <v>46</v>
      </c>
      <c r="C144" s="38" t="s">
        <v>53</v>
      </c>
      <c r="D144" s="38" t="s">
        <v>81</v>
      </c>
      <c r="E144" s="39" t="n">
        <v>20</v>
      </c>
      <c r="F144" s="40" t="n">
        <v>15200</v>
      </c>
      <c r="G144" s="31"/>
      <c r="O144" s="44" t="n">
        <f aca="false">E144*F144</f>
        <v>304000</v>
      </c>
    </row>
    <row r="145" customFormat="false" ht="15" hidden="false" customHeight="false" outlineLevel="0" collapsed="false">
      <c r="A145" s="27" t="n">
        <v>46028</v>
      </c>
      <c r="B145" s="28" t="s">
        <v>63</v>
      </c>
      <c r="C145" s="28" t="s">
        <v>57</v>
      </c>
      <c r="D145" s="28" t="s">
        <v>77</v>
      </c>
      <c r="E145" s="29" t="n">
        <v>31</v>
      </c>
      <c r="F145" s="30" t="n">
        <v>5500</v>
      </c>
      <c r="G145" s="31"/>
      <c r="O145" s="44" t="n">
        <f aca="false">E145*F145</f>
        <v>170500</v>
      </c>
    </row>
    <row r="146" customFormat="false" ht="15" hidden="false" customHeight="false" outlineLevel="0" collapsed="false">
      <c r="A146" s="37" t="n">
        <v>46031</v>
      </c>
      <c r="B146" s="38" t="s">
        <v>73</v>
      </c>
      <c r="C146" s="38" t="s">
        <v>53</v>
      </c>
      <c r="D146" s="38" t="s">
        <v>81</v>
      </c>
      <c r="E146" s="39" t="n">
        <v>15</v>
      </c>
      <c r="F146" s="40" t="n">
        <v>13900</v>
      </c>
      <c r="G146" s="31"/>
      <c r="O146" s="44" t="n">
        <f aca="false">E146*F146</f>
        <v>208500</v>
      </c>
    </row>
    <row r="147" customFormat="false" ht="15" hidden="false" customHeight="false" outlineLevel="0" collapsed="false">
      <c r="A147" s="27" t="n">
        <v>46032</v>
      </c>
      <c r="B147" s="28" t="s">
        <v>78</v>
      </c>
      <c r="C147" s="28" t="s">
        <v>76</v>
      </c>
      <c r="D147" s="28" t="s">
        <v>48</v>
      </c>
      <c r="E147" s="29" t="n">
        <v>26</v>
      </c>
      <c r="F147" s="30" t="n">
        <v>23200</v>
      </c>
      <c r="G147" s="31"/>
      <c r="O147" s="44" t="n">
        <f aca="false">E147*F147</f>
        <v>603200</v>
      </c>
    </row>
    <row r="148" customFormat="false" ht="15" hidden="false" customHeight="false" outlineLevel="0" collapsed="false">
      <c r="A148" s="37" t="n">
        <v>46033</v>
      </c>
      <c r="B148" s="38" t="s">
        <v>78</v>
      </c>
      <c r="C148" s="38" t="s">
        <v>57</v>
      </c>
      <c r="D148" s="38" t="s">
        <v>65</v>
      </c>
      <c r="E148" s="39" t="n">
        <v>34</v>
      </c>
      <c r="F148" s="40" t="n">
        <v>5600</v>
      </c>
      <c r="G148" s="31"/>
      <c r="O148" s="44" t="n">
        <f aca="false">E148*F148</f>
        <v>190400</v>
      </c>
    </row>
    <row r="149" customFormat="false" ht="15" hidden="false" customHeight="false" outlineLevel="0" collapsed="false">
      <c r="A149" s="27" t="n">
        <v>46034</v>
      </c>
      <c r="B149" s="28" t="s">
        <v>52</v>
      </c>
      <c r="C149" s="28" t="s">
        <v>74</v>
      </c>
      <c r="D149" s="28" t="s">
        <v>54</v>
      </c>
      <c r="E149" s="29" t="n">
        <v>36</v>
      </c>
      <c r="F149" s="30" t="n">
        <v>57200</v>
      </c>
      <c r="G149" s="31"/>
      <c r="O149" s="44" t="n">
        <f aca="false">E149*F149</f>
        <v>2059200</v>
      </c>
    </row>
    <row r="150" customFormat="false" ht="15" hidden="false" customHeight="false" outlineLevel="0" collapsed="false">
      <c r="A150" s="37" t="n">
        <v>46034</v>
      </c>
      <c r="B150" s="38" t="s">
        <v>73</v>
      </c>
      <c r="C150" s="38" t="s">
        <v>74</v>
      </c>
      <c r="D150" s="38" t="s">
        <v>79</v>
      </c>
      <c r="E150" s="39" t="n">
        <v>8</v>
      </c>
      <c r="F150" s="40" t="n">
        <v>66300</v>
      </c>
      <c r="G150" s="31"/>
      <c r="O150" s="44" t="n">
        <f aca="false">E150*F150</f>
        <v>530400</v>
      </c>
    </row>
    <row r="151" customFormat="false" ht="15" hidden="false" customHeight="false" outlineLevel="0" collapsed="false">
      <c r="A151" s="27" t="n">
        <v>46034</v>
      </c>
      <c r="B151" s="28" t="s">
        <v>73</v>
      </c>
      <c r="C151" s="28" t="s">
        <v>76</v>
      </c>
      <c r="D151" s="28" t="s">
        <v>80</v>
      </c>
      <c r="E151" s="29" t="n">
        <v>23</v>
      </c>
      <c r="F151" s="30" t="n">
        <v>24600</v>
      </c>
      <c r="G151" s="31"/>
      <c r="O151" s="44" t="n">
        <f aca="false">E151*F151</f>
        <v>565800</v>
      </c>
    </row>
    <row r="152" customFormat="false" ht="15" hidden="false" customHeight="false" outlineLevel="0" collapsed="false">
      <c r="A152" s="37" t="n">
        <v>46036</v>
      </c>
      <c r="B152" s="38" t="s">
        <v>52</v>
      </c>
      <c r="C152" s="38" t="s">
        <v>74</v>
      </c>
      <c r="D152" s="38" t="s">
        <v>65</v>
      </c>
      <c r="E152" s="39" t="n">
        <v>2</v>
      </c>
      <c r="F152" s="40" t="n">
        <v>57600</v>
      </c>
      <c r="G152" s="31"/>
      <c r="O152" s="44" t="n">
        <f aca="false">E152*F152</f>
        <v>115200</v>
      </c>
    </row>
    <row r="153" customFormat="false" ht="15" hidden="false" customHeight="false" outlineLevel="0" collapsed="false">
      <c r="A153" s="27" t="n">
        <v>46037</v>
      </c>
      <c r="B153" s="28" t="s">
        <v>63</v>
      </c>
      <c r="C153" s="28" t="s">
        <v>76</v>
      </c>
      <c r="D153" s="28" t="s">
        <v>79</v>
      </c>
      <c r="E153" s="29" t="n">
        <v>3</v>
      </c>
      <c r="F153" s="30" t="n">
        <v>21600</v>
      </c>
      <c r="G153" s="31"/>
      <c r="O153" s="44" t="n">
        <f aca="false">E153*F153</f>
        <v>64800</v>
      </c>
    </row>
    <row r="154" customFormat="false" ht="15" hidden="false" customHeight="false" outlineLevel="0" collapsed="false">
      <c r="A154" s="37" t="n">
        <v>46038</v>
      </c>
      <c r="B154" s="38" t="s">
        <v>73</v>
      </c>
      <c r="C154" s="38" t="s">
        <v>76</v>
      </c>
      <c r="D154" s="38" t="s">
        <v>79</v>
      </c>
      <c r="E154" s="39" t="n">
        <v>28</v>
      </c>
      <c r="F154" s="40" t="n">
        <v>23200</v>
      </c>
      <c r="G154" s="31"/>
      <c r="O154" s="44" t="n">
        <f aca="false">E154*F154</f>
        <v>649600</v>
      </c>
    </row>
    <row r="155" customFormat="false" ht="15" hidden="false" customHeight="false" outlineLevel="0" collapsed="false">
      <c r="A155" s="27" t="n">
        <v>46038</v>
      </c>
      <c r="B155" s="28" t="s">
        <v>63</v>
      </c>
      <c r="C155" s="28" t="s">
        <v>53</v>
      </c>
      <c r="D155" s="28" t="s">
        <v>70</v>
      </c>
      <c r="E155" s="29" t="n">
        <v>22</v>
      </c>
      <c r="F155" s="30" t="n">
        <v>14300</v>
      </c>
      <c r="G155" s="31"/>
      <c r="O155" s="44" t="n">
        <f aca="false">E155*F155</f>
        <v>314600</v>
      </c>
    </row>
    <row r="156" customFormat="false" ht="15" hidden="false" customHeight="false" outlineLevel="0" collapsed="false">
      <c r="A156" s="37" t="n">
        <v>46038</v>
      </c>
      <c r="B156" s="38" t="s">
        <v>73</v>
      </c>
      <c r="C156" s="38" t="s">
        <v>64</v>
      </c>
      <c r="D156" s="38" t="s">
        <v>54</v>
      </c>
      <c r="E156" s="39" t="n">
        <v>15</v>
      </c>
      <c r="F156" s="40" t="n">
        <v>160300</v>
      </c>
      <c r="G156" s="31"/>
      <c r="O156" s="44" t="n">
        <f aca="false">E156*F156</f>
        <v>2404500</v>
      </c>
    </row>
    <row r="157" customFormat="false" ht="15" hidden="false" customHeight="false" outlineLevel="0" collapsed="false">
      <c r="A157" s="27" t="n">
        <v>46041</v>
      </c>
      <c r="B157" s="28" t="s">
        <v>78</v>
      </c>
      <c r="C157" s="28" t="s">
        <v>57</v>
      </c>
      <c r="D157" s="28" t="s">
        <v>77</v>
      </c>
      <c r="E157" s="29" t="n">
        <v>7</v>
      </c>
      <c r="F157" s="30" t="n">
        <v>4800</v>
      </c>
      <c r="G157" s="31"/>
      <c r="O157" s="44" t="n">
        <f aca="false">E157*F157</f>
        <v>33600</v>
      </c>
    </row>
    <row r="158" customFormat="false" ht="15" hidden="false" customHeight="false" outlineLevel="0" collapsed="false">
      <c r="A158" s="37" t="n">
        <v>46041</v>
      </c>
      <c r="B158" s="38" t="s">
        <v>52</v>
      </c>
      <c r="C158" s="38" t="s">
        <v>74</v>
      </c>
      <c r="D158" s="38" t="s">
        <v>77</v>
      </c>
      <c r="E158" s="39" t="n">
        <v>30</v>
      </c>
      <c r="F158" s="40" t="n">
        <v>60700</v>
      </c>
      <c r="G158" s="31"/>
      <c r="O158" s="44" t="n">
        <f aca="false">E158*F158</f>
        <v>1821000</v>
      </c>
    </row>
    <row r="159" customFormat="false" ht="15" hidden="false" customHeight="false" outlineLevel="0" collapsed="false">
      <c r="A159" s="27" t="n">
        <v>46043</v>
      </c>
      <c r="B159" s="28" t="s">
        <v>52</v>
      </c>
      <c r="C159" s="28" t="s">
        <v>76</v>
      </c>
      <c r="D159" s="28" t="s">
        <v>65</v>
      </c>
      <c r="E159" s="29" t="n">
        <v>10</v>
      </c>
      <c r="F159" s="30" t="n">
        <v>26200</v>
      </c>
      <c r="G159" s="31"/>
      <c r="O159" s="44" t="n">
        <f aca="false">E159*F159</f>
        <v>262000</v>
      </c>
    </row>
    <row r="160" customFormat="false" ht="15" hidden="false" customHeight="false" outlineLevel="0" collapsed="false">
      <c r="A160" s="37" t="n">
        <v>46044</v>
      </c>
      <c r="B160" s="38" t="s">
        <v>78</v>
      </c>
      <c r="C160" s="38" t="s">
        <v>47</v>
      </c>
      <c r="D160" s="38" t="s">
        <v>81</v>
      </c>
      <c r="E160" s="39" t="n">
        <v>2</v>
      </c>
      <c r="F160" s="40" t="n">
        <v>9400</v>
      </c>
      <c r="G160" s="31"/>
      <c r="O160" s="44" t="n">
        <f aca="false">E160*F160</f>
        <v>18800</v>
      </c>
    </row>
    <row r="161" customFormat="false" ht="15" hidden="false" customHeight="false" outlineLevel="0" collapsed="false">
      <c r="A161" s="27" t="n">
        <v>46049</v>
      </c>
      <c r="B161" s="28" t="s">
        <v>52</v>
      </c>
      <c r="C161" s="28" t="s">
        <v>74</v>
      </c>
      <c r="D161" s="28" t="s">
        <v>75</v>
      </c>
      <c r="E161" s="29" t="n">
        <v>1</v>
      </c>
      <c r="F161" s="30" t="n">
        <v>57100</v>
      </c>
      <c r="G161" s="31"/>
      <c r="O161" s="44" t="n">
        <f aca="false">E161*F161</f>
        <v>57100</v>
      </c>
    </row>
    <row r="162" customFormat="false" ht="15" hidden="false" customHeight="false" outlineLevel="0" collapsed="false">
      <c r="A162" s="37" t="n">
        <v>46049</v>
      </c>
      <c r="B162" s="38" t="s">
        <v>63</v>
      </c>
      <c r="C162" s="38" t="s">
        <v>57</v>
      </c>
      <c r="D162" s="38" t="s">
        <v>48</v>
      </c>
      <c r="E162" s="39" t="n">
        <v>28</v>
      </c>
      <c r="F162" s="40" t="n">
        <v>5300</v>
      </c>
      <c r="G162" s="31"/>
      <c r="O162" s="44" t="n">
        <f aca="false">E162*F162</f>
        <v>148400</v>
      </c>
    </row>
    <row r="163" customFormat="false" ht="15" hidden="false" customHeight="false" outlineLevel="0" collapsed="false">
      <c r="A163" s="27" t="n">
        <v>46050</v>
      </c>
      <c r="B163" s="28" t="s">
        <v>52</v>
      </c>
      <c r="C163" s="28" t="s">
        <v>47</v>
      </c>
      <c r="D163" s="28" t="s">
        <v>80</v>
      </c>
      <c r="E163" s="29" t="n">
        <v>2</v>
      </c>
      <c r="F163" s="30" t="n">
        <v>10500</v>
      </c>
      <c r="G163" s="31"/>
      <c r="O163" s="44" t="n">
        <f aca="false">E163*F163</f>
        <v>21000</v>
      </c>
    </row>
    <row r="164" customFormat="false" ht="15" hidden="false" customHeight="false" outlineLevel="0" collapsed="false">
      <c r="A164" s="37" t="n">
        <v>46051</v>
      </c>
      <c r="B164" s="38" t="s">
        <v>46</v>
      </c>
      <c r="C164" s="38" t="s">
        <v>57</v>
      </c>
      <c r="D164" s="38" t="s">
        <v>80</v>
      </c>
      <c r="E164" s="39" t="n">
        <v>9</v>
      </c>
      <c r="F164" s="40" t="n">
        <v>4700</v>
      </c>
      <c r="G164" s="31"/>
      <c r="O164" s="44" t="n">
        <f aca="false">E164*F164</f>
        <v>42300</v>
      </c>
    </row>
    <row r="165" customFormat="false" ht="15" hidden="false" customHeight="false" outlineLevel="0" collapsed="false">
      <c r="A165" s="27" t="n">
        <v>46056</v>
      </c>
      <c r="B165" s="28" t="s">
        <v>73</v>
      </c>
      <c r="C165" s="28" t="s">
        <v>47</v>
      </c>
      <c r="D165" s="28" t="s">
        <v>65</v>
      </c>
      <c r="E165" s="29" t="n">
        <v>35</v>
      </c>
      <c r="F165" s="30" t="n">
        <v>9600</v>
      </c>
      <c r="G165" s="31"/>
      <c r="O165" s="44" t="n">
        <f aca="false">E165*F165</f>
        <v>336000</v>
      </c>
    </row>
    <row r="166" customFormat="false" ht="15" hidden="false" customHeight="false" outlineLevel="0" collapsed="false">
      <c r="A166" s="37" t="n">
        <v>46059</v>
      </c>
      <c r="B166" s="38" t="s">
        <v>46</v>
      </c>
      <c r="C166" s="38" t="s">
        <v>74</v>
      </c>
      <c r="D166" s="38" t="s">
        <v>65</v>
      </c>
      <c r="E166" s="39" t="n">
        <v>36</v>
      </c>
      <c r="F166" s="40" t="n">
        <v>69500</v>
      </c>
      <c r="G166" s="31"/>
      <c r="O166" s="44" t="n">
        <f aca="false">E166*F166</f>
        <v>2502000</v>
      </c>
    </row>
    <row r="167" customFormat="false" ht="15" hidden="false" customHeight="false" outlineLevel="0" collapsed="false">
      <c r="A167" s="27" t="n">
        <v>46060</v>
      </c>
      <c r="B167" s="28" t="s">
        <v>52</v>
      </c>
      <c r="C167" s="28" t="s">
        <v>47</v>
      </c>
      <c r="D167" s="28" t="s">
        <v>54</v>
      </c>
      <c r="E167" s="29" t="n">
        <v>28</v>
      </c>
      <c r="F167" s="30" t="n">
        <v>10300</v>
      </c>
      <c r="G167" s="31"/>
      <c r="O167" s="44" t="n">
        <f aca="false">E167*F167</f>
        <v>288400</v>
      </c>
    </row>
    <row r="168" customFormat="false" ht="15" hidden="false" customHeight="false" outlineLevel="0" collapsed="false">
      <c r="A168" s="37" t="n">
        <v>46062</v>
      </c>
      <c r="B168" s="38" t="s">
        <v>63</v>
      </c>
      <c r="C168" s="38" t="s">
        <v>74</v>
      </c>
      <c r="D168" s="38" t="s">
        <v>75</v>
      </c>
      <c r="E168" s="39" t="n">
        <v>29</v>
      </c>
      <c r="F168" s="40" t="n">
        <v>65800</v>
      </c>
      <c r="G168" s="31"/>
      <c r="O168" s="44" t="n">
        <f aca="false">E168*F168</f>
        <v>1908200</v>
      </c>
    </row>
    <row r="169" customFormat="false" ht="15" hidden="false" customHeight="false" outlineLevel="0" collapsed="false">
      <c r="A169" s="27" t="n">
        <v>46063</v>
      </c>
      <c r="B169" s="28" t="s">
        <v>63</v>
      </c>
      <c r="C169" s="28" t="s">
        <v>53</v>
      </c>
      <c r="D169" s="28" t="s">
        <v>80</v>
      </c>
      <c r="E169" s="29" t="n">
        <v>15</v>
      </c>
      <c r="F169" s="30" t="n">
        <v>15700</v>
      </c>
      <c r="G169" s="31"/>
      <c r="O169" s="44" t="n">
        <f aca="false">E169*F169</f>
        <v>235500</v>
      </c>
    </row>
    <row r="170" customFormat="false" ht="15" hidden="false" customHeight="false" outlineLevel="0" collapsed="false">
      <c r="A170" s="37" t="n">
        <v>46064</v>
      </c>
      <c r="B170" s="38" t="s">
        <v>73</v>
      </c>
      <c r="C170" s="38" t="s">
        <v>57</v>
      </c>
      <c r="D170" s="38" t="s">
        <v>60</v>
      </c>
      <c r="E170" s="39" t="n">
        <v>36</v>
      </c>
      <c r="F170" s="40" t="n">
        <v>5800</v>
      </c>
      <c r="G170" s="31"/>
      <c r="O170" s="44" t="n">
        <f aca="false">E170*F170</f>
        <v>208800</v>
      </c>
    </row>
    <row r="171" customFormat="false" ht="15" hidden="false" customHeight="false" outlineLevel="0" collapsed="false">
      <c r="A171" s="27" t="n">
        <v>46066</v>
      </c>
      <c r="B171" s="28" t="s">
        <v>73</v>
      </c>
      <c r="C171" s="28" t="s">
        <v>74</v>
      </c>
      <c r="D171" s="28" t="s">
        <v>79</v>
      </c>
      <c r="E171" s="29" t="n">
        <v>17</v>
      </c>
      <c r="F171" s="30" t="n">
        <v>64800</v>
      </c>
      <c r="G171" s="31"/>
      <c r="O171" s="44" t="n">
        <f aca="false">E171*F171</f>
        <v>1101600</v>
      </c>
    </row>
    <row r="172" customFormat="false" ht="15" hidden="false" customHeight="false" outlineLevel="0" collapsed="false">
      <c r="A172" s="37" t="n">
        <v>46069</v>
      </c>
      <c r="B172" s="38" t="s">
        <v>63</v>
      </c>
      <c r="C172" s="38" t="s">
        <v>74</v>
      </c>
      <c r="D172" s="38" t="s">
        <v>65</v>
      </c>
      <c r="E172" s="39" t="n">
        <v>10</v>
      </c>
      <c r="F172" s="40" t="n">
        <v>57200</v>
      </c>
      <c r="G172" s="31"/>
      <c r="O172" s="44" t="n">
        <f aca="false">E172*F172</f>
        <v>572000</v>
      </c>
    </row>
    <row r="173" customFormat="false" ht="15" hidden="false" customHeight="false" outlineLevel="0" collapsed="false">
      <c r="A173" s="27" t="n">
        <v>46069</v>
      </c>
      <c r="B173" s="28" t="s">
        <v>63</v>
      </c>
      <c r="C173" s="28" t="s">
        <v>76</v>
      </c>
      <c r="D173" s="28" t="s">
        <v>60</v>
      </c>
      <c r="E173" s="29" t="n">
        <v>36</v>
      </c>
      <c r="F173" s="30" t="n">
        <v>22200</v>
      </c>
      <c r="G173" s="31"/>
      <c r="O173" s="44" t="n">
        <f aca="false">E173*F173</f>
        <v>799200</v>
      </c>
    </row>
    <row r="174" customFormat="false" ht="15" hidden="false" customHeight="false" outlineLevel="0" collapsed="false">
      <c r="A174" s="37" t="n">
        <v>46070</v>
      </c>
      <c r="B174" s="38" t="s">
        <v>78</v>
      </c>
      <c r="C174" s="38" t="s">
        <v>76</v>
      </c>
      <c r="D174" s="38" t="s">
        <v>70</v>
      </c>
      <c r="E174" s="39" t="n">
        <v>23</v>
      </c>
      <c r="F174" s="40" t="n">
        <v>23500</v>
      </c>
      <c r="G174" s="31"/>
      <c r="O174" s="44" t="n">
        <f aca="false">E174*F174</f>
        <v>540500</v>
      </c>
    </row>
    <row r="175" customFormat="false" ht="15" hidden="false" customHeight="false" outlineLevel="0" collapsed="false">
      <c r="A175" s="27" t="n">
        <v>46071</v>
      </c>
      <c r="B175" s="28" t="s">
        <v>52</v>
      </c>
      <c r="C175" s="28" t="s">
        <v>47</v>
      </c>
      <c r="D175" s="28" t="s">
        <v>77</v>
      </c>
      <c r="E175" s="29" t="n">
        <v>25</v>
      </c>
      <c r="F175" s="30" t="n">
        <v>10200</v>
      </c>
      <c r="G175" s="31"/>
      <c r="O175" s="44" t="n">
        <f aca="false">E175*F175</f>
        <v>255000</v>
      </c>
    </row>
    <row r="176" customFormat="false" ht="15" hidden="false" customHeight="false" outlineLevel="0" collapsed="false">
      <c r="A176" s="37" t="n">
        <v>46073</v>
      </c>
      <c r="B176" s="38" t="s">
        <v>78</v>
      </c>
      <c r="C176" s="38" t="s">
        <v>76</v>
      </c>
      <c r="D176" s="38" t="s">
        <v>77</v>
      </c>
      <c r="E176" s="39" t="n">
        <v>21</v>
      </c>
      <c r="F176" s="40" t="n">
        <v>22300</v>
      </c>
      <c r="G176" s="31"/>
      <c r="O176" s="44" t="n">
        <f aca="false">E176*F176</f>
        <v>468300</v>
      </c>
    </row>
    <row r="177" customFormat="false" ht="15" hidden="false" customHeight="false" outlineLevel="0" collapsed="false">
      <c r="A177" s="27" t="n">
        <v>46073</v>
      </c>
      <c r="B177" s="28" t="s">
        <v>63</v>
      </c>
      <c r="C177" s="28" t="s">
        <v>74</v>
      </c>
      <c r="D177" s="28" t="s">
        <v>75</v>
      </c>
      <c r="E177" s="29" t="n">
        <v>8</v>
      </c>
      <c r="F177" s="30" t="n">
        <v>70400</v>
      </c>
      <c r="G177" s="31"/>
      <c r="O177" s="44" t="n">
        <f aca="false">E177*F177</f>
        <v>563200</v>
      </c>
    </row>
    <row r="178" customFormat="false" ht="15" hidden="false" customHeight="false" outlineLevel="0" collapsed="false">
      <c r="A178" s="37" t="n">
        <v>46079</v>
      </c>
      <c r="B178" s="38" t="s">
        <v>73</v>
      </c>
      <c r="C178" s="38" t="s">
        <v>47</v>
      </c>
      <c r="D178" s="38" t="s">
        <v>60</v>
      </c>
      <c r="E178" s="39" t="n">
        <v>8</v>
      </c>
      <c r="F178" s="40" t="n">
        <v>9300</v>
      </c>
      <c r="G178" s="31"/>
      <c r="O178" s="44" t="n">
        <f aca="false">E178*F178</f>
        <v>74400</v>
      </c>
    </row>
    <row r="179" customFormat="false" ht="15" hidden="false" customHeight="false" outlineLevel="0" collapsed="false">
      <c r="A179" s="27" t="n">
        <v>46080</v>
      </c>
      <c r="B179" s="28" t="s">
        <v>63</v>
      </c>
      <c r="C179" s="28" t="s">
        <v>47</v>
      </c>
      <c r="D179" s="28" t="s">
        <v>75</v>
      </c>
      <c r="E179" s="29" t="n">
        <v>3</v>
      </c>
      <c r="F179" s="30" t="n">
        <v>9000</v>
      </c>
      <c r="G179" s="31"/>
      <c r="O179" s="44" t="n">
        <f aca="false">E179*F179</f>
        <v>27000</v>
      </c>
    </row>
    <row r="180" customFormat="false" ht="15" hidden="false" customHeight="false" outlineLevel="0" collapsed="false">
      <c r="A180" s="37" t="n">
        <v>46081</v>
      </c>
      <c r="B180" s="38" t="s">
        <v>73</v>
      </c>
      <c r="C180" s="38" t="s">
        <v>74</v>
      </c>
      <c r="D180" s="38" t="s">
        <v>48</v>
      </c>
      <c r="E180" s="39" t="n">
        <v>32</v>
      </c>
      <c r="F180" s="40" t="n">
        <v>71200</v>
      </c>
      <c r="G180" s="31"/>
      <c r="O180" s="44" t="n">
        <f aca="false">E180*F180</f>
        <v>2278400</v>
      </c>
    </row>
    <row r="181" customFormat="false" ht="15" hidden="false" customHeight="false" outlineLevel="0" collapsed="false">
      <c r="A181" s="27" t="n">
        <v>46082</v>
      </c>
      <c r="B181" s="28" t="s">
        <v>52</v>
      </c>
      <c r="C181" s="28" t="s">
        <v>53</v>
      </c>
      <c r="D181" s="28" t="s">
        <v>54</v>
      </c>
      <c r="E181" s="29" t="n">
        <v>36</v>
      </c>
      <c r="F181" s="30" t="n">
        <v>13500</v>
      </c>
      <c r="G181" s="31"/>
      <c r="O181" s="44" t="n">
        <f aca="false">E181*F181</f>
        <v>486000</v>
      </c>
    </row>
    <row r="182" customFormat="false" ht="15" hidden="false" customHeight="false" outlineLevel="0" collapsed="false">
      <c r="A182" s="37" t="n">
        <v>46085</v>
      </c>
      <c r="B182" s="38" t="s">
        <v>78</v>
      </c>
      <c r="C182" s="38" t="s">
        <v>47</v>
      </c>
      <c r="D182" s="38" t="s">
        <v>60</v>
      </c>
      <c r="E182" s="39" t="n">
        <v>35</v>
      </c>
      <c r="F182" s="40" t="n">
        <v>10100</v>
      </c>
      <c r="G182" s="31"/>
      <c r="O182" s="44" t="n">
        <f aca="false">E182*F182</f>
        <v>353500</v>
      </c>
    </row>
    <row r="183" customFormat="false" ht="15" hidden="false" customHeight="false" outlineLevel="0" collapsed="false">
      <c r="A183" s="27" t="n">
        <v>46087</v>
      </c>
      <c r="B183" s="28" t="s">
        <v>46</v>
      </c>
      <c r="C183" s="28" t="s">
        <v>64</v>
      </c>
      <c r="D183" s="28" t="s">
        <v>70</v>
      </c>
      <c r="E183" s="29" t="n">
        <v>3</v>
      </c>
      <c r="F183" s="30" t="n">
        <v>153800</v>
      </c>
      <c r="G183" s="31"/>
      <c r="O183" s="44" t="n">
        <f aca="false">E183*F183</f>
        <v>461400</v>
      </c>
    </row>
    <row r="184" customFormat="false" ht="15" hidden="false" customHeight="false" outlineLevel="0" collapsed="false">
      <c r="A184" s="37" t="n">
        <v>46094</v>
      </c>
      <c r="B184" s="38" t="s">
        <v>78</v>
      </c>
      <c r="C184" s="38" t="s">
        <v>57</v>
      </c>
      <c r="D184" s="38" t="s">
        <v>65</v>
      </c>
      <c r="E184" s="39" t="n">
        <v>6</v>
      </c>
      <c r="F184" s="40" t="n">
        <v>5500</v>
      </c>
      <c r="G184" s="31"/>
      <c r="O184" s="44" t="n">
        <f aca="false">E184*F184</f>
        <v>33000</v>
      </c>
    </row>
    <row r="185" customFormat="false" ht="15" hidden="false" customHeight="false" outlineLevel="0" collapsed="false">
      <c r="A185" s="27" t="n">
        <v>46097</v>
      </c>
      <c r="B185" s="28" t="s">
        <v>52</v>
      </c>
      <c r="C185" s="28" t="s">
        <v>47</v>
      </c>
      <c r="D185" s="28" t="s">
        <v>70</v>
      </c>
      <c r="E185" s="29" t="n">
        <v>11</v>
      </c>
      <c r="F185" s="30" t="n">
        <v>9800</v>
      </c>
      <c r="G185" s="31"/>
      <c r="O185" s="44" t="n">
        <f aca="false">E185*F185</f>
        <v>107800</v>
      </c>
    </row>
    <row r="186" customFormat="false" ht="15" hidden="false" customHeight="false" outlineLevel="0" collapsed="false">
      <c r="A186" s="37" t="n">
        <v>46099</v>
      </c>
      <c r="B186" s="38" t="s">
        <v>52</v>
      </c>
      <c r="C186" s="38" t="s">
        <v>76</v>
      </c>
      <c r="D186" s="38" t="s">
        <v>75</v>
      </c>
      <c r="E186" s="39" t="n">
        <v>34</v>
      </c>
      <c r="F186" s="40" t="n">
        <v>23000</v>
      </c>
      <c r="G186" s="31"/>
      <c r="O186" s="44" t="n">
        <f aca="false">E186*F186</f>
        <v>782000</v>
      </c>
    </row>
    <row r="187" customFormat="false" ht="15" hidden="false" customHeight="false" outlineLevel="0" collapsed="false">
      <c r="A187" s="27" t="n">
        <v>46112</v>
      </c>
      <c r="B187" s="28" t="s">
        <v>73</v>
      </c>
      <c r="C187" s="28" t="s">
        <v>57</v>
      </c>
      <c r="D187" s="28" t="s">
        <v>77</v>
      </c>
      <c r="E187" s="29" t="n">
        <v>25</v>
      </c>
      <c r="F187" s="30" t="n">
        <v>5200</v>
      </c>
      <c r="G187" s="31"/>
      <c r="O187" s="44" t="n">
        <f aca="false">E187*F187</f>
        <v>130000</v>
      </c>
    </row>
    <row r="188" customFormat="false" ht="15" hidden="false" customHeight="false" outlineLevel="0" collapsed="false">
      <c r="A188" s="37" t="n">
        <v>46112</v>
      </c>
      <c r="B188" s="38" t="s">
        <v>52</v>
      </c>
      <c r="C188" s="38" t="s">
        <v>64</v>
      </c>
      <c r="D188" s="38" t="s">
        <v>75</v>
      </c>
      <c r="E188" s="39" t="n">
        <v>25</v>
      </c>
      <c r="F188" s="40" t="n">
        <v>161400</v>
      </c>
      <c r="G188" s="31"/>
      <c r="O188" s="44" t="n">
        <f aca="false">E188*F188</f>
        <v>4035000</v>
      </c>
    </row>
  </sheetData>
  <mergeCells count="3">
    <mergeCell ref="A1:M1"/>
    <mergeCell ref="A2:M2"/>
    <mergeCell ref="A3:M5"/>
  </mergeCells>
  <conditionalFormatting sqref="L9:L15">
    <cfRule type="expression" priority="2" aboveAverage="0" equalAverage="0" bottom="0" percent="0" rank="0" text="" dxfId="0">
      <formula>LEFT(L9,1)="✓"</formula>
    </cfRule>
    <cfRule type="expression" priority="3" aboveAverage="0" equalAverage="0" bottom="0" percent="0" rank="0" text="" dxfId="1">
      <formula>LEFT(L9,1)="✗"</formula>
    </cfRule>
    <cfRule type="expression" priority="4" aboveAverage="0" equalAverage="0" bottom="0" percent="0" rank="0" text="" dxfId="2">
      <formula>LEFT(L9,1)="✎"</formula>
    </cfRule>
    <cfRule type="expression" priority="5" aboveAverage="0" equalAverage="0" bottom="0" percent="0" rank="0" text="" dxfId="3">
      <formula>LEFT(L9,1)="◯"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W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6"/>
    <col collapsed="false" customWidth="true" hidden="false" outlineLevel="0" max="5" min="5" style="0" width="9"/>
    <col collapsed="false" customWidth="true" hidden="false" outlineLevel="0" max="6" min="6" style="0" width="11"/>
    <col collapsed="false" customWidth="true" hidden="false" outlineLevel="0" max="7" min="7" style="0" width="15"/>
    <col collapsed="false" customWidth="true" hidden="false" outlineLevel="0" max="8" min="8" style="0" width="10"/>
    <col collapsed="false" customWidth="true" hidden="false" outlineLevel="0" max="9" min="9" style="0" width="3"/>
    <col collapsed="false" customWidth="true" hidden="false" outlineLevel="0" max="10" min="10" style="0" width="5"/>
    <col collapsed="false" customWidth="true" hidden="false" outlineLevel="0" max="11" min="11" style="0" width="46"/>
    <col collapsed="false" customWidth="true" hidden="false" outlineLevel="0" max="12" min="12" style="0" width="18"/>
    <col collapsed="false" customWidth="true" hidden="false" outlineLevel="0" max="13" min="13" style="0" width="17"/>
    <col collapsed="false" customWidth="true" hidden="false" outlineLevel="0" max="14" min="14" style="0" width="38"/>
    <col collapsed="false" customWidth="true" hidden="false" outlineLevel="0" max="16" min="15" style="0" width="14"/>
    <col collapsed="false" customWidth="true" hidden="true" outlineLevel="0" max="24" min="17" style="0" width="13"/>
  </cols>
  <sheetData>
    <row r="1" customFormat="false" ht="31.5" hidden="false" customHeight="true" outlineLevel="0" collapsed="false">
      <c r="A1" s="47" t="s">
        <v>82</v>
      </c>
      <c r="B1" s="47"/>
      <c r="C1" s="47"/>
      <c r="D1" s="47"/>
      <c r="E1" s="47"/>
      <c r="F1" s="47"/>
      <c r="G1" s="47"/>
      <c r="H1" s="47"/>
      <c r="I1" s="47"/>
      <c r="J1" s="47"/>
      <c r="K1" s="47"/>
      <c r="L1" s="47"/>
      <c r="M1" s="47"/>
      <c r="N1" s="47"/>
      <c r="O1" s="47"/>
      <c r="P1" s="47"/>
    </row>
    <row r="2" customFormat="false" ht="19.5" hidden="false" customHeight="true" outlineLevel="0" collapsed="false">
      <c r="A2" s="48" t="s">
        <v>83</v>
      </c>
      <c r="B2" s="48"/>
      <c r="C2" s="48"/>
      <c r="D2" s="48"/>
      <c r="E2" s="48"/>
      <c r="F2" s="48"/>
      <c r="G2" s="48"/>
      <c r="H2" s="48"/>
      <c r="I2" s="48"/>
      <c r="J2" s="48"/>
      <c r="K2" s="48"/>
      <c r="L2" s="48"/>
      <c r="M2" s="48"/>
      <c r="N2" s="48"/>
      <c r="O2" s="48"/>
      <c r="P2" s="48"/>
    </row>
    <row r="3" customFormat="false" ht="18.75" hidden="false" customHeight="true" outlineLevel="0" collapsed="false">
      <c r="A3" s="49" t="s">
        <v>84</v>
      </c>
      <c r="B3" s="49"/>
      <c r="C3" s="49"/>
      <c r="D3" s="49"/>
      <c r="E3" s="49"/>
      <c r="F3" s="49"/>
      <c r="G3" s="49"/>
      <c r="H3" s="49"/>
      <c r="I3" s="49"/>
      <c r="J3" s="49"/>
      <c r="K3" s="49"/>
      <c r="L3" s="49"/>
      <c r="M3" s="49"/>
      <c r="N3" s="49"/>
      <c r="O3" s="49"/>
      <c r="P3" s="49"/>
    </row>
    <row r="4" customFormat="false" ht="18.75" hidden="false" customHeight="true" outlineLevel="0" collapsed="false">
      <c r="A4" s="49"/>
      <c r="B4" s="49"/>
      <c r="C4" s="49"/>
      <c r="D4" s="49"/>
      <c r="E4" s="49"/>
      <c r="F4" s="49"/>
      <c r="G4" s="49"/>
      <c r="H4" s="49"/>
      <c r="I4" s="49"/>
      <c r="J4" s="49"/>
      <c r="K4" s="49"/>
      <c r="L4" s="49"/>
      <c r="M4" s="49"/>
      <c r="N4" s="49"/>
      <c r="O4" s="49"/>
      <c r="P4" s="49"/>
    </row>
    <row r="5" customFormat="false" ht="18.75" hidden="false" customHeight="true" outlineLevel="0" collapsed="false">
      <c r="A5" s="49"/>
      <c r="B5" s="49"/>
      <c r="C5" s="49"/>
      <c r="D5" s="49"/>
      <c r="E5" s="49"/>
      <c r="F5" s="49"/>
      <c r="G5" s="49"/>
      <c r="H5" s="49"/>
      <c r="I5" s="49"/>
      <c r="J5" s="49"/>
      <c r="K5" s="49"/>
      <c r="L5" s="49"/>
      <c r="M5" s="49"/>
      <c r="N5" s="49"/>
      <c r="O5" s="49"/>
      <c r="P5" s="49"/>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G8" s="24" t="s">
        <v>41</v>
      </c>
      <c r="H8" s="25" t="s">
        <v>85</v>
      </c>
      <c r="J8" s="50" t="s">
        <v>14</v>
      </c>
      <c r="K8" s="50" t="s">
        <v>42</v>
      </c>
      <c r="L8" s="50" t="s">
        <v>43</v>
      </c>
      <c r="M8" s="50" t="s">
        <v>44</v>
      </c>
      <c r="N8" s="50" t="s">
        <v>45</v>
      </c>
    </row>
    <row r="9" customFormat="false" ht="33.75" hidden="false" customHeight="true" outlineLevel="0" collapsed="false">
      <c r="A9" s="27" t="n">
        <v>45749</v>
      </c>
      <c r="B9" s="28" t="s">
        <v>46</v>
      </c>
      <c r="C9" s="28" t="s">
        <v>47</v>
      </c>
      <c r="D9" s="28" t="s">
        <v>48</v>
      </c>
      <c r="E9" s="29" t="n">
        <v>12</v>
      </c>
      <c r="F9" s="30" t="n">
        <v>9800</v>
      </c>
      <c r="G9" s="30" t="n">
        <v>117600</v>
      </c>
      <c r="H9" s="51"/>
      <c r="J9" s="52" t="n">
        <v>1</v>
      </c>
      <c r="K9" s="33" t="s">
        <v>86</v>
      </c>
      <c r="L9" s="34" t="s">
        <v>87</v>
      </c>
      <c r="M9" s="35" t="str">
        <f aca="false">IF(COUNTA($H$9:$H$188)=0,"◯ Not attempted",IF(NOT(_xlfn.ISFORMULA(H9)),"✎ Use a formula",IFERROR(IF(SUMPRODUCT(--(UPPER(TRIM($H$9:$H$188&amp;""))=UPPER(TRIM($R$9:$R$188&amp;""))))=ROWS($H$9:$H$188),"✓ Correct","✗ "&amp;(ROWS($H$9:$H$188)-SUMPRODUCT(--(UPPER(TRIM($H$9:$H$188&amp;""))=UPPER(TRIM($R$9:$R$188&amp;"")))))&amp;" rows differ"),"✗ Check the column")))</f>
        <v>◯ Not attempted</v>
      </c>
      <c r="N9" s="36" t="s">
        <v>88</v>
      </c>
      <c r="R9" s="0" t="str">
        <f aca="false">TEXT(A9,"mmm-yy")</f>
        <v>Apr-25</v>
      </c>
    </row>
    <row r="10" customFormat="false" ht="33.75" hidden="false" customHeight="true" outlineLevel="0" collapsed="false">
      <c r="A10" s="37" t="n">
        <v>45749</v>
      </c>
      <c r="B10" s="38" t="s">
        <v>52</v>
      </c>
      <c r="C10" s="38" t="s">
        <v>53</v>
      </c>
      <c r="D10" s="38" t="s">
        <v>54</v>
      </c>
      <c r="E10" s="39" t="n">
        <v>21</v>
      </c>
      <c r="F10" s="40" t="n">
        <v>15200</v>
      </c>
      <c r="G10" s="40" t="n">
        <v>319200</v>
      </c>
      <c r="H10" s="51"/>
      <c r="J10" s="52" t="n">
        <v>2</v>
      </c>
      <c r="K10" s="33" t="s">
        <v>89</v>
      </c>
      <c r="L10" s="34" t="s">
        <v>90</v>
      </c>
      <c r="M10" s="35" t="str">
        <f aca="false">IF(COUNT($L$18:$P$29)=0,"◯ Not attempted",IF(NOT(_xlfn.ISFORMULA(L18)),"✎ Use a formula",IFERROR(IF(SUMPRODUCT(--(ABS($L$18:$P$29-$S$18:$W$29)&lt;0.01))=60,"✓ Correct","✗ "&amp;(60-SUMPRODUCT(--(ABS($L$18:$P$29-$S$18:$W$29)&lt;0.01)))&amp;" cells differ"),"✗ Check the grid")))</f>
        <v>◯ Not attempted</v>
      </c>
      <c r="N10" s="36" t="s">
        <v>91</v>
      </c>
      <c r="R10" s="0" t="str">
        <f aca="false">TEXT(A10,"mmm-yy")</f>
        <v>Apr-25</v>
      </c>
    </row>
    <row r="11" customFormat="false" ht="33.75" hidden="false" customHeight="true" outlineLevel="0" collapsed="false">
      <c r="A11" s="27" t="n">
        <v>45750</v>
      </c>
      <c r="B11" s="28" t="s">
        <v>46</v>
      </c>
      <c r="C11" s="28" t="s">
        <v>57</v>
      </c>
      <c r="D11" s="28" t="s">
        <v>48</v>
      </c>
      <c r="E11" s="29" t="n">
        <v>8</v>
      </c>
      <c r="F11" s="30" t="n">
        <v>5700</v>
      </c>
      <c r="G11" s="30" t="n">
        <v>45600</v>
      </c>
      <c r="H11" s="51"/>
      <c r="J11" s="52" t="n">
        <v>3</v>
      </c>
      <c r="K11" s="33" t="s">
        <v>92</v>
      </c>
      <c r="L11" s="41"/>
      <c r="M11" s="35" t="str">
        <f aca="false">IF(ISBLANK(L11),"◯ Not attempted",IF(NOT(_xlfn.ISFORMULA(L11)),"✎ Use a formula",IF(ISNUMBER(L11),IF(ABS(L11-$Q$11)&lt;0.005,"✓ Correct","✗ Check again"),"✗ Not a number")))</f>
        <v>◯ Not attempted</v>
      </c>
      <c r="N11" s="36" t="s">
        <v>93</v>
      </c>
      <c r="Q11" s="44" t="n">
        <f aca="false">164874500</f>
        <v>164874500</v>
      </c>
      <c r="R11" s="0" t="str">
        <f aca="false">TEXT(A11,"mmm-yy")</f>
        <v>Apr-25</v>
      </c>
    </row>
    <row r="12" customFormat="false" ht="33.75" hidden="false" customHeight="true" outlineLevel="0" collapsed="false">
      <c r="A12" s="37" t="n">
        <v>45751</v>
      </c>
      <c r="B12" s="38" t="s">
        <v>52</v>
      </c>
      <c r="C12" s="38" t="s">
        <v>53</v>
      </c>
      <c r="D12" s="38" t="s">
        <v>60</v>
      </c>
      <c r="E12" s="39" t="n">
        <v>24</v>
      </c>
      <c r="F12" s="40" t="n">
        <v>15300</v>
      </c>
      <c r="G12" s="40" t="n">
        <v>367200</v>
      </c>
      <c r="H12" s="51"/>
      <c r="J12" s="52" t="n">
        <v>4</v>
      </c>
      <c r="K12" s="33" t="s">
        <v>94</v>
      </c>
      <c r="L12" s="41"/>
      <c r="M12" s="35" t="str">
        <f aca="false">IF(ISBLANK(L12),"◯ Not attempted",IF(NOT(_xlfn.ISFORMULA(L12)),"✎ Use a formula",IF(ISNUMBER(L12),IF(ABS(L12-$Q$12)&lt;0.005,"✓ Correct","✗ Check again"),"✗ Not a number")))</f>
        <v>◯ Not attempted</v>
      </c>
      <c r="N12" s="36" t="s">
        <v>95</v>
      </c>
      <c r="Q12" s="44" t="n">
        <f aca="false">9140000</f>
        <v>9140000</v>
      </c>
      <c r="R12" s="0" t="str">
        <f aca="false">TEXT(A12,"mmm-yy")</f>
        <v>Apr-25</v>
      </c>
    </row>
    <row r="13" customFormat="false" ht="33.75" hidden="false" customHeight="true" outlineLevel="0" collapsed="false">
      <c r="A13" s="27" t="n">
        <v>45752</v>
      </c>
      <c r="B13" s="28" t="s">
        <v>63</v>
      </c>
      <c r="C13" s="28" t="s">
        <v>64</v>
      </c>
      <c r="D13" s="28" t="s">
        <v>65</v>
      </c>
      <c r="E13" s="29" t="n">
        <v>16</v>
      </c>
      <c r="F13" s="30" t="n">
        <v>138700</v>
      </c>
      <c r="G13" s="30" t="n">
        <v>2219200</v>
      </c>
      <c r="H13" s="51"/>
      <c r="J13" s="52" t="n">
        <v>5</v>
      </c>
      <c r="K13" s="33" t="s">
        <v>96</v>
      </c>
      <c r="L13" s="53"/>
      <c r="M13" s="35" t="str">
        <f aca="false">IF(ISBLANK(L13),"◯ Not attempted",IF(NOT(_xlfn.ISFORMULA(L13)),"✎ Use a formula",IF(UPPER(TRIM(L13&amp;""))=UPPER(TRIM($Q$13&amp;"")),"✓ Correct","✗ Check again")))</f>
        <v>◯ Not attempted</v>
      </c>
      <c r="N13" s="36" t="s">
        <v>97</v>
      </c>
      <c r="Q13" s="0" t="str">
        <f aca="false">"Aug-25"</f>
        <v>Aug-25</v>
      </c>
      <c r="R13" s="0" t="str">
        <f aca="false">TEXT(A13,"mmm-yy")</f>
        <v>Apr-25</v>
      </c>
    </row>
    <row r="14" customFormat="false" ht="33.75" hidden="false" customHeight="true" outlineLevel="0" collapsed="false">
      <c r="A14" s="37" t="n">
        <v>45753</v>
      </c>
      <c r="B14" s="38" t="s">
        <v>52</v>
      </c>
      <c r="C14" s="38" t="s">
        <v>47</v>
      </c>
      <c r="D14" s="38" t="s">
        <v>60</v>
      </c>
      <c r="E14" s="39" t="n">
        <v>38</v>
      </c>
      <c r="F14" s="40" t="n">
        <v>9000</v>
      </c>
      <c r="G14" s="40" t="n">
        <v>342000</v>
      </c>
      <c r="H14" s="51"/>
      <c r="J14" s="52" t="n">
        <v>6</v>
      </c>
      <c r="K14" s="33" t="s">
        <v>98</v>
      </c>
      <c r="L14" s="42"/>
      <c r="M14" s="35" t="str">
        <f aca="false">IF(ISBLANK(L14),"◯ Not attempted",IF(NOT(_xlfn.ISFORMULA(L14)),"✎ Use a formula",IF(ISNUMBER(L14),IF(ABS(L14-$Q$14)&lt;0.005,"✓ Correct","✗ Check again"),"✗ Not a number")))</f>
        <v>◯ Not attempted</v>
      </c>
      <c r="N14" s="36" t="s">
        <v>99</v>
      </c>
      <c r="Q14" s="43" t="n">
        <f aca="false">28</f>
        <v>28</v>
      </c>
      <c r="R14" s="0" t="str">
        <f aca="false">TEXT(A14,"mmm-yy")</f>
        <v>Apr-25</v>
      </c>
    </row>
    <row r="15" customFormat="false" ht="15" hidden="false" customHeight="false" outlineLevel="0" collapsed="false">
      <c r="A15" s="27" t="n">
        <v>45755</v>
      </c>
      <c r="B15" s="28" t="s">
        <v>63</v>
      </c>
      <c r="C15" s="28" t="s">
        <v>47</v>
      </c>
      <c r="D15" s="28" t="s">
        <v>70</v>
      </c>
      <c r="E15" s="29" t="n">
        <v>8</v>
      </c>
      <c r="F15" s="30" t="n">
        <v>9800</v>
      </c>
      <c r="G15" s="30" t="n">
        <v>78400</v>
      </c>
      <c r="H15" s="51"/>
      <c r="R15" s="0" t="str">
        <f aca="false">TEXT(A15,"mmm-yy")</f>
        <v>Apr-25</v>
      </c>
    </row>
    <row r="16" customFormat="false" ht="15" hidden="false" customHeight="false" outlineLevel="0" collapsed="false">
      <c r="A16" s="37" t="n">
        <v>45759</v>
      </c>
      <c r="B16" s="38" t="s">
        <v>46</v>
      </c>
      <c r="C16" s="38" t="s">
        <v>53</v>
      </c>
      <c r="D16" s="38" t="s">
        <v>70</v>
      </c>
      <c r="E16" s="39" t="n">
        <v>28</v>
      </c>
      <c r="F16" s="40" t="n">
        <v>13900</v>
      </c>
      <c r="G16" s="40" t="n">
        <v>389200</v>
      </c>
      <c r="H16" s="51"/>
      <c r="K16" s="54" t="s">
        <v>100</v>
      </c>
      <c r="R16" s="0" t="str">
        <f aca="false">TEXT(A16,"mmm-yy")</f>
        <v>Apr-25</v>
      </c>
    </row>
    <row r="17" customFormat="false" ht="15" hidden="false" customHeight="false" outlineLevel="0" collapsed="false">
      <c r="A17" s="27" t="n">
        <v>45761</v>
      </c>
      <c r="B17" s="28" t="s">
        <v>73</v>
      </c>
      <c r="C17" s="28" t="s">
        <v>74</v>
      </c>
      <c r="D17" s="28" t="s">
        <v>75</v>
      </c>
      <c r="E17" s="29" t="n">
        <v>27</v>
      </c>
      <c r="F17" s="30" t="n">
        <v>58500</v>
      </c>
      <c r="G17" s="30" t="n">
        <v>1579500</v>
      </c>
      <c r="H17" s="51"/>
      <c r="K17" s="55"/>
      <c r="L17" s="55" t="s">
        <v>73</v>
      </c>
      <c r="M17" s="55" t="s">
        <v>78</v>
      </c>
      <c r="N17" s="55" t="s">
        <v>52</v>
      </c>
      <c r="O17" s="55" t="s">
        <v>46</v>
      </c>
      <c r="P17" s="55" t="s">
        <v>63</v>
      </c>
      <c r="R17" s="0" t="str">
        <f aca="false">TEXT(A17,"mmm-yy")</f>
        <v>Apr-25</v>
      </c>
    </row>
    <row r="18" customFormat="false" ht="15" hidden="false" customHeight="false" outlineLevel="0" collapsed="false">
      <c r="A18" s="37" t="n">
        <v>45764</v>
      </c>
      <c r="B18" s="38" t="s">
        <v>46</v>
      </c>
      <c r="C18" s="38" t="s">
        <v>76</v>
      </c>
      <c r="D18" s="38" t="s">
        <v>65</v>
      </c>
      <c r="E18" s="39" t="n">
        <v>15</v>
      </c>
      <c r="F18" s="40" t="n">
        <v>26900</v>
      </c>
      <c r="G18" s="40" t="n">
        <v>403500</v>
      </c>
      <c r="H18" s="51"/>
      <c r="K18" s="56" t="s">
        <v>101</v>
      </c>
      <c r="L18" s="57"/>
      <c r="M18" s="57"/>
      <c r="N18" s="57"/>
      <c r="O18" s="57"/>
      <c r="P18" s="57"/>
      <c r="R18" s="0" t="str">
        <f aca="false">TEXT(A18,"mmm-yy")</f>
        <v>Apr-25</v>
      </c>
      <c r="S18" s="0" t="n">
        <f aca="false">SUMPRODUCT((TEXT($A$9:$A$188,"mmm-yy")=$K18)*($B$9:$B$188=L$17)*$G$9:$G$188)</f>
        <v>1829200</v>
      </c>
      <c r="T18" s="0" t="n">
        <f aca="false">SUMPRODUCT((TEXT($A$9:$A$188,"mmm-yy")=$K18)*($B$9:$B$188=M$17)*$G$9:$G$188)</f>
        <v>329700</v>
      </c>
      <c r="U18" s="0" t="n">
        <f aca="false">SUMPRODUCT((TEXT($A$9:$A$188,"mmm-yy")=$K18)*($B$9:$B$188=N$17)*$G$9:$G$188)</f>
        <v>1028400</v>
      </c>
      <c r="V18" s="0" t="n">
        <f aca="false">SUMPRODUCT((TEXT($A$9:$A$188,"mmm-yy")=$K18)*($B$9:$B$188=O$17)*$G$9:$G$188)</f>
        <v>986700</v>
      </c>
      <c r="W18" s="0" t="n">
        <f aca="false">SUMPRODUCT((TEXT($A$9:$A$188,"mmm-yy")=$K18)*($B$9:$B$188=P$17)*$G$9:$G$188)</f>
        <v>8363900</v>
      </c>
    </row>
    <row r="19" customFormat="false" ht="15" hidden="false" customHeight="false" outlineLevel="0" collapsed="false">
      <c r="A19" s="27" t="n">
        <v>45767</v>
      </c>
      <c r="B19" s="28" t="s">
        <v>63</v>
      </c>
      <c r="C19" s="28" t="s">
        <v>64</v>
      </c>
      <c r="D19" s="28" t="s">
        <v>77</v>
      </c>
      <c r="E19" s="29" t="n">
        <v>37</v>
      </c>
      <c r="F19" s="30" t="n">
        <v>160300</v>
      </c>
      <c r="G19" s="30" t="n">
        <v>5931100</v>
      </c>
      <c r="H19" s="51"/>
      <c r="K19" s="56" t="s">
        <v>102</v>
      </c>
      <c r="L19" s="57"/>
      <c r="M19" s="57"/>
      <c r="N19" s="57"/>
      <c r="O19" s="57"/>
      <c r="P19" s="57"/>
      <c r="R19" s="0" t="str">
        <f aca="false">TEXT(A19,"mmm-yy")</f>
        <v>Apr-25</v>
      </c>
      <c r="S19" s="0" t="n">
        <f aca="false">SUMPRODUCT((TEXT($A$9:$A$188,"mmm-yy")=$K19)*($B$9:$B$188=L$17)*$G$9:$G$188)</f>
        <v>2944400</v>
      </c>
      <c r="T19" s="0" t="n">
        <f aca="false">SUMPRODUCT((TEXT($A$9:$A$188,"mmm-yy")=$K19)*($B$9:$B$188=M$17)*$G$9:$G$188)</f>
        <v>3346800</v>
      </c>
      <c r="U19" s="0" t="n">
        <f aca="false">SUMPRODUCT((TEXT($A$9:$A$188,"mmm-yy")=$K19)*($B$9:$B$188=N$17)*$G$9:$G$188)</f>
        <v>3797000</v>
      </c>
      <c r="V19" s="0" t="n">
        <f aca="false">SUMPRODUCT((TEXT($A$9:$A$188,"mmm-yy")=$K19)*($B$9:$B$188=O$17)*$G$9:$G$188)</f>
        <v>408000</v>
      </c>
      <c r="W19" s="0" t="n">
        <f aca="false">SUMPRODUCT((TEXT($A$9:$A$188,"mmm-yy")=$K19)*($B$9:$B$188=P$17)*$G$9:$G$188)</f>
        <v>8049400</v>
      </c>
    </row>
    <row r="20" customFormat="false" ht="15" hidden="false" customHeight="false" outlineLevel="0" collapsed="false">
      <c r="A20" s="37" t="n">
        <v>45769</v>
      </c>
      <c r="B20" s="38" t="s">
        <v>63</v>
      </c>
      <c r="C20" s="38" t="s">
        <v>47</v>
      </c>
      <c r="D20" s="38" t="s">
        <v>65</v>
      </c>
      <c r="E20" s="39" t="n">
        <v>13</v>
      </c>
      <c r="F20" s="40" t="n">
        <v>10400</v>
      </c>
      <c r="G20" s="40" t="n">
        <v>135200</v>
      </c>
      <c r="H20" s="51"/>
      <c r="K20" s="56" t="s">
        <v>103</v>
      </c>
      <c r="L20" s="57"/>
      <c r="M20" s="57"/>
      <c r="N20" s="57"/>
      <c r="O20" s="57"/>
      <c r="P20" s="57"/>
      <c r="R20" s="0" t="str">
        <f aca="false">TEXT(A20,"mmm-yy")</f>
        <v>Apr-25</v>
      </c>
      <c r="S20" s="0" t="n">
        <f aca="false">SUMPRODUCT((TEXT($A$9:$A$188,"mmm-yy")=$K20)*($B$9:$B$188=L$17)*$G$9:$G$188)</f>
        <v>1840200</v>
      </c>
      <c r="T20" s="0" t="n">
        <f aca="false">SUMPRODUCT((TEXT($A$9:$A$188,"mmm-yy")=$K20)*($B$9:$B$188=M$17)*$G$9:$G$188)</f>
        <v>2822300</v>
      </c>
      <c r="U20" s="0" t="n">
        <f aca="false">SUMPRODUCT((TEXT($A$9:$A$188,"mmm-yy")=$K20)*($B$9:$B$188=N$17)*$G$9:$G$188)</f>
        <v>480700</v>
      </c>
      <c r="V20" s="0" t="n">
        <f aca="false">SUMPRODUCT((TEXT($A$9:$A$188,"mmm-yy")=$K20)*($B$9:$B$188=O$17)*$G$9:$G$188)</f>
        <v>0</v>
      </c>
      <c r="W20" s="0" t="n">
        <f aca="false">SUMPRODUCT((TEXT($A$9:$A$188,"mmm-yy")=$K20)*($B$9:$B$188=P$17)*$G$9:$G$188)</f>
        <v>3218400</v>
      </c>
    </row>
    <row r="21" customFormat="false" ht="15" hidden="false" customHeight="false" outlineLevel="0" collapsed="false">
      <c r="A21" s="27" t="n">
        <v>45772</v>
      </c>
      <c r="B21" s="28" t="s">
        <v>78</v>
      </c>
      <c r="C21" s="28" t="s">
        <v>53</v>
      </c>
      <c r="D21" s="28" t="s">
        <v>79</v>
      </c>
      <c r="E21" s="29" t="n">
        <v>21</v>
      </c>
      <c r="F21" s="30" t="n">
        <v>15700</v>
      </c>
      <c r="G21" s="30" t="n">
        <v>329700</v>
      </c>
      <c r="H21" s="51"/>
      <c r="K21" s="56" t="s">
        <v>104</v>
      </c>
      <c r="L21" s="57"/>
      <c r="M21" s="57"/>
      <c r="N21" s="57"/>
      <c r="O21" s="57"/>
      <c r="P21" s="57"/>
      <c r="R21" s="0" t="str">
        <f aca="false">TEXT(A21,"mmm-yy")</f>
        <v>Apr-25</v>
      </c>
      <c r="S21" s="0" t="n">
        <f aca="false">SUMPRODUCT((TEXT($A$9:$A$188,"mmm-yy")=$K21)*($B$9:$B$188=L$17)*$G$9:$G$188)</f>
        <v>9027200</v>
      </c>
      <c r="T21" s="0" t="n">
        <f aca="false">SUMPRODUCT((TEXT($A$9:$A$188,"mmm-yy")=$K21)*($B$9:$B$188=M$17)*$G$9:$G$188)</f>
        <v>58400</v>
      </c>
      <c r="U21" s="0" t="n">
        <f aca="false">SUMPRODUCT((TEXT($A$9:$A$188,"mmm-yy")=$K21)*($B$9:$B$188=N$17)*$G$9:$G$188)</f>
        <v>122400</v>
      </c>
      <c r="V21" s="0" t="n">
        <f aca="false">SUMPRODUCT((TEXT($A$9:$A$188,"mmm-yy")=$K21)*($B$9:$B$188=O$17)*$G$9:$G$188)</f>
        <v>12891200</v>
      </c>
      <c r="W21" s="0" t="n">
        <f aca="false">SUMPRODUCT((TEXT($A$9:$A$188,"mmm-yy")=$K21)*($B$9:$B$188=P$17)*$G$9:$G$188)</f>
        <v>4738200</v>
      </c>
    </row>
    <row r="22" customFormat="false" ht="15" hidden="false" customHeight="false" outlineLevel="0" collapsed="false">
      <c r="A22" s="37" t="n">
        <v>45773</v>
      </c>
      <c r="B22" s="38" t="s">
        <v>46</v>
      </c>
      <c r="C22" s="38" t="s">
        <v>53</v>
      </c>
      <c r="D22" s="38" t="s">
        <v>48</v>
      </c>
      <c r="E22" s="39" t="n">
        <v>2</v>
      </c>
      <c r="F22" s="40" t="n">
        <v>15400</v>
      </c>
      <c r="G22" s="40" t="n">
        <v>30800</v>
      </c>
      <c r="H22" s="51"/>
      <c r="K22" s="56" t="s">
        <v>105</v>
      </c>
      <c r="L22" s="57"/>
      <c r="M22" s="57"/>
      <c r="N22" s="57"/>
      <c r="O22" s="57"/>
      <c r="P22" s="57"/>
      <c r="R22" s="0" t="str">
        <f aca="false">TEXT(A22,"mmm-yy")</f>
        <v>Apr-25</v>
      </c>
      <c r="S22" s="0" t="n">
        <f aca="false">SUMPRODUCT((TEXT($A$9:$A$188,"mmm-yy")=$K22)*($B$9:$B$188=L$17)*$G$9:$G$188)</f>
        <v>9140000</v>
      </c>
      <c r="T22" s="0" t="n">
        <f aca="false">SUMPRODUCT((TEXT($A$9:$A$188,"mmm-yy")=$K22)*($B$9:$B$188=M$17)*$G$9:$G$188)</f>
        <v>3971600</v>
      </c>
      <c r="U22" s="0" t="n">
        <f aca="false">SUMPRODUCT((TEXT($A$9:$A$188,"mmm-yy")=$K22)*($B$9:$B$188=N$17)*$G$9:$G$188)</f>
        <v>11924900</v>
      </c>
      <c r="V22" s="0" t="n">
        <f aca="false">SUMPRODUCT((TEXT($A$9:$A$188,"mmm-yy")=$K22)*($B$9:$B$188=O$17)*$G$9:$G$188)</f>
        <v>493200</v>
      </c>
      <c r="W22" s="0" t="n">
        <f aca="false">SUMPRODUCT((TEXT($A$9:$A$188,"mmm-yy")=$K22)*($B$9:$B$188=P$17)*$G$9:$G$188)</f>
        <v>197600</v>
      </c>
    </row>
    <row r="23" customFormat="false" ht="15" hidden="false" customHeight="false" outlineLevel="0" collapsed="false">
      <c r="A23" s="27" t="n">
        <v>45776</v>
      </c>
      <c r="B23" s="28" t="s">
        <v>73</v>
      </c>
      <c r="C23" s="28" t="s">
        <v>76</v>
      </c>
      <c r="D23" s="28" t="s">
        <v>70</v>
      </c>
      <c r="E23" s="29" t="n">
        <v>11</v>
      </c>
      <c r="F23" s="30" t="n">
        <v>22700</v>
      </c>
      <c r="G23" s="30" t="n">
        <v>249700</v>
      </c>
      <c r="H23" s="51"/>
      <c r="K23" s="56" t="s">
        <v>106</v>
      </c>
      <c r="L23" s="57"/>
      <c r="M23" s="57"/>
      <c r="N23" s="57"/>
      <c r="O23" s="57"/>
      <c r="P23" s="57"/>
      <c r="R23" s="0" t="str">
        <f aca="false">TEXT(A23,"mmm-yy")</f>
        <v>Apr-25</v>
      </c>
      <c r="S23" s="0" t="n">
        <f aca="false">SUMPRODUCT((TEXT($A$9:$A$188,"mmm-yy")=$K23)*($B$9:$B$188=L$17)*$G$9:$G$188)</f>
        <v>2528100</v>
      </c>
      <c r="T23" s="0" t="n">
        <f aca="false">SUMPRODUCT((TEXT($A$9:$A$188,"mmm-yy")=$K23)*($B$9:$B$188=M$17)*$G$9:$G$188)</f>
        <v>1468200</v>
      </c>
      <c r="U23" s="0" t="n">
        <f aca="false">SUMPRODUCT((TEXT($A$9:$A$188,"mmm-yy")=$K23)*($B$9:$B$188=N$17)*$G$9:$G$188)</f>
        <v>5245500</v>
      </c>
      <c r="V23" s="0" t="n">
        <f aca="false">SUMPRODUCT((TEXT($A$9:$A$188,"mmm-yy")=$K23)*($B$9:$B$188=O$17)*$G$9:$G$188)</f>
        <v>2335600</v>
      </c>
      <c r="W23" s="0" t="n">
        <f aca="false">SUMPRODUCT((TEXT($A$9:$A$188,"mmm-yy")=$K23)*($B$9:$B$188=P$17)*$G$9:$G$188)</f>
        <v>2184300</v>
      </c>
    </row>
    <row r="24" customFormat="false" ht="15" hidden="false" customHeight="false" outlineLevel="0" collapsed="false">
      <c r="A24" s="37" t="n">
        <v>45782</v>
      </c>
      <c r="B24" s="38" t="s">
        <v>63</v>
      </c>
      <c r="C24" s="38" t="s">
        <v>74</v>
      </c>
      <c r="D24" s="38" t="s">
        <v>48</v>
      </c>
      <c r="E24" s="39" t="n">
        <v>21</v>
      </c>
      <c r="F24" s="40" t="n">
        <v>66900</v>
      </c>
      <c r="G24" s="40" t="n">
        <v>1404900</v>
      </c>
      <c r="H24" s="51"/>
      <c r="K24" s="56" t="s">
        <v>107</v>
      </c>
      <c r="L24" s="57"/>
      <c r="M24" s="57"/>
      <c r="N24" s="57"/>
      <c r="O24" s="57"/>
      <c r="P24" s="57"/>
      <c r="R24" s="0" t="str">
        <f aca="false">TEXT(A24,"mmm-yy")</f>
        <v>May-25</v>
      </c>
      <c r="S24" s="0" t="n">
        <f aca="false">SUMPRODUCT((TEXT($A$9:$A$188,"mmm-yy")=$K24)*($B$9:$B$188=L$17)*$G$9:$G$188)</f>
        <v>0</v>
      </c>
      <c r="T24" s="0" t="n">
        <f aca="false">SUMPRODUCT((TEXT($A$9:$A$188,"mmm-yy")=$K24)*($B$9:$B$188=M$17)*$G$9:$G$188)</f>
        <v>6067600</v>
      </c>
      <c r="U24" s="0" t="n">
        <f aca="false">SUMPRODUCT((TEXT($A$9:$A$188,"mmm-yy")=$K24)*($B$9:$B$188=N$17)*$G$9:$G$188)</f>
        <v>543900</v>
      </c>
      <c r="V24" s="0" t="n">
        <f aca="false">SUMPRODUCT((TEXT($A$9:$A$188,"mmm-yy")=$K24)*($B$9:$B$188=O$17)*$G$9:$G$188)</f>
        <v>328200</v>
      </c>
      <c r="W24" s="0" t="n">
        <f aca="false">SUMPRODUCT((TEXT($A$9:$A$188,"mmm-yy")=$K24)*($B$9:$B$188=P$17)*$G$9:$G$188)</f>
        <v>5520900</v>
      </c>
    </row>
    <row r="25" customFormat="false" ht="15" hidden="false" customHeight="false" outlineLevel="0" collapsed="false">
      <c r="A25" s="27" t="n">
        <v>45782</v>
      </c>
      <c r="B25" s="28" t="s">
        <v>63</v>
      </c>
      <c r="C25" s="28" t="s">
        <v>47</v>
      </c>
      <c r="D25" s="28" t="s">
        <v>75</v>
      </c>
      <c r="E25" s="29" t="n">
        <v>13</v>
      </c>
      <c r="F25" s="30" t="n">
        <v>10300</v>
      </c>
      <c r="G25" s="30" t="n">
        <v>133900</v>
      </c>
      <c r="H25" s="51"/>
      <c r="K25" s="56" t="s">
        <v>108</v>
      </c>
      <c r="L25" s="57"/>
      <c r="M25" s="57"/>
      <c r="N25" s="57"/>
      <c r="O25" s="57"/>
      <c r="P25" s="57"/>
      <c r="R25" s="0" t="str">
        <f aca="false">TEXT(A25,"mmm-yy")</f>
        <v>May-25</v>
      </c>
      <c r="S25" s="0" t="n">
        <f aca="false">SUMPRODUCT((TEXT($A$9:$A$188,"mmm-yy")=$K25)*($B$9:$B$188=L$17)*$G$9:$G$188)</f>
        <v>499500</v>
      </c>
      <c r="T25" s="0" t="n">
        <f aca="false">SUMPRODUCT((TEXT($A$9:$A$188,"mmm-yy")=$K25)*($B$9:$B$188=M$17)*$G$9:$G$188)</f>
        <v>347700</v>
      </c>
      <c r="U25" s="0" t="n">
        <f aca="false">SUMPRODUCT((TEXT($A$9:$A$188,"mmm-yy")=$K25)*($B$9:$B$188=N$17)*$G$9:$G$188)</f>
        <v>195600</v>
      </c>
      <c r="V25" s="0" t="n">
        <f aca="false">SUMPRODUCT((TEXT($A$9:$A$188,"mmm-yy")=$K25)*($B$9:$B$188=O$17)*$G$9:$G$188)</f>
        <v>2805800</v>
      </c>
      <c r="W25" s="0" t="n">
        <f aca="false">SUMPRODUCT((TEXT($A$9:$A$188,"mmm-yy")=$K25)*($B$9:$B$188=P$17)*$G$9:$G$188)</f>
        <v>0</v>
      </c>
    </row>
    <row r="26" customFormat="false" ht="15" hidden="false" customHeight="false" outlineLevel="0" collapsed="false">
      <c r="A26" s="37" t="n">
        <v>45782</v>
      </c>
      <c r="B26" s="38" t="s">
        <v>73</v>
      </c>
      <c r="C26" s="38" t="s">
        <v>74</v>
      </c>
      <c r="D26" s="38" t="s">
        <v>65</v>
      </c>
      <c r="E26" s="39" t="n">
        <v>29</v>
      </c>
      <c r="F26" s="40" t="n">
        <v>67400</v>
      </c>
      <c r="G26" s="40" t="n">
        <v>1954600</v>
      </c>
      <c r="H26" s="51"/>
      <c r="K26" s="56" t="s">
        <v>109</v>
      </c>
      <c r="L26" s="57"/>
      <c r="M26" s="57"/>
      <c r="N26" s="57"/>
      <c r="O26" s="57"/>
      <c r="P26" s="57"/>
      <c r="R26" s="0" t="str">
        <f aca="false">TEXT(A26,"mmm-yy")</f>
        <v>May-25</v>
      </c>
      <c r="S26" s="0" t="n">
        <f aca="false">SUMPRODUCT((TEXT($A$9:$A$188,"mmm-yy")=$K26)*($B$9:$B$188=L$17)*$G$9:$G$188)</f>
        <v>933000</v>
      </c>
      <c r="T26" s="0" t="n">
        <f aca="false">SUMPRODUCT((TEXT($A$9:$A$188,"mmm-yy")=$K26)*($B$9:$B$188=M$17)*$G$9:$G$188)</f>
        <v>906000</v>
      </c>
      <c r="U26" s="0" t="n">
        <f aca="false">SUMPRODUCT((TEXT($A$9:$A$188,"mmm-yy")=$K26)*($B$9:$B$188=N$17)*$G$9:$G$188)</f>
        <v>1176500</v>
      </c>
      <c r="V26" s="0" t="n">
        <f aca="false">SUMPRODUCT((TEXT($A$9:$A$188,"mmm-yy")=$K26)*($B$9:$B$188=O$17)*$G$9:$G$188)</f>
        <v>3899300</v>
      </c>
      <c r="W26" s="0" t="n">
        <f aca="false">SUMPRODUCT((TEXT($A$9:$A$188,"mmm-yy")=$K26)*($B$9:$B$188=P$17)*$G$9:$G$188)</f>
        <v>6279800</v>
      </c>
    </row>
    <row r="27" customFormat="false" ht="15" hidden="false" customHeight="false" outlineLevel="0" collapsed="false">
      <c r="A27" s="27" t="n">
        <v>45786</v>
      </c>
      <c r="B27" s="28" t="s">
        <v>52</v>
      </c>
      <c r="C27" s="28" t="s">
        <v>53</v>
      </c>
      <c r="D27" s="28" t="s">
        <v>80</v>
      </c>
      <c r="E27" s="29" t="n">
        <v>24</v>
      </c>
      <c r="F27" s="30" t="n">
        <v>13400</v>
      </c>
      <c r="G27" s="30" t="n">
        <v>321600</v>
      </c>
      <c r="H27" s="51"/>
      <c r="K27" s="56" t="s">
        <v>110</v>
      </c>
      <c r="L27" s="57"/>
      <c r="M27" s="57"/>
      <c r="N27" s="57"/>
      <c r="O27" s="57"/>
      <c r="P27" s="57"/>
      <c r="R27" s="0" t="str">
        <f aca="false">TEXT(A27,"mmm-yy")</f>
        <v>May-25</v>
      </c>
      <c r="S27" s="0" t="n">
        <f aca="false">SUMPRODUCT((TEXT($A$9:$A$188,"mmm-yy")=$K27)*($B$9:$B$188=L$17)*$G$9:$G$188)</f>
        <v>4358800</v>
      </c>
      <c r="T27" s="0" t="n">
        <f aca="false">SUMPRODUCT((TEXT($A$9:$A$188,"mmm-yy")=$K27)*($B$9:$B$188=M$17)*$G$9:$G$188)</f>
        <v>846000</v>
      </c>
      <c r="U27" s="0" t="n">
        <f aca="false">SUMPRODUCT((TEXT($A$9:$A$188,"mmm-yy")=$K27)*($B$9:$B$188=N$17)*$G$9:$G$188)</f>
        <v>4785000</v>
      </c>
      <c r="V27" s="0" t="n">
        <f aca="false">SUMPRODUCT((TEXT($A$9:$A$188,"mmm-yy")=$K27)*($B$9:$B$188=O$17)*$G$9:$G$188)</f>
        <v>346300</v>
      </c>
      <c r="W27" s="0" t="n">
        <f aca="false">SUMPRODUCT((TEXT($A$9:$A$188,"mmm-yy")=$K27)*($B$9:$B$188=P$17)*$G$9:$G$188)</f>
        <v>715900</v>
      </c>
    </row>
    <row r="28" customFormat="false" ht="15" hidden="false" customHeight="false" outlineLevel="0" collapsed="false">
      <c r="A28" s="37" t="n">
        <v>45787</v>
      </c>
      <c r="B28" s="38" t="s">
        <v>46</v>
      </c>
      <c r="C28" s="38" t="s">
        <v>47</v>
      </c>
      <c r="D28" s="38" t="s">
        <v>65</v>
      </c>
      <c r="E28" s="39" t="n">
        <v>21</v>
      </c>
      <c r="F28" s="40" t="n">
        <v>9900</v>
      </c>
      <c r="G28" s="40" t="n">
        <v>207900</v>
      </c>
      <c r="H28" s="51"/>
      <c r="K28" s="56" t="s">
        <v>111</v>
      </c>
      <c r="L28" s="57"/>
      <c r="M28" s="57"/>
      <c r="N28" s="57"/>
      <c r="O28" s="57"/>
      <c r="P28" s="57"/>
      <c r="R28" s="0" t="str">
        <f aca="false">TEXT(A28,"mmm-yy")</f>
        <v>May-25</v>
      </c>
      <c r="S28" s="0" t="n">
        <f aca="false">SUMPRODUCT((TEXT($A$9:$A$188,"mmm-yy")=$K28)*($B$9:$B$188=L$17)*$G$9:$G$188)</f>
        <v>3999200</v>
      </c>
      <c r="T28" s="0" t="n">
        <f aca="false">SUMPRODUCT((TEXT($A$9:$A$188,"mmm-yy")=$K28)*($B$9:$B$188=M$17)*$G$9:$G$188)</f>
        <v>1008800</v>
      </c>
      <c r="U28" s="0" t="n">
        <f aca="false">SUMPRODUCT((TEXT($A$9:$A$188,"mmm-yy")=$K28)*($B$9:$B$188=N$17)*$G$9:$G$188)</f>
        <v>543400</v>
      </c>
      <c r="V28" s="0" t="n">
        <f aca="false">SUMPRODUCT((TEXT($A$9:$A$188,"mmm-yy")=$K28)*($B$9:$B$188=O$17)*$G$9:$G$188)</f>
        <v>2502000</v>
      </c>
      <c r="W28" s="0" t="n">
        <f aca="false">SUMPRODUCT((TEXT($A$9:$A$188,"mmm-yy")=$K28)*($B$9:$B$188=P$17)*$G$9:$G$188)</f>
        <v>4105100</v>
      </c>
    </row>
    <row r="29" customFormat="false" ht="15" hidden="false" customHeight="false" outlineLevel="0" collapsed="false">
      <c r="A29" s="27" t="n">
        <v>45791</v>
      </c>
      <c r="B29" s="28" t="s">
        <v>78</v>
      </c>
      <c r="C29" s="28" t="s">
        <v>53</v>
      </c>
      <c r="D29" s="28" t="s">
        <v>80</v>
      </c>
      <c r="E29" s="29" t="n">
        <v>21</v>
      </c>
      <c r="F29" s="30" t="n">
        <v>15200</v>
      </c>
      <c r="G29" s="30" t="n">
        <v>319200</v>
      </c>
      <c r="H29" s="51"/>
      <c r="K29" s="56" t="s">
        <v>112</v>
      </c>
      <c r="L29" s="57"/>
      <c r="M29" s="57"/>
      <c r="N29" s="57"/>
      <c r="O29" s="57"/>
      <c r="P29" s="57"/>
      <c r="R29" s="0" t="str">
        <f aca="false">TEXT(A29,"mmm-yy")</f>
        <v>May-25</v>
      </c>
      <c r="S29" s="0" t="n">
        <f aca="false">SUMPRODUCT((TEXT($A$9:$A$188,"mmm-yy")=$K29)*($B$9:$B$188=L$17)*$G$9:$G$188)</f>
        <v>130000</v>
      </c>
      <c r="T29" s="0" t="n">
        <f aca="false">SUMPRODUCT((TEXT($A$9:$A$188,"mmm-yy")=$K29)*($B$9:$B$188=M$17)*$G$9:$G$188)</f>
        <v>386500</v>
      </c>
      <c r="U29" s="0" t="n">
        <f aca="false">SUMPRODUCT((TEXT($A$9:$A$188,"mmm-yy")=$K29)*($B$9:$B$188=N$17)*$G$9:$G$188)</f>
        <v>5410800</v>
      </c>
      <c r="V29" s="0" t="n">
        <f aca="false">SUMPRODUCT((TEXT($A$9:$A$188,"mmm-yy")=$K29)*($B$9:$B$188=O$17)*$G$9:$G$188)</f>
        <v>461400</v>
      </c>
      <c r="W29" s="0" t="n">
        <f aca="false">SUMPRODUCT((TEXT($A$9:$A$188,"mmm-yy")=$K29)*($B$9:$B$188=P$17)*$G$9:$G$188)</f>
        <v>0</v>
      </c>
    </row>
    <row r="30" customFormat="false" ht="15" hidden="false" customHeight="false" outlineLevel="0" collapsed="false">
      <c r="A30" s="37" t="n">
        <v>45794</v>
      </c>
      <c r="B30" s="38" t="s">
        <v>46</v>
      </c>
      <c r="C30" s="38" t="s">
        <v>47</v>
      </c>
      <c r="D30" s="38" t="s">
        <v>60</v>
      </c>
      <c r="E30" s="39" t="n">
        <v>17</v>
      </c>
      <c r="F30" s="40" t="n">
        <v>10200</v>
      </c>
      <c r="G30" s="40" t="n">
        <v>173400</v>
      </c>
      <c r="H30" s="51"/>
      <c r="R30" s="0" t="str">
        <f aca="false">TEXT(A30,"mmm-yy")</f>
        <v>May-25</v>
      </c>
    </row>
    <row r="31" customFormat="false" ht="15" hidden="false" customHeight="false" outlineLevel="0" collapsed="false">
      <c r="A31" s="27" t="n">
        <v>45797</v>
      </c>
      <c r="B31" s="28" t="s">
        <v>63</v>
      </c>
      <c r="C31" s="28" t="s">
        <v>64</v>
      </c>
      <c r="D31" s="28" t="s">
        <v>48</v>
      </c>
      <c r="E31" s="29" t="n">
        <v>8</v>
      </c>
      <c r="F31" s="30" t="n">
        <v>136000</v>
      </c>
      <c r="G31" s="30" t="n">
        <v>1088000</v>
      </c>
      <c r="H31" s="51"/>
      <c r="R31" s="0" t="str">
        <f aca="false">TEXT(A31,"mmm-yy")</f>
        <v>May-25</v>
      </c>
    </row>
    <row r="32" customFormat="false" ht="15" hidden="false" customHeight="false" outlineLevel="0" collapsed="false">
      <c r="A32" s="37" t="n">
        <v>45797</v>
      </c>
      <c r="B32" s="38" t="s">
        <v>52</v>
      </c>
      <c r="C32" s="38" t="s">
        <v>53</v>
      </c>
      <c r="D32" s="38" t="s">
        <v>80</v>
      </c>
      <c r="E32" s="39" t="n">
        <v>37</v>
      </c>
      <c r="F32" s="40" t="n">
        <v>14000</v>
      </c>
      <c r="G32" s="40" t="n">
        <v>518000</v>
      </c>
      <c r="H32" s="51"/>
      <c r="R32" s="0" t="str">
        <f aca="false">TEXT(A32,"mmm-yy")</f>
        <v>May-25</v>
      </c>
    </row>
    <row r="33" customFormat="false" ht="15" hidden="false" customHeight="false" outlineLevel="0" collapsed="false">
      <c r="A33" s="27" t="n">
        <v>45798</v>
      </c>
      <c r="B33" s="28" t="s">
        <v>63</v>
      </c>
      <c r="C33" s="28" t="s">
        <v>57</v>
      </c>
      <c r="D33" s="28" t="s">
        <v>70</v>
      </c>
      <c r="E33" s="29" t="n">
        <v>19</v>
      </c>
      <c r="F33" s="30" t="n">
        <v>5000</v>
      </c>
      <c r="G33" s="30" t="n">
        <v>95000</v>
      </c>
      <c r="H33" s="51"/>
      <c r="R33" s="0" t="str">
        <f aca="false">TEXT(A33,"mmm-yy")</f>
        <v>May-25</v>
      </c>
    </row>
    <row r="34" customFormat="false" ht="15" hidden="false" customHeight="false" outlineLevel="0" collapsed="false">
      <c r="A34" s="37" t="n">
        <v>45798</v>
      </c>
      <c r="B34" s="38" t="s">
        <v>52</v>
      </c>
      <c r="C34" s="38" t="s">
        <v>64</v>
      </c>
      <c r="D34" s="38" t="s">
        <v>54</v>
      </c>
      <c r="E34" s="39" t="n">
        <v>18</v>
      </c>
      <c r="F34" s="40" t="n">
        <v>164300</v>
      </c>
      <c r="G34" s="40" t="n">
        <v>2957400</v>
      </c>
      <c r="H34" s="51"/>
      <c r="R34" s="0" t="str">
        <f aca="false">TEXT(A34,"mmm-yy")</f>
        <v>May-25</v>
      </c>
    </row>
    <row r="35" customFormat="false" ht="15" hidden="false" customHeight="false" outlineLevel="0" collapsed="false">
      <c r="A35" s="27" t="n">
        <v>45800</v>
      </c>
      <c r="B35" s="28" t="s">
        <v>46</v>
      </c>
      <c r="C35" s="28" t="s">
        <v>47</v>
      </c>
      <c r="D35" s="28" t="s">
        <v>54</v>
      </c>
      <c r="E35" s="29" t="n">
        <v>3</v>
      </c>
      <c r="F35" s="30" t="n">
        <v>8900</v>
      </c>
      <c r="G35" s="30" t="n">
        <v>26700</v>
      </c>
      <c r="H35" s="51"/>
      <c r="R35" s="0" t="str">
        <f aca="false">TEXT(A35,"mmm-yy")</f>
        <v>May-25</v>
      </c>
    </row>
    <row r="36" customFormat="false" ht="15" hidden="false" customHeight="false" outlineLevel="0" collapsed="false">
      <c r="A36" s="37" t="n">
        <v>45800</v>
      </c>
      <c r="B36" s="38" t="s">
        <v>63</v>
      </c>
      <c r="C36" s="38" t="s">
        <v>64</v>
      </c>
      <c r="D36" s="38" t="s">
        <v>70</v>
      </c>
      <c r="E36" s="39" t="n">
        <v>38</v>
      </c>
      <c r="F36" s="40" t="n">
        <v>140200</v>
      </c>
      <c r="G36" s="40" t="n">
        <v>5327600</v>
      </c>
      <c r="H36" s="51"/>
      <c r="R36" s="0" t="str">
        <f aca="false">TEXT(A36,"mmm-yy")</f>
        <v>May-25</v>
      </c>
    </row>
    <row r="37" customFormat="false" ht="15" hidden="false" customHeight="false" outlineLevel="0" collapsed="false">
      <c r="A37" s="27" t="n">
        <v>45802</v>
      </c>
      <c r="B37" s="28" t="s">
        <v>78</v>
      </c>
      <c r="C37" s="28" t="s">
        <v>64</v>
      </c>
      <c r="D37" s="28" t="s">
        <v>79</v>
      </c>
      <c r="E37" s="29" t="n">
        <v>18</v>
      </c>
      <c r="F37" s="30" t="n">
        <v>168200</v>
      </c>
      <c r="G37" s="30" t="n">
        <v>3027600</v>
      </c>
      <c r="H37" s="51"/>
      <c r="R37" s="0" t="str">
        <f aca="false">TEXT(A37,"mmm-yy")</f>
        <v>May-25</v>
      </c>
    </row>
    <row r="38" customFormat="false" ht="15" hidden="false" customHeight="false" outlineLevel="0" collapsed="false">
      <c r="A38" s="37" t="n">
        <v>45803</v>
      </c>
      <c r="B38" s="38" t="s">
        <v>73</v>
      </c>
      <c r="C38" s="38" t="s">
        <v>74</v>
      </c>
      <c r="D38" s="38" t="s">
        <v>65</v>
      </c>
      <c r="E38" s="39" t="n">
        <v>14</v>
      </c>
      <c r="F38" s="40" t="n">
        <v>70700</v>
      </c>
      <c r="G38" s="40" t="n">
        <v>989800</v>
      </c>
      <c r="H38" s="51"/>
      <c r="R38" s="0" t="str">
        <f aca="false">TEXT(A38,"mmm-yy")</f>
        <v>May-25</v>
      </c>
    </row>
    <row r="39" customFormat="false" ht="15" hidden="false" customHeight="false" outlineLevel="0" collapsed="false">
      <c r="A39" s="27" t="n">
        <v>45810</v>
      </c>
      <c r="B39" s="28" t="s">
        <v>78</v>
      </c>
      <c r="C39" s="28" t="s">
        <v>74</v>
      </c>
      <c r="D39" s="28" t="s">
        <v>60</v>
      </c>
      <c r="E39" s="29" t="n">
        <v>28</v>
      </c>
      <c r="F39" s="30" t="n">
        <v>62700</v>
      </c>
      <c r="G39" s="30" t="n">
        <v>1755600</v>
      </c>
      <c r="H39" s="51"/>
      <c r="R39" s="0" t="str">
        <f aca="false">TEXT(A39,"mmm-yy")</f>
        <v>Jun-25</v>
      </c>
    </row>
    <row r="40" customFormat="false" ht="15" hidden="false" customHeight="false" outlineLevel="0" collapsed="false">
      <c r="A40" s="37" t="n">
        <v>45813</v>
      </c>
      <c r="B40" s="38" t="s">
        <v>78</v>
      </c>
      <c r="C40" s="38" t="s">
        <v>76</v>
      </c>
      <c r="D40" s="38" t="s">
        <v>60</v>
      </c>
      <c r="E40" s="39" t="n">
        <v>15</v>
      </c>
      <c r="F40" s="40" t="n">
        <v>25700</v>
      </c>
      <c r="G40" s="40" t="n">
        <v>385500</v>
      </c>
      <c r="H40" s="51"/>
      <c r="R40" s="0" t="str">
        <f aca="false">TEXT(A40,"mmm-yy")</f>
        <v>Jun-25</v>
      </c>
    </row>
    <row r="41" customFormat="false" ht="15" hidden="false" customHeight="false" outlineLevel="0" collapsed="false">
      <c r="A41" s="27" t="n">
        <v>45815</v>
      </c>
      <c r="B41" s="28" t="s">
        <v>63</v>
      </c>
      <c r="C41" s="28" t="s">
        <v>74</v>
      </c>
      <c r="D41" s="28" t="s">
        <v>77</v>
      </c>
      <c r="E41" s="29" t="n">
        <v>24</v>
      </c>
      <c r="F41" s="30" t="n">
        <v>68000</v>
      </c>
      <c r="G41" s="30" t="n">
        <v>1632000</v>
      </c>
      <c r="H41" s="51"/>
      <c r="R41" s="0" t="str">
        <f aca="false">TEXT(A41,"mmm-yy")</f>
        <v>Jun-25</v>
      </c>
    </row>
    <row r="42" customFormat="false" ht="15" hidden="false" customHeight="false" outlineLevel="0" collapsed="false">
      <c r="A42" s="37" t="n">
        <v>45818</v>
      </c>
      <c r="B42" s="38" t="s">
        <v>63</v>
      </c>
      <c r="C42" s="38" t="s">
        <v>53</v>
      </c>
      <c r="D42" s="38" t="s">
        <v>79</v>
      </c>
      <c r="E42" s="39" t="n">
        <v>1</v>
      </c>
      <c r="F42" s="40" t="n">
        <v>16600</v>
      </c>
      <c r="G42" s="40" t="n">
        <v>16600</v>
      </c>
      <c r="H42" s="51"/>
      <c r="R42" s="0" t="str">
        <f aca="false">TEXT(A42,"mmm-yy")</f>
        <v>Jun-25</v>
      </c>
    </row>
    <row r="43" customFormat="false" ht="15" hidden="false" customHeight="false" outlineLevel="0" collapsed="false">
      <c r="A43" s="27" t="n">
        <v>45826</v>
      </c>
      <c r="B43" s="28" t="s">
        <v>52</v>
      </c>
      <c r="C43" s="28" t="s">
        <v>76</v>
      </c>
      <c r="D43" s="28" t="s">
        <v>77</v>
      </c>
      <c r="E43" s="29" t="n">
        <v>19</v>
      </c>
      <c r="F43" s="30" t="n">
        <v>25300</v>
      </c>
      <c r="G43" s="30" t="n">
        <v>480700</v>
      </c>
      <c r="H43" s="51"/>
      <c r="R43" s="0" t="str">
        <f aca="false">TEXT(A43,"mmm-yy")</f>
        <v>Jun-25</v>
      </c>
    </row>
    <row r="44" customFormat="false" ht="15" hidden="false" customHeight="false" outlineLevel="0" collapsed="false">
      <c r="A44" s="37" t="n">
        <v>45827</v>
      </c>
      <c r="B44" s="38" t="s">
        <v>73</v>
      </c>
      <c r="C44" s="38" t="s">
        <v>76</v>
      </c>
      <c r="D44" s="38" t="s">
        <v>81</v>
      </c>
      <c r="E44" s="39" t="n">
        <v>25</v>
      </c>
      <c r="F44" s="40" t="n">
        <v>21300</v>
      </c>
      <c r="G44" s="40" t="n">
        <v>532500</v>
      </c>
      <c r="H44" s="51"/>
      <c r="R44" s="0" t="str">
        <f aca="false">TEXT(A44,"mmm-yy")</f>
        <v>Jun-25</v>
      </c>
    </row>
    <row r="45" customFormat="false" ht="15" hidden="false" customHeight="false" outlineLevel="0" collapsed="false">
      <c r="A45" s="27" t="n">
        <v>45827</v>
      </c>
      <c r="B45" s="28" t="s">
        <v>78</v>
      </c>
      <c r="C45" s="28" t="s">
        <v>76</v>
      </c>
      <c r="D45" s="28" t="s">
        <v>77</v>
      </c>
      <c r="E45" s="29" t="n">
        <v>26</v>
      </c>
      <c r="F45" s="30" t="n">
        <v>26200</v>
      </c>
      <c r="G45" s="30" t="n">
        <v>681200</v>
      </c>
      <c r="H45" s="51"/>
      <c r="R45" s="0" t="str">
        <f aca="false">TEXT(A45,"mmm-yy")</f>
        <v>Jun-25</v>
      </c>
    </row>
    <row r="46" customFormat="false" ht="15" hidden="false" customHeight="false" outlineLevel="0" collapsed="false">
      <c r="A46" s="37" t="n">
        <v>45832</v>
      </c>
      <c r="B46" s="38" t="s">
        <v>63</v>
      </c>
      <c r="C46" s="38" t="s">
        <v>47</v>
      </c>
      <c r="D46" s="38" t="s">
        <v>65</v>
      </c>
      <c r="E46" s="39" t="n">
        <v>35</v>
      </c>
      <c r="F46" s="40" t="n">
        <v>9400</v>
      </c>
      <c r="G46" s="40" t="n">
        <v>329000</v>
      </c>
      <c r="H46" s="51"/>
      <c r="R46" s="0" t="str">
        <f aca="false">TEXT(A46,"mmm-yy")</f>
        <v>Jun-25</v>
      </c>
    </row>
    <row r="47" customFormat="false" ht="15" hidden="false" customHeight="false" outlineLevel="0" collapsed="false">
      <c r="A47" s="27" t="n">
        <v>45833</v>
      </c>
      <c r="B47" s="28" t="s">
        <v>73</v>
      </c>
      <c r="C47" s="28" t="s">
        <v>64</v>
      </c>
      <c r="D47" s="28" t="s">
        <v>75</v>
      </c>
      <c r="E47" s="29" t="n">
        <v>9</v>
      </c>
      <c r="F47" s="30" t="n">
        <v>145300</v>
      </c>
      <c r="G47" s="30" t="n">
        <v>1307700</v>
      </c>
      <c r="H47" s="51"/>
      <c r="R47" s="0" t="str">
        <f aca="false">TEXT(A47,"mmm-yy")</f>
        <v>Jun-25</v>
      </c>
    </row>
    <row r="48" customFormat="false" ht="15" hidden="false" customHeight="false" outlineLevel="0" collapsed="false">
      <c r="A48" s="37" t="n">
        <v>45835</v>
      </c>
      <c r="B48" s="38" t="s">
        <v>63</v>
      </c>
      <c r="C48" s="38" t="s">
        <v>74</v>
      </c>
      <c r="D48" s="38" t="s">
        <v>60</v>
      </c>
      <c r="E48" s="39" t="n">
        <v>22</v>
      </c>
      <c r="F48" s="40" t="n">
        <v>56400</v>
      </c>
      <c r="G48" s="40" t="n">
        <v>1240800</v>
      </c>
      <c r="H48" s="51"/>
      <c r="R48" s="0" t="str">
        <f aca="false">TEXT(A48,"mmm-yy")</f>
        <v>Jun-25</v>
      </c>
    </row>
    <row r="49" customFormat="false" ht="15" hidden="false" customHeight="false" outlineLevel="0" collapsed="false">
      <c r="A49" s="27" t="n">
        <v>45839</v>
      </c>
      <c r="B49" s="28" t="s">
        <v>46</v>
      </c>
      <c r="C49" s="28" t="s">
        <v>64</v>
      </c>
      <c r="D49" s="28" t="s">
        <v>65</v>
      </c>
      <c r="E49" s="29" t="n">
        <v>33</v>
      </c>
      <c r="F49" s="30" t="n">
        <v>156300</v>
      </c>
      <c r="G49" s="30" t="n">
        <v>5157900</v>
      </c>
      <c r="H49" s="51"/>
      <c r="R49" s="0" t="str">
        <f aca="false">TEXT(A49,"mmm-yy")</f>
        <v>Jul-25</v>
      </c>
    </row>
    <row r="50" customFormat="false" ht="15" hidden="false" customHeight="false" outlineLevel="0" collapsed="false">
      <c r="A50" s="37" t="n">
        <v>45846</v>
      </c>
      <c r="B50" s="38" t="s">
        <v>73</v>
      </c>
      <c r="C50" s="38" t="s">
        <v>64</v>
      </c>
      <c r="D50" s="38" t="s">
        <v>75</v>
      </c>
      <c r="E50" s="39" t="n">
        <v>23</v>
      </c>
      <c r="F50" s="40" t="n">
        <v>153100</v>
      </c>
      <c r="G50" s="40" t="n">
        <v>3521300</v>
      </c>
      <c r="H50" s="51"/>
      <c r="R50" s="0" t="str">
        <f aca="false">TEXT(A50,"mmm-yy")</f>
        <v>Jul-25</v>
      </c>
    </row>
    <row r="51" customFormat="false" ht="15" hidden="false" customHeight="false" outlineLevel="0" collapsed="false">
      <c r="A51" s="27" t="n">
        <v>45848</v>
      </c>
      <c r="B51" s="28" t="s">
        <v>46</v>
      </c>
      <c r="C51" s="28" t="s">
        <v>53</v>
      </c>
      <c r="D51" s="28" t="s">
        <v>60</v>
      </c>
      <c r="E51" s="29" t="n">
        <v>23</v>
      </c>
      <c r="F51" s="30" t="n">
        <v>14200</v>
      </c>
      <c r="G51" s="30" t="n">
        <v>326600</v>
      </c>
      <c r="H51" s="51"/>
      <c r="R51" s="0" t="str">
        <f aca="false">TEXT(A51,"mmm-yy")</f>
        <v>Jul-25</v>
      </c>
    </row>
    <row r="52" customFormat="false" ht="15" hidden="false" customHeight="false" outlineLevel="0" collapsed="false">
      <c r="A52" s="37" t="n">
        <v>45852</v>
      </c>
      <c r="B52" s="38" t="s">
        <v>63</v>
      </c>
      <c r="C52" s="38" t="s">
        <v>53</v>
      </c>
      <c r="D52" s="38" t="s">
        <v>75</v>
      </c>
      <c r="E52" s="39" t="n">
        <v>8</v>
      </c>
      <c r="F52" s="40" t="n">
        <v>15700</v>
      </c>
      <c r="G52" s="40" t="n">
        <v>125600</v>
      </c>
      <c r="H52" s="51"/>
      <c r="R52" s="0" t="str">
        <f aca="false">TEXT(A52,"mmm-yy")</f>
        <v>Jul-25</v>
      </c>
    </row>
    <row r="53" customFormat="false" ht="15" hidden="false" customHeight="false" outlineLevel="0" collapsed="false">
      <c r="A53" s="27" t="n">
        <v>45854</v>
      </c>
      <c r="B53" s="28" t="s">
        <v>63</v>
      </c>
      <c r="C53" s="28" t="s">
        <v>47</v>
      </c>
      <c r="D53" s="28" t="s">
        <v>75</v>
      </c>
      <c r="E53" s="29" t="n">
        <v>22</v>
      </c>
      <c r="F53" s="30" t="n">
        <v>10600</v>
      </c>
      <c r="G53" s="30" t="n">
        <v>233200</v>
      </c>
      <c r="H53" s="51"/>
      <c r="R53" s="0" t="str">
        <f aca="false">TEXT(A53,"mmm-yy")</f>
        <v>Jul-25</v>
      </c>
    </row>
    <row r="54" customFormat="false" ht="15" hidden="false" customHeight="false" outlineLevel="0" collapsed="false">
      <c r="A54" s="37" t="n">
        <v>45854</v>
      </c>
      <c r="B54" s="38" t="s">
        <v>46</v>
      </c>
      <c r="C54" s="38" t="s">
        <v>74</v>
      </c>
      <c r="D54" s="38" t="s">
        <v>81</v>
      </c>
      <c r="E54" s="39" t="n">
        <v>13</v>
      </c>
      <c r="F54" s="40" t="n">
        <v>57700</v>
      </c>
      <c r="G54" s="40" t="n">
        <v>750100</v>
      </c>
      <c r="H54" s="51"/>
      <c r="R54" s="0" t="str">
        <f aca="false">TEXT(A54,"mmm-yy")</f>
        <v>Jul-25</v>
      </c>
    </row>
    <row r="55" customFormat="false" ht="15" hidden="false" customHeight="false" outlineLevel="0" collapsed="false">
      <c r="A55" s="27" t="n">
        <v>45855</v>
      </c>
      <c r="B55" s="28" t="s">
        <v>78</v>
      </c>
      <c r="C55" s="28" t="s">
        <v>53</v>
      </c>
      <c r="D55" s="28" t="s">
        <v>48</v>
      </c>
      <c r="E55" s="29" t="n">
        <v>4</v>
      </c>
      <c r="F55" s="30" t="n">
        <v>14600</v>
      </c>
      <c r="G55" s="30" t="n">
        <v>58400</v>
      </c>
      <c r="H55" s="51"/>
      <c r="R55" s="0" t="str">
        <f aca="false">TEXT(A55,"mmm-yy")</f>
        <v>Jul-25</v>
      </c>
    </row>
    <row r="56" customFormat="false" ht="15" hidden="false" customHeight="false" outlineLevel="0" collapsed="false">
      <c r="A56" s="37" t="n">
        <v>45862</v>
      </c>
      <c r="B56" s="38" t="s">
        <v>73</v>
      </c>
      <c r="C56" s="38" t="s">
        <v>47</v>
      </c>
      <c r="D56" s="38" t="s">
        <v>80</v>
      </c>
      <c r="E56" s="39" t="n">
        <v>13</v>
      </c>
      <c r="F56" s="40" t="n">
        <v>9700</v>
      </c>
      <c r="G56" s="40" t="n">
        <v>126100</v>
      </c>
      <c r="H56" s="51"/>
      <c r="R56" s="0" t="str">
        <f aca="false">TEXT(A56,"mmm-yy")</f>
        <v>Jul-25</v>
      </c>
    </row>
    <row r="57" customFormat="false" ht="15" hidden="false" customHeight="false" outlineLevel="0" collapsed="false">
      <c r="A57" s="27" t="n">
        <v>45862</v>
      </c>
      <c r="B57" s="28" t="s">
        <v>73</v>
      </c>
      <c r="C57" s="28" t="s">
        <v>64</v>
      </c>
      <c r="D57" s="28" t="s">
        <v>70</v>
      </c>
      <c r="E57" s="29" t="n">
        <v>37</v>
      </c>
      <c r="F57" s="30" t="n">
        <v>145400</v>
      </c>
      <c r="G57" s="30" t="n">
        <v>5379800</v>
      </c>
      <c r="H57" s="51"/>
      <c r="R57" s="0" t="str">
        <f aca="false">TEXT(A57,"mmm-yy")</f>
        <v>Jul-25</v>
      </c>
    </row>
    <row r="58" customFormat="false" ht="15" hidden="false" customHeight="false" outlineLevel="0" collapsed="false">
      <c r="A58" s="37" t="n">
        <v>45863</v>
      </c>
      <c r="B58" s="38" t="s">
        <v>63</v>
      </c>
      <c r="C58" s="38" t="s">
        <v>64</v>
      </c>
      <c r="D58" s="38" t="s">
        <v>81</v>
      </c>
      <c r="E58" s="39" t="n">
        <v>29</v>
      </c>
      <c r="F58" s="40" t="n">
        <v>147200</v>
      </c>
      <c r="G58" s="40" t="n">
        <v>4268800</v>
      </c>
      <c r="H58" s="51"/>
      <c r="R58" s="0" t="str">
        <f aca="false">TEXT(A58,"mmm-yy")</f>
        <v>Jul-25</v>
      </c>
    </row>
    <row r="59" customFormat="false" ht="15" hidden="false" customHeight="false" outlineLevel="0" collapsed="false">
      <c r="A59" s="27" t="n">
        <v>45863</v>
      </c>
      <c r="B59" s="28" t="s">
        <v>46</v>
      </c>
      <c r="C59" s="28" t="s">
        <v>76</v>
      </c>
      <c r="D59" s="28" t="s">
        <v>54</v>
      </c>
      <c r="E59" s="29" t="n">
        <v>10</v>
      </c>
      <c r="F59" s="30" t="n">
        <v>22800</v>
      </c>
      <c r="G59" s="30" t="n">
        <v>228000</v>
      </c>
      <c r="H59" s="51"/>
      <c r="R59" s="0" t="str">
        <f aca="false">TEXT(A59,"mmm-yy")</f>
        <v>Jul-25</v>
      </c>
    </row>
    <row r="60" customFormat="false" ht="15" hidden="false" customHeight="false" outlineLevel="0" collapsed="false">
      <c r="A60" s="37" t="n">
        <v>45864</v>
      </c>
      <c r="B60" s="38" t="s">
        <v>46</v>
      </c>
      <c r="C60" s="38" t="s">
        <v>64</v>
      </c>
      <c r="D60" s="38" t="s">
        <v>65</v>
      </c>
      <c r="E60" s="39" t="n">
        <v>34</v>
      </c>
      <c r="F60" s="40" t="n">
        <v>166100</v>
      </c>
      <c r="G60" s="40" t="n">
        <v>5647400</v>
      </c>
      <c r="H60" s="51"/>
      <c r="R60" s="0" t="str">
        <f aca="false">TEXT(A60,"mmm-yy")</f>
        <v>Jul-25</v>
      </c>
    </row>
    <row r="61" customFormat="false" ht="15" hidden="false" customHeight="false" outlineLevel="0" collapsed="false">
      <c r="A61" s="27" t="n">
        <v>45864</v>
      </c>
      <c r="B61" s="28" t="s">
        <v>46</v>
      </c>
      <c r="C61" s="28" t="s">
        <v>76</v>
      </c>
      <c r="D61" s="28" t="s">
        <v>79</v>
      </c>
      <c r="E61" s="29" t="n">
        <v>36</v>
      </c>
      <c r="F61" s="30" t="n">
        <v>21700</v>
      </c>
      <c r="G61" s="30" t="n">
        <v>781200</v>
      </c>
      <c r="H61" s="51"/>
      <c r="R61" s="0" t="str">
        <f aca="false">TEXT(A61,"mmm-yy")</f>
        <v>Jul-25</v>
      </c>
    </row>
    <row r="62" customFormat="false" ht="15" hidden="false" customHeight="false" outlineLevel="0" collapsed="false">
      <c r="A62" s="37" t="n">
        <v>45866</v>
      </c>
      <c r="B62" s="38" t="s">
        <v>52</v>
      </c>
      <c r="C62" s="38" t="s">
        <v>47</v>
      </c>
      <c r="D62" s="38" t="s">
        <v>81</v>
      </c>
      <c r="E62" s="39" t="n">
        <v>12</v>
      </c>
      <c r="F62" s="40" t="n">
        <v>10200</v>
      </c>
      <c r="G62" s="40" t="n">
        <v>122400</v>
      </c>
      <c r="H62" s="51"/>
      <c r="R62" s="0" t="str">
        <f aca="false">TEXT(A62,"mmm-yy")</f>
        <v>Jul-25</v>
      </c>
    </row>
    <row r="63" customFormat="false" ht="15" hidden="false" customHeight="false" outlineLevel="0" collapsed="false">
      <c r="A63" s="27" t="n">
        <v>45867</v>
      </c>
      <c r="B63" s="28" t="s">
        <v>63</v>
      </c>
      <c r="C63" s="28" t="s">
        <v>53</v>
      </c>
      <c r="D63" s="28" t="s">
        <v>79</v>
      </c>
      <c r="E63" s="29" t="n">
        <v>7</v>
      </c>
      <c r="F63" s="30" t="n">
        <v>15800</v>
      </c>
      <c r="G63" s="30" t="n">
        <v>110600</v>
      </c>
      <c r="H63" s="51"/>
      <c r="R63" s="0" t="str">
        <f aca="false">TEXT(A63,"mmm-yy")</f>
        <v>Jul-25</v>
      </c>
    </row>
    <row r="64" customFormat="false" ht="15" hidden="false" customHeight="false" outlineLevel="0" collapsed="false">
      <c r="A64" s="37" t="n">
        <v>45870</v>
      </c>
      <c r="B64" s="38" t="s">
        <v>52</v>
      </c>
      <c r="C64" s="38" t="s">
        <v>76</v>
      </c>
      <c r="D64" s="38" t="s">
        <v>70</v>
      </c>
      <c r="E64" s="39" t="n">
        <v>22</v>
      </c>
      <c r="F64" s="40" t="n">
        <v>23000</v>
      </c>
      <c r="G64" s="40" t="n">
        <v>506000</v>
      </c>
      <c r="H64" s="51"/>
      <c r="R64" s="0" t="str">
        <f aca="false">TEXT(A64,"mmm-yy")</f>
        <v>Aug-25</v>
      </c>
    </row>
    <row r="65" customFormat="false" ht="15" hidden="false" customHeight="false" outlineLevel="0" collapsed="false">
      <c r="A65" s="27" t="n">
        <v>45871</v>
      </c>
      <c r="B65" s="28" t="s">
        <v>52</v>
      </c>
      <c r="C65" s="28" t="s">
        <v>74</v>
      </c>
      <c r="D65" s="28" t="s">
        <v>81</v>
      </c>
      <c r="E65" s="29" t="n">
        <v>4</v>
      </c>
      <c r="F65" s="30" t="n">
        <v>66100</v>
      </c>
      <c r="G65" s="30" t="n">
        <v>264400</v>
      </c>
      <c r="H65" s="51"/>
      <c r="R65" s="0" t="str">
        <f aca="false">TEXT(A65,"mmm-yy")</f>
        <v>Aug-25</v>
      </c>
    </row>
    <row r="66" customFormat="false" ht="15" hidden="false" customHeight="false" outlineLevel="0" collapsed="false">
      <c r="A66" s="37" t="n">
        <v>45871</v>
      </c>
      <c r="B66" s="38" t="s">
        <v>73</v>
      </c>
      <c r="C66" s="38" t="s">
        <v>64</v>
      </c>
      <c r="D66" s="38" t="s">
        <v>77</v>
      </c>
      <c r="E66" s="39" t="n">
        <v>29</v>
      </c>
      <c r="F66" s="40" t="n">
        <v>133700</v>
      </c>
      <c r="G66" s="40" t="n">
        <v>3877300</v>
      </c>
      <c r="H66" s="51"/>
      <c r="R66" s="0" t="str">
        <f aca="false">TEXT(A66,"mmm-yy")</f>
        <v>Aug-25</v>
      </c>
    </row>
    <row r="67" customFormat="false" ht="15" hidden="false" customHeight="false" outlineLevel="0" collapsed="false">
      <c r="A67" s="27" t="n">
        <v>45873</v>
      </c>
      <c r="B67" s="28" t="s">
        <v>73</v>
      </c>
      <c r="C67" s="28" t="s">
        <v>47</v>
      </c>
      <c r="D67" s="28" t="s">
        <v>65</v>
      </c>
      <c r="E67" s="29" t="n">
        <v>30</v>
      </c>
      <c r="F67" s="30" t="n">
        <v>10400</v>
      </c>
      <c r="G67" s="30" t="n">
        <v>312000</v>
      </c>
      <c r="H67" s="51"/>
      <c r="R67" s="0" t="str">
        <f aca="false">TEXT(A67,"mmm-yy")</f>
        <v>Aug-25</v>
      </c>
    </row>
    <row r="68" customFormat="false" ht="15" hidden="false" customHeight="false" outlineLevel="0" collapsed="false">
      <c r="A68" s="37" t="n">
        <v>45875</v>
      </c>
      <c r="B68" s="38" t="s">
        <v>46</v>
      </c>
      <c r="C68" s="38" t="s">
        <v>53</v>
      </c>
      <c r="D68" s="38" t="s">
        <v>60</v>
      </c>
      <c r="E68" s="39" t="n">
        <v>2</v>
      </c>
      <c r="F68" s="40" t="n">
        <v>13500</v>
      </c>
      <c r="G68" s="40" t="n">
        <v>27000</v>
      </c>
      <c r="H68" s="51"/>
      <c r="R68" s="0" t="str">
        <f aca="false">TEXT(A68,"mmm-yy")</f>
        <v>Aug-25</v>
      </c>
    </row>
    <row r="69" customFormat="false" ht="15" hidden="false" customHeight="false" outlineLevel="0" collapsed="false">
      <c r="A69" s="27" t="n">
        <v>45878</v>
      </c>
      <c r="B69" s="28" t="s">
        <v>73</v>
      </c>
      <c r="C69" s="28" t="s">
        <v>64</v>
      </c>
      <c r="D69" s="28" t="s">
        <v>77</v>
      </c>
      <c r="E69" s="29" t="n">
        <v>31</v>
      </c>
      <c r="F69" s="30" t="n">
        <v>155500</v>
      </c>
      <c r="G69" s="30" t="n">
        <v>4820500</v>
      </c>
      <c r="H69" s="51"/>
      <c r="R69" s="0" t="str">
        <f aca="false">TEXT(A69,"mmm-yy")</f>
        <v>Aug-25</v>
      </c>
    </row>
    <row r="70" customFormat="false" ht="15" hidden="false" customHeight="false" outlineLevel="0" collapsed="false">
      <c r="A70" s="37" t="n">
        <v>45879</v>
      </c>
      <c r="B70" s="38" t="s">
        <v>78</v>
      </c>
      <c r="C70" s="38" t="s">
        <v>74</v>
      </c>
      <c r="D70" s="38" t="s">
        <v>80</v>
      </c>
      <c r="E70" s="39" t="n">
        <v>21</v>
      </c>
      <c r="F70" s="40" t="n">
        <v>69200</v>
      </c>
      <c r="G70" s="40" t="n">
        <v>1453200</v>
      </c>
      <c r="H70" s="51"/>
      <c r="R70" s="0" t="str">
        <f aca="false">TEXT(A70,"mmm-yy")</f>
        <v>Aug-25</v>
      </c>
    </row>
    <row r="71" customFormat="false" ht="15" hidden="false" customHeight="false" outlineLevel="0" collapsed="false">
      <c r="A71" s="27" t="n">
        <v>45880</v>
      </c>
      <c r="B71" s="28" t="s">
        <v>63</v>
      </c>
      <c r="C71" s="28" t="s">
        <v>47</v>
      </c>
      <c r="D71" s="28" t="s">
        <v>70</v>
      </c>
      <c r="E71" s="29" t="n">
        <v>19</v>
      </c>
      <c r="F71" s="30" t="n">
        <v>10400</v>
      </c>
      <c r="G71" s="30" t="n">
        <v>197600</v>
      </c>
      <c r="H71" s="51"/>
      <c r="R71" s="0" t="str">
        <f aca="false">TEXT(A71,"mmm-yy")</f>
        <v>Aug-25</v>
      </c>
    </row>
    <row r="72" customFormat="false" ht="15" hidden="false" customHeight="false" outlineLevel="0" collapsed="false">
      <c r="A72" s="37" t="n">
        <v>45883</v>
      </c>
      <c r="B72" s="38" t="s">
        <v>52</v>
      </c>
      <c r="C72" s="38" t="s">
        <v>74</v>
      </c>
      <c r="D72" s="38" t="s">
        <v>65</v>
      </c>
      <c r="E72" s="39" t="n">
        <v>5</v>
      </c>
      <c r="F72" s="40" t="n">
        <v>56000</v>
      </c>
      <c r="G72" s="40" t="n">
        <v>280000</v>
      </c>
      <c r="H72" s="51"/>
      <c r="R72" s="0" t="str">
        <f aca="false">TEXT(A72,"mmm-yy")</f>
        <v>Aug-25</v>
      </c>
    </row>
    <row r="73" customFormat="false" ht="15" hidden="false" customHeight="false" outlineLevel="0" collapsed="false">
      <c r="A73" s="27" t="n">
        <v>45884</v>
      </c>
      <c r="B73" s="28" t="s">
        <v>52</v>
      </c>
      <c r="C73" s="28" t="s">
        <v>64</v>
      </c>
      <c r="D73" s="28" t="s">
        <v>65</v>
      </c>
      <c r="E73" s="29" t="n">
        <v>16</v>
      </c>
      <c r="F73" s="30" t="n">
        <v>146000</v>
      </c>
      <c r="G73" s="30" t="n">
        <v>2336000</v>
      </c>
      <c r="H73" s="51"/>
      <c r="R73" s="0" t="str">
        <f aca="false">TEXT(A73,"mmm-yy")</f>
        <v>Aug-25</v>
      </c>
    </row>
    <row r="74" customFormat="false" ht="15" hidden="false" customHeight="false" outlineLevel="0" collapsed="false">
      <c r="A74" s="37" t="n">
        <v>45884</v>
      </c>
      <c r="B74" s="38" t="s">
        <v>78</v>
      </c>
      <c r="C74" s="38" t="s">
        <v>64</v>
      </c>
      <c r="D74" s="38" t="s">
        <v>80</v>
      </c>
      <c r="E74" s="39" t="n">
        <v>16</v>
      </c>
      <c r="F74" s="40" t="n">
        <v>157400</v>
      </c>
      <c r="G74" s="40" t="n">
        <v>2518400</v>
      </c>
      <c r="H74" s="51"/>
      <c r="R74" s="0" t="str">
        <f aca="false">TEXT(A74,"mmm-yy")</f>
        <v>Aug-25</v>
      </c>
    </row>
    <row r="75" customFormat="false" ht="15" hidden="false" customHeight="false" outlineLevel="0" collapsed="false">
      <c r="A75" s="27" t="n">
        <v>45884</v>
      </c>
      <c r="B75" s="28" t="s">
        <v>52</v>
      </c>
      <c r="C75" s="28" t="s">
        <v>74</v>
      </c>
      <c r="D75" s="28" t="s">
        <v>75</v>
      </c>
      <c r="E75" s="29" t="n">
        <v>5</v>
      </c>
      <c r="F75" s="30" t="n">
        <v>60700</v>
      </c>
      <c r="G75" s="30" t="n">
        <v>303500</v>
      </c>
      <c r="H75" s="51"/>
      <c r="R75" s="0" t="str">
        <f aca="false">TEXT(A75,"mmm-yy")</f>
        <v>Aug-25</v>
      </c>
    </row>
    <row r="76" customFormat="false" ht="15" hidden="false" customHeight="false" outlineLevel="0" collapsed="false">
      <c r="A76" s="37" t="n">
        <v>45885</v>
      </c>
      <c r="B76" s="38" t="s">
        <v>73</v>
      </c>
      <c r="C76" s="38" t="s">
        <v>47</v>
      </c>
      <c r="D76" s="38" t="s">
        <v>75</v>
      </c>
      <c r="E76" s="39" t="n">
        <v>14</v>
      </c>
      <c r="F76" s="40" t="n">
        <v>9300</v>
      </c>
      <c r="G76" s="40" t="n">
        <v>130200</v>
      </c>
      <c r="H76" s="51"/>
      <c r="R76" s="0" t="str">
        <f aca="false">TEXT(A76,"mmm-yy")</f>
        <v>Aug-25</v>
      </c>
    </row>
    <row r="77" customFormat="false" ht="15" hidden="false" customHeight="false" outlineLevel="0" collapsed="false">
      <c r="A77" s="27" t="n">
        <v>45890</v>
      </c>
      <c r="B77" s="28" t="s">
        <v>52</v>
      </c>
      <c r="C77" s="28" t="s">
        <v>64</v>
      </c>
      <c r="D77" s="28" t="s">
        <v>77</v>
      </c>
      <c r="E77" s="29" t="n">
        <v>36</v>
      </c>
      <c r="F77" s="30" t="n">
        <v>144500</v>
      </c>
      <c r="G77" s="30" t="n">
        <v>5202000</v>
      </c>
      <c r="H77" s="51"/>
      <c r="R77" s="0" t="str">
        <f aca="false">TEXT(A77,"mmm-yy")</f>
        <v>Aug-25</v>
      </c>
    </row>
    <row r="78" customFormat="false" ht="15" hidden="false" customHeight="false" outlineLevel="0" collapsed="false">
      <c r="A78" s="37" t="n">
        <v>45891</v>
      </c>
      <c r="B78" s="38" t="s">
        <v>52</v>
      </c>
      <c r="C78" s="38" t="s">
        <v>64</v>
      </c>
      <c r="D78" s="38" t="s">
        <v>79</v>
      </c>
      <c r="E78" s="39" t="n">
        <v>18</v>
      </c>
      <c r="F78" s="40" t="n">
        <v>168500</v>
      </c>
      <c r="G78" s="40" t="n">
        <v>3033000</v>
      </c>
      <c r="H78" s="51"/>
      <c r="R78" s="0" t="str">
        <f aca="false">TEXT(A78,"mmm-yy")</f>
        <v>Aug-25</v>
      </c>
    </row>
    <row r="79" customFormat="false" ht="15" hidden="false" customHeight="false" outlineLevel="0" collapsed="false">
      <c r="A79" s="27" t="n">
        <v>45891</v>
      </c>
      <c r="B79" s="28" t="s">
        <v>46</v>
      </c>
      <c r="C79" s="28" t="s">
        <v>53</v>
      </c>
      <c r="D79" s="28" t="s">
        <v>60</v>
      </c>
      <c r="E79" s="29" t="n">
        <v>9</v>
      </c>
      <c r="F79" s="30" t="n">
        <v>15800</v>
      </c>
      <c r="G79" s="30" t="n">
        <v>142200</v>
      </c>
      <c r="H79" s="51"/>
      <c r="R79" s="0" t="str">
        <f aca="false">TEXT(A79,"mmm-yy")</f>
        <v>Aug-25</v>
      </c>
    </row>
    <row r="80" customFormat="false" ht="15" hidden="false" customHeight="false" outlineLevel="0" collapsed="false">
      <c r="A80" s="37" t="n">
        <v>45893</v>
      </c>
      <c r="B80" s="38" t="s">
        <v>46</v>
      </c>
      <c r="C80" s="38" t="s">
        <v>53</v>
      </c>
      <c r="D80" s="38" t="s">
        <v>77</v>
      </c>
      <c r="E80" s="39" t="n">
        <v>24</v>
      </c>
      <c r="F80" s="40" t="n">
        <v>13500</v>
      </c>
      <c r="G80" s="40" t="n">
        <v>324000</v>
      </c>
      <c r="H80" s="51"/>
      <c r="R80" s="0" t="str">
        <f aca="false">TEXT(A80,"mmm-yy")</f>
        <v>Aug-25</v>
      </c>
    </row>
    <row r="81" customFormat="false" ht="15" hidden="false" customHeight="false" outlineLevel="0" collapsed="false">
      <c r="A81" s="27" t="n">
        <v>45901</v>
      </c>
      <c r="B81" s="28" t="s">
        <v>46</v>
      </c>
      <c r="C81" s="28" t="s">
        <v>57</v>
      </c>
      <c r="D81" s="28" t="s">
        <v>80</v>
      </c>
      <c r="E81" s="29" t="n">
        <v>10</v>
      </c>
      <c r="F81" s="30" t="n">
        <v>5600</v>
      </c>
      <c r="G81" s="30" t="n">
        <v>56000</v>
      </c>
      <c r="H81" s="51"/>
      <c r="R81" s="0" t="str">
        <f aca="false">TEXT(A81,"mmm-yy")</f>
        <v>Sep-25</v>
      </c>
    </row>
    <row r="82" customFormat="false" ht="15" hidden="false" customHeight="false" outlineLevel="0" collapsed="false">
      <c r="A82" s="37" t="n">
        <v>45905</v>
      </c>
      <c r="B82" s="38" t="s">
        <v>73</v>
      </c>
      <c r="C82" s="38" t="s">
        <v>76</v>
      </c>
      <c r="D82" s="38" t="s">
        <v>54</v>
      </c>
      <c r="E82" s="39" t="n">
        <v>32</v>
      </c>
      <c r="F82" s="40" t="n">
        <v>21700</v>
      </c>
      <c r="G82" s="40" t="n">
        <v>694400</v>
      </c>
      <c r="H82" s="51"/>
      <c r="R82" s="0" t="str">
        <f aca="false">TEXT(A82,"mmm-yy")</f>
        <v>Sep-25</v>
      </c>
    </row>
    <row r="83" customFormat="false" ht="15" hidden="false" customHeight="false" outlineLevel="0" collapsed="false">
      <c r="A83" s="27" t="n">
        <v>45905</v>
      </c>
      <c r="B83" s="28" t="s">
        <v>73</v>
      </c>
      <c r="C83" s="28" t="s">
        <v>53</v>
      </c>
      <c r="D83" s="28" t="s">
        <v>75</v>
      </c>
      <c r="E83" s="29" t="n">
        <v>6</v>
      </c>
      <c r="F83" s="30" t="n">
        <v>15500</v>
      </c>
      <c r="G83" s="30" t="n">
        <v>93000</v>
      </c>
      <c r="H83" s="51"/>
      <c r="R83" s="0" t="str">
        <f aca="false">TEXT(A83,"mmm-yy")</f>
        <v>Sep-25</v>
      </c>
    </row>
    <row r="84" customFormat="false" ht="15" hidden="false" customHeight="false" outlineLevel="0" collapsed="false">
      <c r="A84" s="37" t="n">
        <v>45906</v>
      </c>
      <c r="B84" s="38" t="s">
        <v>52</v>
      </c>
      <c r="C84" s="38" t="s">
        <v>76</v>
      </c>
      <c r="D84" s="38" t="s">
        <v>60</v>
      </c>
      <c r="E84" s="39" t="n">
        <v>2</v>
      </c>
      <c r="F84" s="40" t="n">
        <v>24700</v>
      </c>
      <c r="G84" s="40" t="n">
        <v>49400</v>
      </c>
      <c r="H84" s="51"/>
      <c r="R84" s="0" t="str">
        <f aca="false">TEXT(A84,"mmm-yy")</f>
        <v>Sep-25</v>
      </c>
    </row>
    <row r="85" customFormat="false" ht="15" hidden="false" customHeight="false" outlineLevel="0" collapsed="false">
      <c r="A85" s="27" t="n">
        <v>45906</v>
      </c>
      <c r="B85" s="28" t="s">
        <v>63</v>
      </c>
      <c r="C85" s="28" t="s">
        <v>47</v>
      </c>
      <c r="D85" s="28" t="s">
        <v>65</v>
      </c>
      <c r="E85" s="29" t="n">
        <v>32</v>
      </c>
      <c r="F85" s="30" t="n">
        <v>8900</v>
      </c>
      <c r="G85" s="30" t="n">
        <v>284800</v>
      </c>
      <c r="H85" s="51"/>
      <c r="R85" s="0" t="str">
        <f aca="false">TEXT(A85,"mmm-yy")</f>
        <v>Sep-25</v>
      </c>
    </row>
    <row r="86" customFormat="false" ht="15" hidden="false" customHeight="false" outlineLevel="0" collapsed="false">
      <c r="A86" s="37" t="n">
        <v>45907</v>
      </c>
      <c r="B86" s="38" t="s">
        <v>78</v>
      </c>
      <c r="C86" s="38" t="s">
        <v>74</v>
      </c>
      <c r="D86" s="38" t="s">
        <v>65</v>
      </c>
      <c r="E86" s="39" t="n">
        <v>12</v>
      </c>
      <c r="F86" s="40" t="n">
        <v>68600</v>
      </c>
      <c r="G86" s="40" t="n">
        <v>823200</v>
      </c>
      <c r="H86" s="51"/>
      <c r="R86" s="0" t="str">
        <f aca="false">TEXT(A86,"mmm-yy")</f>
        <v>Sep-25</v>
      </c>
    </row>
    <row r="87" customFormat="false" ht="15" hidden="false" customHeight="false" outlineLevel="0" collapsed="false">
      <c r="A87" s="27" t="n">
        <v>45907</v>
      </c>
      <c r="B87" s="28" t="s">
        <v>73</v>
      </c>
      <c r="C87" s="28" t="s">
        <v>53</v>
      </c>
      <c r="D87" s="28" t="s">
        <v>80</v>
      </c>
      <c r="E87" s="29" t="n">
        <v>35</v>
      </c>
      <c r="F87" s="30" t="n">
        <v>15600</v>
      </c>
      <c r="G87" s="30" t="n">
        <v>546000</v>
      </c>
      <c r="H87" s="51"/>
      <c r="R87" s="0" t="str">
        <f aca="false">TEXT(A87,"mmm-yy")</f>
        <v>Sep-25</v>
      </c>
    </row>
    <row r="88" customFormat="false" ht="15" hidden="false" customHeight="false" outlineLevel="0" collapsed="false">
      <c r="A88" s="37" t="n">
        <v>45908</v>
      </c>
      <c r="B88" s="38" t="s">
        <v>73</v>
      </c>
      <c r="C88" s="38" t="s">
        <v>74</v>
      </c>
      <c r="D88" s="38" t="s">
        <v>65</v>
      </c>
      <c r="E88" s="39" t="n">
        <v>9</v>
      </c>
      <c r="F88" s="40" t="n">
        <v>69300</v>
      </c>
      <c r="G88" s="40" t="n">
        <v>623700</v>
      </c>
      <c r="H88" s="51"/>
      <c r="R88" s="0" t="str">
        <f aca="false">TEXT(A88,"mmm-yy")</f>
        <v>Sep-25</v>
      </c>
    </row>
    <row r="89" customFormat="false" ht="15" hidden="false" customHeight="false" outlineLevel="0" collapsed="false">
      <c r="A89" s="27" t="n">
        <v>45908</v>
      </c>
      <c r="B89" s="28" t="s">
        <v>73</v>
      </c>
      <c r="C89" s="28" t="s">
        <v>57</v>
      </c>
      <c r="D89" s="28" t="s">
        <v>79</v>
      </c>
      <c r="E89" s="29" t="n">
        <v>35</v>
      </c>
      <c r="F89" s="30" t="n">
        <v>5800</v>
      </c>
      <c r="G89" s="30" t="n">
        <v>203000</v>
      </c>
      <c r="H89" s="51"/>
      <c r="R89" s="0" t="str">
        <f aca="false">TEXT(A89,"mmm-yy")</f>
        <v>Sep-25</v>
      </c>
    </row>
    <row r="90" customFormat="false" ht="15" hidden="false" customHeight="false" outlineLevel="0" collapsed="false">
      <c r="A90" s="37" t="n">
        <v>45910</v>
      </c>
      <c r="B90" s="38" t="s">
        <v>46</v>
      </c>
      <c r="C90" s="38" t="s">
        <v>74</v>
      </c>
      <c r="D90" s="38" t="s">
        <v>60</v>
      </c>
      <c r="E90" s="39" t="n">
        <v>11</v>
      </c>
      <c r="F90" s="40" t="n">
        <v>64300</v>
      </c>
      <c r="G90" s="40" t="n">
        <v>707300</v>
      </c>
      <c r="H90" s="51"/>
      <c r="R90" s="0" t="str">
        <f aca="false">TEXT(A90,"mmm-yy")</f>
        <v>Sep-25</v>
      </c>
    </row>
    <row r="91" customFormat="false" ht="15" hidden="false" customHeight="false" outlineLevel="0" collapsed="false">
      <c r="A91" s="27" t="n">
        <v>45911</v>
      </c>
      <c r="B91" s="28" t="s">
        <v>78</v>
      </c>
      <c r="C91" s="28" t="s">
        <v>53</v>
      </c>
      <c r="D91" s="28" t="s">
        <v>75</v>
      </c>
      <c r="E91" s="29" t="n">
        <v>38</v>
      </c>
      <c r="F91" s="30" t="n">
        <v>14700</v>
      </c>
      <c r="G91" s="30" t="n">
        <v>558600</v>
      </c>
      <c r="H91" s="51"/>
      <c r="R91" s="0" t="str">
        <f aca="false">TEXT(A91,"mmm-yy")</f>
        <v>Sep-25</v>
      </c>
    </row>
    <row r="92" customFormat="false" ht="15" hidden="false" customHeight="false" outlineLevel="0" collapsed="false">
      <c r="A92" s="37" t="n">
        <v>45913</v>
      </c>
      <c r="B92" s="38" t="s">
        <v>63</v>
      </c>
      <c r="C92" s="38" t="s">
        <v>74</v>
      </c>
      <c r="D92" s="38" t="s">
        <v>60</v>
      </c>
      <c r="E92" s="39" t="n">
        <v>10</v>
      </c>
      <c r="F92" s="40" t="n">
        <v>56600</v>
      </c>
      <c r="G92" s="40" t="n">
        <v>566000</v>
      </c>
      <c r="H92" s="51"/>
      <c r="R92" s="0" t="str">
        <f aca="false">TEXT(A92,"mmm-yy")</f>
        <v>Sep-25</v>
      </c>
    </row>
    <row r="93" customFormat="false" ht="15" hidden="false" customHeight="false" outlineLevel="0" collapsed="false">
      <c r="A93" s="27" t="n">
        <v>45915</v>
      </c>
      <c r="B93" s="28" t="s">
        <v>63</v>
      </c>
      <c r="C93" s="28" t="s">
        <v>74</v>
      </c>
      <c r="D93" s="28" t="s">
        <v>77</v>
      </c>
      <c r="E93" s="29" t="n">
        <v>15</v>
      </c>
      <c r="F93" s="30" t="n">
        <v>59500</v>
      </c>
      <c r="G93" s="30" t="n">
        <v>892500</v>
      </c>
      <c r="H93" s="51"/>
      <c r="R93" s="0" t="str">
        <f aca="false">TEXT(A93,"mmm-yy")</f>
        <v>Sep-25</v>
      </c>
    </row>
    <row r="94" customFormat="false" ht="15" hidden="false" customHeight="false" outlineLevel="0" collapsed="false">
      <c r="A94" s="37" t="n">
        <v>45917</v>
      </c>
      <c r="B94" s="38" t="s">
        <v>52</v>
      </c>
      <c r="C94" s="38" t="s">
        <v>64</v>
      </c>
      <c r="D94" s="38" t="s">
        <v>81</v>
      </c>
      <c r="E94" s="39" t="n">
        <v>25</v>
      </c>
      <c r="F94" s="40" t="n">
        <v>162700</v>
      </c>
      <c r="G94" s="40" t="n">
        <v>4067500</v>
      </c>
      <c r="H94" s="51"/>
      <c r="R94" s="0" t="str">
        <f aca="false">TEXT(A94,"mmm-yy")</f>
        <v>Sep-25</v>
      </c>
    </row>
    <row r="95" customFormat="false" ht="15" hidden="false" customHeight="false" outlineLevel="0" collapsed="false">
      <c r="A95" s="27" t="n">
        <v>45917</v>
      </c>
      <c r="B95" s="28" t="s">
        <v>63</v>
      </c>
      <c r="C95" s="28" t="s">
        <v>53</v>
      </c>
      <c r="D95" s="28" t="s">
        <v>81</v>
      </c>
      <c r="E95" s="29" t="n">
        <v>19</v>
      </c>
      <c r="F95" s="30" t="n">
        <v>14700</v>
      </c>
      <c r="G95" s="30" t="n">
        <v>279300</v>
      </c>
      <c r="H95" s="51"/>
      <c r="R95" s="0" t="str">
        <f aca="false">TEXT(A95,"mmm-yy")</f>
        <v>Sep-25</v>
      </c>
    </row>
    <row r="96" customFormat="false" ht="15" hidden="false" customHeight="false" outlineLevel="0" collapsed="false">
      <c r="A96" s="37" t="n">
        <v>45918</v>
      </c>
      <c r="B96" s="38" t="s">
        <v>46</v>
      </c>
      <c r="C96" s="38" t="s">
        <v>64</v>
      </c>
      <c r="D96" s="38" t="s">
        <v>48</v>
      </c>
      <c r="E96" s="39" t="n">
        <v>3</v>
      </c>
      <c r="F96" s="40" t="n">
        <v>145500</v>
      </c>
      <c r="G96" s="40" t="n">
        <v>436500</v>
      </c>
      <c r="H96" s="51"/>
      <c r="R96" s="0" t="str">
        <f aca="false">TEXT(A96,"mmm-yy")</f>
        <v>Sep-25</v>
      </c>
    </row>
    <row r="97" customFormat="false" ht="15" hidden="false" customHeight="false" outlineLevel="0" collapsed="false">
      <c r="A97" s="27" t="n">
        <v>45919</v>
      </c>
      <c r="B97" s="28" t="s">
        <v>63</v>
      </c>
      <c r="C97" s="28" t="s">
        <v>57</v>
      </c>
      <c r="D97" s="28" t="s">
        <v>81</v>
      </c>
      <c r="E97" s="29" t="n">
        <v>33</v>
      </c>
      <c r="F97" s="30" t="n">
        <v>4900</v>
      </c>
      <c r="G97" s="30" t="n">
        <v>161700</v>
      </c>
      <c r="H97" s="51"/>
      <c r="R97" s="0" t="str">
        <f aca="false">TEXT(A97,"mmm-yy")</f>
        <v>Sep-25</v>
      </c>
    </row>
    <row r="98" customFormat="false" ht="15" hidden="false" customHeight="false" outlineLevel="0" collapsed="false">
      <c r="A98" s="37" t="n">
        <v>45922</v>
      </c>
      <c r="B98" s="38" t="s">
        <v>52</v>
      </c>
      <c r="C98" s="38" t="s">
        <v>74</v>
      </c>
      <c r="D98" s="38" t="s">
        <v>80</v>
      </c>
      <c r="E98" s="39" t="n">
        <v>19</v>
      </c>
      <c r="F98" s="40" t="n">
        <v>59400</v>
      </c>
      <c r="G98" s="40" t="n">
        <v>1128600</v>
      </c>
      <c r="H98" s="51"/>
      <c r="R98" s="0" t="str">
        <f aca="false">TEXT(A98,"mmm-yy")</f>
        <v>Sep-25</v>
      </c>
    </row>
    <row r="99" customFormat="false" ht="15" hidden="false" customHeight="false" outlineLevel="0" collapsed="false">
      <c r="A99" s="27" t="n">
        <v>45924</v>
      </c>
      <c r="B99" s="28" t="s">
        <v>46</v>
      </c>
      <c r="C99" s="28" t="s">
        <v>74</v>
      </c>
      <c r="D99" s="28" t="s">
        <v>60</v>
      </c>
      <c r="E99" s="29" t="n">
        <v>18</v>
      </c>
      <c r="F99" s="30" t="n">
        <v>63100</v>
      </c>
      <c r="G99" s="30" t="n">
        <v>1135800</v>
      </c>
      <c r="H99" s="51"/>
      <c r="R99" s="0" t="str">
        <f aca="false">TEXT(A99,"mmm-yy")</f>
        <v>Sep-25</v>
      </c>
    </row>
    <row r="100" customFormat="false" ht="15" hidden="false" customHeight="false" outlineLevel="0" collapsed="false">
      <c r="A100" s="37" t="n">
        <v>45927</v>
      </c>
      <c r="B100" s="38" t="s">
        <v>78</v>
      </c>
      <c r="C100" s="38" t="s">
        <v>57</v>
      </c>
      <c r="D100" s="38" t="s">
        <v>79</v>
      </c>
      <c r="E100" s="39" t="n">
        <v>12</v>
      </c>
      <c r="F100" s="40" t="n">
        <v>5300</v>
      </c>
      <c r="G100" s="40" t="n">
        <v>63600</v>
      </c>
      <c r="H100" s="51"/>
      <c r="R100" s="0" t="str">
        <f aca="false">TEXT(A100,"mmm-yy")</f>
        <v>Sep-25</v>
      </c>
    </row>
    <row r="101" customFormat="false" ht="15" hidden="false" customHeight="false" outlineLevel="0" collapsed="false">
      <c r="A101" s="27" t="n">
        <v>45928</v>
      </c>
      <c r="B101" s="28" t="s">
        <v>73</v>
      </c>
      <c r="C101" s="28" t="s">
        <v>76</v>
      </c>
      <c r="D101" s="28" t="s">
        <v>60</v>
      </c>
      <c r="E101" s="29" t="n">
        <v>16</v>
      </c>
      <c r="F101" s="30" t="n">
        <v>23000</v>
      </c>
      <c r="G101" s="30" t="n">
        <v>368000</v>
      </c>
      <c r="H101" s="51"/>
      <c r="R101" s="0" t="str">
        <f aca="false">TEXT(A101,"mmm-yy")</f>
        <v>Sep-25</v>
      </c>
    </row>
    <row r="102" customFormat="false" ht="15" hidden="false" customHeight="false" outlineLevel="0" collapsed="false">
      <c r="A102" s="37" t="n">
        <v>45930</v>
      </c>
      <c r="B102" s="38" t="s">
        <v>78</v>
      </c>
      <c r="C102" s="38" t="s">
        <v>57</v>
      </c>
      <c r="D102" s="38" t="s">
        <v>54</v>
      </c>
      <c r="E102" s="39" t="n">
        <v>4</v>
      </c>
      <c r="F102" s="40" t="n">
        <v>5700</v>
      </c>
      <c r="G102" s="40" t="n">
        <v>22800</v>
      </c>
      <c r="H102" s="51"/>
      <c r="R102" s="0" t="str">
        <f aca="false">TEXT(A102,"mmm-yy")</f>
        <v>Sep-25</v>
      </c>
    </row>
    <row r="103" customFormat="false" ht="15" hidden="false" customHeight="false" outlineLevel="0" collapsed="false">
      <c r="A103" s="27" t="n">
        <v>45934</v>
      </c>
      <c r="B103" s="28" t="s">
        <v>78</v>
      </c>
      <c r="C103" s="28" t="s">
        <v>57</v>
      </c>
      <c r="D103" s="28" t="s">
        <v>70</v>
      </c>
      <c r="E103" s="29" t="n">
        <v>16</v>
      </c>
      <c r="F103" s="30" t="n">
        <v>5500</v>
      </c>
      <c r="G103" s="30" t="n">
        <v>88000</v>
      </c>
      <c r="H103" s="51"/>
      <c r="R103" s="0" t="str">
        <f aca="false">TEXT(A103,"mmm-yy")</f>
        <v>Oct-25</v>
      </c>
    </row>
    <row r="104" customFormat="false" ht="15" hidden="false" customHeight="false" outlineLevel="0" collapsed="false">
      <c r="A104" s="37" t="n">
        <v>45934</v>
      </c>
      <c r="B104" s="38" t="s">
        <v>63</v>
      </c>
      <c r="C104" s="38" t="s">
        <v>64</v>
      </c>
      <c r="D104" s="38" t="s">
        <v>48</v>
      </c>
      <c r="E104" s="39" t="n">
        <v>19</v>
      </c>
      <c r="F104" s="40" t="n">
        <v>160900</v>
      </c>
      <c r="G104" s="40" t="n">
        <v>3057100</v>
      </c>
      <c r="H104" s="51"/>
      <c r="R104" s="0" t="str">
        <f aca="false">TEXT(A104,"mmm-yy")</f>
        <v>Oct-25</v>
      </c>
    </row>
    <row r="105" customFormat="false" ht="15" hidden="false" customHeight="false" outlineLevel="0" collapsed="false">
      <c r="A105" s="27" t="n">
        <v>45935</v>
      </c>
      <c r="B105" s="28" t="s">
        <v>46</v>
      </c>
      <c r="C105" s="28" t="s">
        <v>47</v>
      </c>
      <c r="D105" s="28" t="s">
        <v>48</v>
      </c>
      <c r="E105" s="29" t="n">
        <v>27</v>
      </c>
      <c r="F105" s="30" t="n">
        <v>10600</v>
      </c>
      <c r="G105" s="30" t="n">
        <v>286200</v>
      </c>
      <c r="H105" s="51"/>
      <c r="R105" s="0" t="str">
        <f aca="false">TEXT(A105,"mmm-yy")</f>
        <v>Oct-25</v>
      </c>
    </row>
    <row r="106" customFormat="false" ht="15" hidden="false" customHeight="false" outlineLevel="0" collapsed="false">
      <c r="A106" s="37" t="n">
        <v>45935</v>
      </c>
      <c r="B106" s="38" t="s">
        <v>78</v>
      </c>
      <c r="C106" s="38" t="s">
        <v>64</v>
      </c>
      <c r="D106" s="38" t="s">
        <v>81</v>
      </c>
      <c r="E106" s="39" t="n">
        <v>36</v>
      </c>
      <c r="F106" s="40" t="n">
        <v>156900</v>
      </c>
      <c r="G106" s="40" t="n">
        <v>5648400</v>
      </c>
      <c r="H106" s="51"/>
      <c r="R106" s="0" t="str">
        <f aca="false">TEXT(A106,"mmm-yy")</f>
        <v>Oct-25</v>
      </c>
    </row>
    <row r="107" customFormat="false" ht="15" hidden="false" customHeight="false" outlineLevel="0" collapsed="false">
      <c r="A107" s="27" t="n">
        <v>45938</v>
      </c>
      <c r="B107" s="28" t="s">
        <v>63</v>
      </c>
      <c r="C107" s="28" t="s">
        <v>74</v>
      </c>
      <c r="D107" s="28" t="s">
        <v>81</v>
      </c>
      <c r="E107" s="29" t="n">
        <v>24</v>
      </c>
      <c r="F107" s="30" t="n">
        <v>70200</v>
      </c>
      <c r="G107" s="30" t="n">
        <v>1684800</v>
      </c>
      <c r="H107" s="51"/>
      <c r="R107" s="0" t="str">
        <f aca="false">TEXT(A107,"mmm-yy")</f>
        <v>Oct-25</v>
      </c>
    </row>
    <row r="108" customFormat="false" ht="15" hidden="false" customHeight="false" outlineLevel="0" collapsed="false">
      <c r="A108" s="37" t="n">
        <v>45941</v>
      </c>
      <c r="B108" s="38" t="s">
        <v>78</v>
      </c>
      <c r="C108" s="38" t="s">
        <v>53</v>
      </c>
      <c r="D108" s="38" t="s">
        <v>70</v>
      </c>
      <c r="E108" s="39" t="n">
        <v>24</v>
      </c>
      <c r="F108" s="40" t="n">
        <v>13800</v>
      </c>
      <c r="G108" s="40" t="n">
        <v>331200</v>
      </c>
      <c r="H108" s="51"/>
      <c r="R108" s="0" t="str">
        <f aca="false">TEXT(A108,"mmm-yy")</f>
        <v>Oct-25</v>
      </c>
    </row>
    <row r="109" customFormat="false" ht="15" hidden="false" customHeight="false" outlineLevel="0" collapsed="false">
      <c r="A109" s="27" t="n">
        <v>45944</v>
      </c>
      <c r="B109" s="28" t="s">
        <v>63</v>
      </c>
      <c r="C109" s="28" t="s">
        <v>76</v>
      </c>
      <c r="D109" s="28" t="s">
        <v>70</v>
      </c>
      <c r="E109" s="29" t="n">
        <v>17</v>
      </c>
      <c r="F109" s="30" t="n">
        <v>22000</v>
      </c>
      <c r="G109" s="30" t="n">
        <v>374000</v>
      </c>
      <c r="H109" s="51"/>
      <c r="R109" s="0" t="str">
        <f aca="false">TEXT(A109,"mmm-yy")</f>
        <v>Oct-25</v>
      </c>
    </row>
    <row r="110" customFormat="false" ht="15" hidden="false" customHeight="false" outlineLevel="0" collapsed="false">
      <c r="A110" s="37" t="n">
        <v>45946</v>
      </c>
      <c r="B110" s="38" t="s">
        <v>52</v>
      </c>
      <c r="C110" s="38" t="s">
        <v>53</v>
      </c>
      <c r="D110" s="38" t="s">
        <v>54</v>
      </c>
      <c r="E110" s="39" t="n">
        <v>37</v>
      </c>
      <c r="F110" s="40" t="n">
        <v>14700</v>
      </c>
      <c r="G110" s="40" t="n">
        <v>543900</v>
      </c>
      <c r="H110" s="51"/>
      <c r="R110" s="0" t="str">
        <f aca="false">TEXT(A110,"mmm-yy")</f>
        <v>Oct-25</v>
      </c>
    </row>
    <row r="111" customFormat="false" ht="15" hidden="false" customHeight="false" outlineLevel="0" collapsed="false">
      <c r="A111" s="27" t="n">
        <v>45958</v>
      </c>
      <c r="B111" s="28" t="s">
        <v>63</v>
      </c>
      <c r="C111" s="28" t="s">
        <v>76</v>
      </c>
      <c r="D111" s="28" t="s">
        <v>75</v>
      </c>
      <c r="E111" s="29" t="n">
        <v>16</v>
      </c>
      <c r="F111" s="30" t="n">
        <v>24600</v>
      </c>
      <c r="G111" s="30" t="n">
        <v>393600</v>
      </c>
      <c r="H111" s="51"/>
      <c r="R111" s="0" t="str">
        <f aca="false">TEXT(A111,"mmm-yy")</f>
        <v>Oct-25</v>
      </c>
    </row>
    <row r="112" customFormat="false" ht="15" hidden="false" customHeight="false" outlineLevel="0" collapsed="false">
      <c r="A112" s="37" t="n">
        <v>45959</v>
      </c>
      <c r="B112" s="38" t="s">
        <v>63</v>
      </c>
      <c r="C112" s="38" t="s">
        <v>57</v>
      </c>
      <c r="D112" s="38" t="s">
        <v>80</v>
      </c>
      <c r="E112" s="39" t="n">
        <v>2</v>
      </c>
      <c r="F112" s="40" t="n">
        <v>5700</v>
      </c>
      <c r="G112" s="40" t="n">
        <v>11400</v>
      </c>
      <c r="H112" s="51"/>
      <c r="R112" s="0" t="str">
        <f aca="false">TEXT(A112,"mmm-yy")</f>
        <v>Oct-25</v>
      </c>
    </row>
    <row r="113" customFormat="false" ht="15" hidden="false" customHeight="false" outlineLevel="0" collapsed="false">
      <c r="A113" s="27" t="n">
        <v>45961</v>
      </c>
      <c r="B113" s="28" t="s">
        <v>46</v>
      </c>
      <c r="C113" s="28" t="s">
        <v>53</v>
      </c>
      <c r="D113" s="28" t="s">
        <v>79</v>
      </c>
      <c r="E113" s="29" t="n">
        <v>3</v>
      </c>
      <c r="F113" s="30" t="n">
        <v>14000</v>
      </c>
      <c r="G113" s="30" t="n">
        <v>42000</v>
      </c>
      <c r="H113" s="51"/>
      <c r="R113" s="0" t="str">
        <f aca="false">TEXT(A113,"mmm-yy")</f>
        <v>Oct-25</v>
      </c>
    </row>
    <row r="114" customFormat="false" ht="15" hidden="false" customHeight="false" outlineLevel="0" collapsed="false">
      <c r="A114" s="37" t="n">
        <v>45967</v>
      </c>
      <c r="B114" s="38" t="s">
        <v>46</v>
      </c>
      <c r="C114" s="38" t="s">
        <v>74</v>
      </c>
      <c r="D114" s="38" t="s">
        <v>80</v>
      </c>
      <c r="E114" s="39" t="n">
        <v>27</v>
      </c>
      <c r="F114" s="40" t="n">
        <v>56800</v>
      </c>
      <c r="G114" s="40" t="n">
        <v>1533600</v>
      </c>
      <c r="H114" s="51"/>
      <c r="R114" s="0" t="str">
        <f aca="false">TEXT(A114,"mmm-yy")</f>
        <v>Nov-25</v>
      </c>
    </row>
    <row r="115" customFormat="false" ht="15" hidden="false" customHeight="false" outlineLevel="0" collapsed="false">
      <c r="A115" s="27" t="n">
        <v>45968</v>
      </c>
      <c r="B115" s="28" t="s">
        <v>46</v>
      </c>
      <c r="C115" s="28" t="s">
        <v>76</v>
      </c>
      <c r="D115" s="28" t="s">
        <v>81</v>
      </c>
      <c r="E115" s="29" t="n">
        <v>3</v>
      </c>
      <c r="F115" s="30" t="n">
        <v>26800</v>
      </c>
      <c r="G115" s="30" t="n">
        <v>80400</v>
      </c>
      <c r="H115" s="51"/>
      <c r="R115" s="0" t="str">
        <f aca="false">TEXT(A115,"mmm-yy")</f>
        <v>Nov-25</v>
      </c>
    </row>
    <row r="116" customFormat="false" ht="15" hidden="false" customHeight="false" outlineLevel="0" collapsed="false">
      <c r="A116" s="37" t="n">
        <v>45969</v>
      </c>
      <c r="B116" s="38" t="s">
        <v>46</v>
      </c>
      <c r="C116" s="38" t="s">
        <v>57</v>
      </c>
      <c r="D116" s="38" t="s">
        <v>54</v>
      </c>
      <c r="E116" s="39" t="n">
        <v>8</v>
      </c>
      <c r="F116" s="40" t="n">
        <v>6000</v>
      </c>
      <c r="G116" s="40" t="n">
        <v>48000</v>
      </c>
      <c r="H116" s="51"/>
      <c r="R116" s="0" t="str">
        <f aca="false">TEXT(A116,"mmm-yy")</f>
        <v>Nov-25</v>
      </c>
    </row>
    <row r="117" customFormat="false" ht="15" hidden="false" customHeight="false" outlineLevel="0" collapsed="false">
      <c r="A117" s="27" t="n">
        <v>45977</v>
      </c>
      <c r="B117" s="28" t="s">
        <v>78</v>
      </c>
      <c r="C117" s="28" t="s">
        <v>53</v>
      </c>
      <c r="D117" s="28" t="s">
        <v>60</v>
      </c>
      <c r="E117" s="29" t="n">
        <v>19</v>
      </c>
      <c r="F117" s="30" t="n">
        <v>15000</v>
      </c>
      <c r="G117" s="30" t="n">
        <v>285000</v>
      </c>
      <c r="H117" s="51"/>
      <c r="R117" s="0" t="str">
        <f aca="false">TEXT(A117,"mmm-yy")</f>
        <v>Nov-25</v>
      </c>
    </row>
    <row r="118" customFormat="false" ht="15" hidden="false" customHeight="false" outlineLevel="0" collapsed="false">
      <c r="A118" s="37" t="n">
        <v>45980</v>
      </c>
      <c r="B118" s="38" t="s">
        <v>78</v>
      </c>
      <c r="C118" s="38" t="s">
        <v>57</v>
      </c>
      <c r="D118" s="38" t="s">
        <v>54</v>
      </c>
      <c r="E118" s="39" t="n">
        <v>11</v>
      </c>
      <c r="F118" s="40" t="n">
        <v>5700</v>
      </c>
      <c r="G118" s="40" t="n">
        <v>62700</v>
      </c>
      <c r="H118" s="51"/>
      <c r="R118" s="0" t="str">
        <f aca="false">TEXT(A118,"mmm-yy")</f>
        <v>Nov-25</v>
      </c>
    </row>
    <row r="119" customFormat="false" ht="15" hidden="false" customHeight="false" outlineLevel="0" collapsed="false">
      <c r="A119" s="27" t="n">
        <v>45983</v>
      </c>
      <c r="B119" s="28" t="s">
        <v>46</v>
      </c>
      <c r="C119" s="28" t="s">
        <v>74</v>
      </c>
      <c r="D119" s="28" t="s">
        <v>79</v>
      </c>
      <c r="E119" s="29" t="n">
        <v>19</v>
      </c>
      <c r="F119" s="30" t="n">
        <v>60200</v>
      </c>
      <c r="G119" s="30" t="n">
        <v>1143800</v>
      </c>
      <c r="H119" s="51"/>
      <c r="R119" s="0" t="str">
        <f aca="false">TEXT(A119,"mmm-yy")</f>
        <v>Nov-25</v>
      </c>
    </row>
    <row r="120" customFormat="false" ht="15" hidden="false" customHeight="false" outlineLevel="0" collapsed="false">
      <c r="A120" s="37" t="n">
        <v>45984</v>
      </c>
      <c r="B120" s="38" t="s">
        <v>73</v>
      </c>
      <c r="C120" s="38" t="s">
        <v>53</v>
      </c>
      <c r="D120" s="38" t="s">
        <v>54</v>
      </c>
      <c r="E120" s="39" t="n">
        <v>37</v>
      </c>
      <c r="F120" s="40" t="n">
        <v>13500</v>
      </c>
      <c r="G120" s="40" t="n">
        <v>499500</v>
      </c>
      <c r="H120" s="51"/>
      <c r="R120" s="0" t="str">
        <f aca="false">TEXT(A120,"mmm-yy")</f>
        <v>Nov-25</v>
      </c>
    </row>
    <row r="121" customFormat="false" ht="15" hidden="false" customHeight="false" outlineLevel="0" collapsed="false">
      <c r="A121" s="27" t="n">
        <v>45990</v>
      </c>
      <c r="B121" s="28" t="s">
        <v>52</v>
      </c>
      <c r="C121" s="28" t="s">
        <v>53</v>
      </c>
      <c r="D121" s="28" t="s">
        <v>81</v>
      </c>
      <c r="E121" s="29" t="n">
        <v>12</v>
      </c>
      <c r="F121" s="30" t="n">
        <v>16300</v>
      </c>
      <c r="G121" s="30" t="n">
        <v>195600</v>
      </c>
      <c r="H121" s="51"/>
      <c r="R121" s="0" t="str">
        <f aca="false">TEXT(A121,"mmm-yy")</f>
        <v>Nov-25</v>
      </c>
    </row>
    <row r="122" customFormat="false" ht="15" hidden="false" customHeight="false" outlineLevel="0" collapsed="false">
      <c r="A122" s="37" t="n">
        <v>45992</v>
      </c>
      <c r="B122" s="38" t="s">
        <v>78</v>
      </c>
      <c r="C122" s="38" t="s">
        <v>47</v>
      </c>
      <c r="D122" s="38" t="s">
        <v>65</v>
      </c>
      <c r="E122" s="39" t="n">
        <v>5</v>
      </c>
      <c r="F122" s="40" t="n">
        <v>9000</v>
      </c>
      <c r="G122" s="40" t="n">
        <v>45000</v>
      </c>
      <c r="H122" s="51"/>
      <c r="R122" s="0" t="str">
        <f aca="false">TEXT(A122,"mmm-yy")</f>
        <v>Dec-25</v>
      </c>
    </row>
    <row r="123" customFormat="false" ht="15" hidden="false" customHeight="false" outlineLevel="0" collapsed="false">
      <c r="A123" s="27" t="n">
        <v>45993</v>
      </c>
      <c r="B123" s="28" t="s">
        <v>46</v>
      </c>
      <c r="C123" s="28" t="s">
        <v>64</v>
      </c>
      <c r="D123" s="28" t="s">
        <v>77</v>
      </c>
      <c r="E123" s="29" t="n">
        <v>16</v>
      </c>
      <c r="F123" s="30" t="n">
        <v>153900</v>
      </c>
      <c r="G123" s="30" t="n">
        <v>2462400</v>
      </c>
      <c r="H123" s="51"/>
      <c r="R123" s="0" t="str">
        <f aca="false">TEXT(A123,"mmm-yy")</f>
        <v>Dec-25</v>
      </c>
    </row>
    <row r="124" customFormat="false" ht="15" hidden="false" customHeight="false" outlineLevel="0" collapsed="false">
      <c r="A124" s="37" t="n">
        <v>45994</v>
      </c>
      <c r="B124" s="38" t="s">
        <v>63</v>
      </c>
      <c r="C124" s="38" t="s">
        <v>57</v>
      </c>
      <c r="D124" s="38" t="s">
        <v>65</v>
      </c>
      <c r="E124" s="39" t="n">
        <v>17</v>
      </c>
      <c r="F124" s="40" t="n">
        <v>5700</v>
      </c>
      <c r="G124" s="40" t="n">
        <v>96900</v>
      </c>
      <c r="H124" s="51"/>
      <c r="R124" s="0" t="str">
        <f aca="false">TEXT(A124,"mmm-yy")</f>
        <v>Dec-25</v>
      </c>
    </row>
    <row r="125" customFormat="false" ht="15" hidden="false" customHeight="false" outlineLevel="0" collapsed="false">
      <c r="A125" s="27" t="n">
        <v>45994</v>
      </c>
      <c r="B125" s="28" t="s">
        <v>46</v>
      </c>
      <c r="C125" s="28" t="s">
        <v>76</v>
      </c>
      <c r="D125" s="28" t="s">
        <v>65</v>
      </c>
      <c r="E125" s="29" t="n">
        <v>33</v>
      </c>
      <c r="F125" s="30" t="n">
        <v>25100</v>
      </c>
      <c r="G125" s="30" t="n">
        <v>828300</v>
      </c>
      <c r="H125" s="51"/>
      <c r="R125" s="0" t="str">
        <f aca="false">TEXT(A125,"mmm-yy")</f>
        <v>Dec-25</v>
      </c>
    </row>
    <row r="126" customFormat="false" ht="15" hidden="false" customHeight="false" outlineLevel="0" collapsed="false">
      <c r="A126" s="37" t="n">
        <v>45996</v>
      </c>
      <c r="B126" s="38" t="s">
        <v>78</v>
      </c>
      <c r="C126" s="38" t="s">
        <v>53</v>
      </c>
      <c r="D126" s="38" t="s">
        <v>65</v>
      </c>
      <c r="E126" s="39" t="n">
        <v>10</v>
      </c>
      <c r="F126" s="40" t="n">
        <v>13500</v>
      </c>
      <c r="G126" s="40" t="n">
        <v>135000</v>
      </c>
      <c r="H126" s="51"/>
      <c r="R126" s="0" t="str">
        <f aca="false">TEXT(A126,"mmm-yy")</f>
        <v>Dec-25</v>
      </c>
    </row>
    <row r="127" customFormat="false" ht="15" hidden="false" customHeight="false" outlineLevel="0" collapsed="false">
      <c r="A127" s="27" t="n">
        <v>45998</v>
      </c>
      <c r="B127" s="28" t="s">
        <v>78</v>
      </c>
      <c r="C127" s="28" t="s">
        <v>47</v>
      </c>
      <c r="D127" s="28" t="s">
        <v>60</v>
      </c>
      <c r="E127" s="29" t="n">
        <v>37</v>
      </c>
      <c r="F127" s="30" t="n">
        <v>10200</v>
      </c>
      <c r="G127" s="30" t="n">
        <v>377400</v>
      </c>
      <c r="H127" s="51"/>
      <c r="R127" s="0" t="str">
        <f aca="false">TEXT(A127,"mmm-yy")</f>
        <v>Dec-25</v>
      </c>
    </row>
    <row r="128" customFormat="false" ht="15" hidden="false" customHeight="false" outlineLevel="0" collapsed="false">
      <c r="A128" s="37" t="n">
        <v>45999</v>
      </c>
      <c r="B128" s="38" t="s">
        <v>52</v>
      </c>
      <c r="C128" s="38" t="s">
        <v>76</v>
      </c>
      <c r="D128" s="38" t="s">
        <v>54</v>
      </c>
      <c r="E128" s="39" t="n">
        <v>31</v>
      </c>
      <c r="F128" s="40" t="n">
        <v>26900</v>
      </c>
      <c r="G128" s="40" t="n">
        <v>833900</v>
      </c>
      <c r="H128" s="51"/>
      <c r="R128" s="0" t="str">
        <f aca="false">TEXT(A128,"mmm-yy")</f>
        <v>Dec-25</v>
      </c>
    </row>
    <row r="129" customFormat="false" ht="15" hidden="false" customHeight="false" outlineLevel="0" collapsed="false">
      <c r="A129" s="27" t="n">
        <v>46001</v>
      </c>
      <c r="B129" s="28" t="s">
        <v>63</v>
      </c>
      <c r="C129" s="28" t="s">
        <v>76</v>
      </c>
      <c r="D129" s="28" t="s">
        <v>70</v>
      </c>
      <c r="E129" s="29" t="n">
        <v>25</v>
      </c>
      <c r="F129" s="30" t="n">
        <v>26100</v>
      </c>
      <c r="G129" s="30" t="n">
        <v>652500</v>
      </c>
      <c r="H129" s="51"/>
      <c r="R129" s="0" t="str">
        <f aca="false">TEXT(A129,"mmm-yy")</f>
        <v>Dec-25</v>
      </c>
    </row>
    <row r="130" customFormat="false" ht="15" hidden="false" customHeight="false" outlineLevel="0" collapsed="false">
      <c r="A130" s="37" t="n">
        <v>46006</v>
      </c>
      <c r="B130" s="38" t="s">
        <v>78</v>
      </c>
      <c r="C130" s="38" t="s">
        <v>53</v>
      </c>
      <c r="D130" s="38" t="s">
        <v>75</v>
      </c>
      <c r="E130" s="39" t="n">
        <v>18</v>
      </c>
      <c r="F130" s="40" t="n">
        <v>15900</v>
      </c>
      <c r="G130" s="40" t="n">
        <v>286200</v>
      </c>
      <c r="H130" s="51"/>
      <c r="R130" s="0" t="str">
        <f aca="false">TEXT(A130,"mmm-yy")</f>
        <v>Dec-25</v>
      </c>
    </row>
    <row r="131" customFormat="false" ht="15" hidden="false" customHeight="false" outlineLevel="0" collapsed="false">
      <c r="A131" s="27" t="n">
        <v>46006</v>
      </c>
      <c r="B131" s="28" t="s">
        <v>78</v>
      </c>
      <c r="C131" s="28" t="s">
        <v>57</v>
      </c>
      <c r="D131" s="28" t="s">
        <v>81</v>
      </c>
      <c r="E131" s="29" t="n">
        <v>12</v>
      </c>
      <c r="F131" s="30" t="n">
        <v>5200</v>
      </c>
      <c r="G131" s="30" t="n">
        <v>62400</v>
      </c>
      <c r="H131" s="51"/>
      <c r="R131" s="0" t="str">
        <f aca="false">TEXT(A131,"mmm-yy")</f>
        <v>Dec-25</v>
      </c>
    </row>
    <row r="132" customFormat="false" ht="15" hidden="false" customHeight="false" outlineLevel="0" collapsed="false">
      <c r="A132" s="37" t="n">
        <v>46007</v>
      </c>
      <c r="B132" s="38" t="s">
        <v>63</v>
      </c>
      <c r="C132" s="38" t="s">
        <v>53</v>
      </c>
      <c r="D132" s="38" t="s">
        <v>70</v>
      </c>
      <c r="E132" s="39" t="n">
        <v>1</v>
      </c>
      <c r="F132" s="40" t="n">
        <v>16400</v>
      </c>
      <c r="G132" s="40" t="n">
        <v>16400</v>
      </c>
      <c r="H132" s="51"/>
      <c r="R132" s="0" t="str">
        <f aca="false">TEXT(A132,"mmm-yy")</f>
        <v>Dec-25</v>
      </c>
    </row>
    <row r="133" customFormat="false" ht="15" hidden="false" customHeight="false" outlineLevel="0" collapsed="false">
      <c r="A133" s="27" t="n">
        <v>46009</v>
      </c>
      <c r="B133" s="28" t="s">
        <v>73</v>
      </c>
      <c r="C133" s="28" t="s">
        <v>53</v>
      </c>
      <c r="D133" s="28" t="s">
        <v>70</v>
      </c>
      <c r="E133" s="29" t="n">
        <v>8</v>
      </c>
      <c r="F133" s="30" t="n">
        <v>13500</v>
      </c>
      <c r="G133" s="30" t="n">
        <v>108000</v>
      </c>
      <c r="H133" s="51"/>
      <c r="R133" s="0" t="str">
        <f aca="false">TEXT(A133,"mmm-yy")</f>
        <v>Dec-25</v>
      </c>
    </row>
    <row r="134" customFormat="false" ht="15" hidden="false" customHeight="false" outlineLevel="0" collapsed="false">
      <c r="A134" s="37" t="n">
        <v>46010</v>
      </c>
      <c r="B134" s="38" t="s">
        <v>52</v>
      </c>
      <c r="C134" s="38" t="s">
        <v>74</v>
      </c>
      <c r="D134" s="38" t="s">
        <v>77</v>
      </c>
      <c r="E134" s="39" t="n">
        <v>6</v>
      </c>
      <c r="F134" s="40" t="n">
        <v>57100</v>
      </c>
      <c r="G134" s="40" t="n">
        <v>342600</v>
      </c>
      <c r="H134" s="51"/>
      <c r="R134" s="0" t="str">
        <f aca="false">TEXT(A134,"mmm-yy")</f>
        <v>Dec-25</v>
      </c>
    </row>
    <row r="135" customFormat="false" ht="15" hidden="false" customHeight="false" outlineLevel="0" collapsed="false">
      <c r="A135" s="27" t="n">
        <v>46012</v>
      </c>
      <c r="B135" s="28" t="s">
        <v>63</v>
      </c>
      <c r="C135" s="28" t="s">
        <v>64</v>
      </c>
      <c r="D135" s="28" t="s">
        <v>48</v>
      </c>
      <c r="E135" s="29" t="n">
        <v>3</v>
      </c>
      <c r="F135" s="30" t="n">
        <v>146200</v>
      </c>
      <c r="G135" s="30" t="n">
        <v>438600</v>
      </c>
      <c r="H135" s="51"/>
      <c r="R135" s="0" t="str">
        <f aca="false">TEXT(A135,"mmm-yy")</f>
        <v>Dec-25</v>
      </c>
    </row>
    <row r="136" customFormat="false" ht="15" hidden="false" customHeight="false" outlineLevel="0" collapsed="false">
      <c r="A136" s="37" t="n">
        <v>46013</v>
      </c>
      <c r="B136" s="38" t="s">
        <v>73</v>
      </c>
      <c r="C136" s="38" t="s">
        <v>57</v>
      </c>
      <c r="D136" s="38" t="s">
        <v>77</v>
      </c>
      <c r="E136" s="39" t="n">
        <v>31</v>
      </c>
      <c r="F136" s="40" t="n">
        <v>4800</v>
      </c>
      <c r="G136" s="40" t="n">
        <v>148800</v>
      </c>
      <c r="H136" s="51"/>
      <c r="R136" s="0" t="str">
        <f aca="false">TEXT(A136,"mmm-yy")</f>
        <v>Dec-25</v>
      </c>
    </row>
    <row r="137" customFormat="false" ht="15" hidden="false" customHeight="false" outlineLevel="0" collapsed="false">
      <c r="A137" s="27" t="n">
        <v>46015</v>
      </c>
      <c r="B137" s="28" t="s">
        <v>63</v>
      </c>
      <c r="C137" s="28" t="s">
        <v>64</v>
      </c>
      <c r="D137" s="28" t="s">
        <v>77</v>
      </c>
      <c r="E137" s="29" t="n">
        <v>33</v>
      </c>
      <c r="F137" s="30" t="n">
        <v>153800</v>
      </c>
      <c r="G137" s="30" t="n">
        <v>5075400</v>
      </c>
      <c r="H137" s="51"/>
      <c r="R137" s="0" t="str">
        <f aca="false">TEXT(A137,"mmm-yy")</f>
        <v>Dec-25</v>
      </c>
    </row>
    <row r="138" customFormat="false" ht="15" hidden="false" customHeight="false" outlineLevel="0" collapsed="false">
      <c r="A138" s="37" t="n">
        <v>46015</v>
      </c>
      <c r="B138" s="38" t="s">
        <v>46</v>
      </c>
      <c r="C138" s="38" t="s">
        <v>53</v>
      </c>
      <c r="D138" s="38" t="s">
        <v>77</v>
      </c>
      <c r="E138" s="39" t="n">
        <v>31</v>
      </c>
      <c r="F138" s="40" t="n">
        <v>15900</v>
      </c>
      <c r="G138" s="40" t="n">
        <v>492900</v>
      </c>
      <c r="H138" s="51"/>
      <c r="R138" s="0" t="str">
        <f aca="false">TEXT(A138,"mmm-yy")</f>
        <v>Dec-25</v>
      </c>
    </row>
    <row r="139" customFormat="false" ht="15" hidden="false" customHeight="false" outlineLevel="0" collapsed="false">
      <c r="A139" s="27" t="n">
        <v>46016</v>
      </c>
      <c r="B139" s="28" t="s">
        <v>46</v>
      </c>
      <c r="C139" s="28" t="s">
        <v>47</v>
      </c>
      <c r="D139" s="28" t="s">
        <v>70</v>
      </c>
      <c r="E139" s="29" t="n">
        <v>13</v>
      </c>
      <c r="F139" s="30" t="n">
        <v>8900</v>
      </c>
      <c r="G139" s="30" t="n">
        <v>115700</v>
      </c>
      <c r="H139" s="51"/>
      <c r="R139" s="0" t="str">
        <f aca="false">TEXT(A139,"mmm-yy")</f>
        <v>Dec-25</v>
      </c>
    </row>
    <row r="140" customFormat="false" ht="15" hidden="false" customHeight="false" outlineLevel="0" collapsed="false">
      <c r="A140" s="37" t="n">
        <v>46017</v>
      </c>
      <c r="B140" s="38" t="s">
        <v>73</v>
      </c>
      <c r="C140" s="38" t="s">
        <v>53</v>
      </c>
      <c r="D140" s="38" t="s">
        <v>75</v>
      </c>
      <c r="E140" s="39" t="n">
        <v>35</v>
      </c>
      <c r="F140" s="40" t="n">
        <v>16200</v>
      </c>
      <c r="G140" s="40" t="n">
        <v>567000</v>
      </c>
      <c r="H140" s="51"/>
      <c r="R140" s="0" t="str">
        <f aca="false">TEXT(A140,"mmm-yy")</f>
        <v>Dec-25</v>
      </c>
    </row>
    <row r="141" customFormat="false" ht="15" hidden="false" customHeight="false" outlineLevel="0" collapsed="false">
      <c r="A141" s="27" t="n">
        <v>46017</v>
      </c>
      <c r="B141" s="28" t="s">
        <v>73</v>
      </c>
      <c r="C141" s="28" t="s">
        <v>57</v>
      </c>
      <c r="D141" s="28" t="s">
        <v>81</v>
      </c>
      <c r="E141" s="29" t="n">
        <v>21</v>
      </c>
      <c r="F141" s="30" t="n">
        <v>5200</v>
      </c>
      <c r="G141" s="30" t="n">
        <v>109200</v>
      </c>
      <c r="H141" s="51"/>
      <c r="R141" s="0" t="str">
        <f aca="false">TEXT(A141,"mmm-yy")</f>
        <v>Dec-25</v>
      </c>
    </row>
    <row r="142" customFormat="false" ht="15" hidden="false" customHeight="false" outlineLevel="0" collapsed="false">
      <c r="A142" s="37" t="n">
        <v>46025</v>
      </c>
      <c r="B142" s="38" t="s">
        <v>52</v>
      </c>
      <c r="C142" s="38" t="s">
        <v>53</v>
      </c>
      <c r="D142" s="38" t="s">
        <v>77</v>
      </c>
      <c r="E142" s="39" t="n">
        <v>29</v>
      </c>
      <c r="F142" s="40" t="n">
        <v>15500</v>
      </c>
      <c r="G142" s="40" t="n">
        <v>449500</v>
      </c>
      <c r="H142" s="51"/>
      <c r="R142" s="0" t="str">
        <f aca="false">TEXT(A142,"mmm-yy")</f>
        <v>Jan-26</v>
      </c>
    </row>
    <row r="143" customFormat="false" ht="15" hidden="false" customHeight="false" outlineLevel="0" collapsed="false">
      <c r="A143" s="27" t="n">
        <v>46028</v>
      </c>
      <c r="B143" s="28" t="s">
        <v>63</v>
      </c>
      <c r="C143" s="28" t="s">
        <v>47</v>
      </c>
      <c r="D143" s="28" t="s">
        <v>77</v>
      </c>
      <c r="E143" s="29" t="n">
        <v>2</v>
      </c>
      <c r="F143" s="30" t="n">
        <v>8800</v>
      </c>
      <c r="G143" s="30" t="n">
        <v>17600</v>
      </c>
      <c r="H143" s="51"/>
      <c r="R143" s="0" t="str">
        <f aca="false">TEXT(A143,"mmm-yy")</f>
        <v>Jan-26</v>
      </c>
    </row>
    <row r="144" customFormat="false" ht="15" hidden="false" customHeight="false" outlineLevel="0" collapsed="false">
      <c r="A144" s="37" t="n">
        <v>46028</v>
      </c>
      <c r="B144" s="38" t="s">
        <v>46</v>
      </c>
      <c r="C144" s="38" t="s">
        <v>53</v>
      </c>
      <c r="D144" s="38" t="s">
        <v>81</v>
      </c>
      <c r="E144" s="39" t="n">
        <v>20</v>
      </c>
      <c r="F144" s="40" t="n">
        <v>15200</v>
      </c>
      <c r="G144" s="40" t="n">
        <v>304000</v>
      </c>
      <c r="H144" s="51"/>
      <c r="R144" s="0" t="str">
        <f aca="false">TEXT(A144,"mmm-yy")</f>
        <v>Jan-26</v>
      </c>
    </row>
    <row r="145" customFormat="false" ht="15" hidden="false" customHeight="false" outlineLevel="0" collapsed="false">
      <c r="A145" s="27" t="n">
        <v>46028</v>
      </c>
      <c r="B145" s="28" t="s">
        <v>63</v>
      </c>
      <c r="C145" s="28" t="s">
        <v>57</v>
      </c>
      <c r="D145" s="28" t="s">
        <v>77</v>
      </c>
      <c r="E145" s="29" t="n">
        <v>31</v>
      </c>
      <c r="F145" s="30" t="n">
        <v>5500</v>
      </c>
      <c r="G145" s="30" t="n">
        <v>170500</v>
      </c>
      <c r="H145" s="51"/>
      <c r="R145" s="0" t="str">
        <f aca="false">TEXT(A145,"mmm-yy")</f>
        <v>Jan-26</v>
      </c>
    </row>
    <row r="146" customFormat="false" ht="15" hidden="false" customHeight="false" outlineLevel="0" collapsed="false">
      <c r="A146" s="37" t="n">
        <v>46031</v>
      </c>
      <c r="B146" s="38" t="s">
        <v>73</v>
      </c>
      <c r="C146" s="38" t="s">
        <v>53</v>
      </c>
      <c r="D146" s="38" t="s">
        <v>81</v>
      </c>
      <c r="E146" s="39" t="n">
        <v>15</v>
      </c>
      <c r="F146" s="40" t="n">
        <v>13900</v>
      </c>
      <c r="G146" s="40" t="n">
        <v>208500</v>
      </c>
      <c r="H146" s="51"/>
      <c r="R146" s="0" t="str">
        <f aca="false">TEXT(A146,"mmm-yy")</f>
        <v>Jan-26</v>
      </c>
    </row>
    <row r="147" customFormat="false" ht="15" hidden="false" customHeight="false" outlineLevel="0" collapsed="false">
      <c r="A147" s="27" t="n">
        <v>46032</v>
      </c>
      <c r="B147" s="28" t="s">
        <v>78</v>
      </c>
      <c r="C147" s="28" t="s">
        <v>76</v>
      </c>
      <c r="D147" s="28" t="s">
        <v>48</v>
      </c>
      <c r="E147" s="29" t="n">
        <v>26</v>
      </c>
      <c r="F147" s="30" t="n">
        <v>23200</v>
      </c>
      <c r="G147" s="30" t="n">
        <v>603200</v>
      </c>
      <c r="H147" s="51"/>
      <c r="R147" s="0" t="str">
        <f aca="false">TEXT(A147,"mmm-yy")</f>
        <v>Jan-26</v>
      </c>
    </row>
    <row r="148" customFormat="false" ht="15" hidden="false" customHeight="false" outlineLevel="0" collapsed="false">
      <c r="A148" s="37" t="n">
        <v>46033</v>
      </c>
      <c r="B148" s="38" t="s">
        <v>78</v>
      </c>
      <c r="C148" s="38" t="s">
        <v>57</v>
      </c>
      <c r="D148" s="38" t="s">
        <v>65</v>
      </c>
      <c r="E148" s="39" t="n">
        <v>34</v>
      </c>
      <c r="F148" s="40" t="n">
        <v>5600</v>
      </c>
      <c r="G148" s="40" t="n">
        <v>190400</v>
      </c>
      <c r="H148" s="51"/>
      <c r="R148" s="0" t="str">
        <f aca="false">TEXT(A148,"mmm-yy")</f>
        <v>Jan-26</v>
      </c>
    </row>
    <row r="149" customFormat="false" ht="15" hidden="false" customHeight="false" outlineLevel="0" collapsed="false">
      <c r="A149" s="27" t="n">
        <v>46034</v>
      </c>
      <c r="B149" s="28" t="s">
        <v>52</v>
      </c>
      <c r="C149" s="28" t="s">
        <v>74</v>
      </c>
      <c r="D149" s="28" t="s">
        <v>54</v>
      </c>
      <c r="E149" s="29" t="n">
        <v>36</v>
      </c>
      <c r="F149" s="30" t="n">
        <v>57200</v>
      </c>
      <c r="G149" s="30" t="n">
        <v>2059200</v>
      </c>
      <c r="H149" s="51"/>
      <c r="R149" s="0" t="str">
        <f aca="false">TEXT(A149,"mmm-yy")</f>
        <v>Jan-26</v>
      </c>
    </row>
    <row r="150" customFormat="false" ht="15" hidden="false" customHeight="false" outlineLevel="0" collapsed="false">
      <c r="A150" s="37" t="n">
        <v>46034</v>
      </c>
      <c r="B150" s="38" t="s">
        <v>73</v>
      </c>
      <c r="C150" s="38" t="s">
        <v>74</v>
      </c>
      <c r="D150" s="38" t="s">
        <v>79</v>
      </c>
      <c r="E150" s="39" t="n">
        <v>8</v>
      </c>
      <c r="F150" s="40" t="n">
        <v>66300</v>
      </c>
      <c r="G150" s="40" t="n">
        <v>530400</v>
      </c>
      <c r="H150" s="51"/>
      <c r="R150" s="0" t="str">
        <f aca="false">TEXT(A150,"mmm-yy")</f>
        <v>Jan-26</v>
      </c>
    </row>
    <row r="151" customFormat="false" ht="15" hidden="false" customHeight="false" outlineLevel="0" collapsed="false">
      <c r="A151" s="27" t="n">
        <v>46034</v>
      </c>
      <c r="B151" s="28" t="s">
        <v>73</v>
      </c>
      <c r="C151" s="28" t="s">
        <v>76</v>
      </c>
      <c r="D151" s="28" t="s">
        <v>80</v>
      </c>
      <c r="E151" s="29" t="n">
        <v>23</v>
      </c>
      <c r="F151" s="30" t="n">
        <v>24600</v>
      </c>
      <c r="G151" s="30" t="n">
        <v>565800</v>
      </c>
      <c r="H151" s="51"/>
      <c r="R151" s="0" t="str">
        <f aca="false">TEXT(A151,"mmm-yy")</f>
        <v>Jan-26</v>
      </c>
    </row>
    <row r="152" customFormat="false" ht="15" hidden="false" customHeight="false" outlineLevel="0" collapsed="false">
      <c r="A152" s="37" t="n">
        <v>46036</v>
      </c>
      <c r="B152" s="38" t="s">
        <v>52</v>
      </c>
      <c r="C152" s="38" t="s">
        <v>74</v>
      </c>
      <c r="D152" s="38" t="s">
        <v>65</v>
      </c>
      <c r="E152" s="39" t="n">
        <v>2</v>
      </c>
      <c r="F152" s="40" t="n">
        <v>57600</v>
      </c>
      <c r="G152" s="40" t="n">
        <v>115200</v>
      </c>
      <c r="H152" s="51"/>
      <c r="R152" s="0" t="str">
        <f aca="false">TEXT(A152,"mmm-yy")</f>
        <v>Jan-26</v>
      </c>
    </row>
    <row r="153" customFormat="false" ht="15" hidden="false" customHeight="false" outlineLevel="0" collapsed="false">
      <c r="A153" s="27" t="n">
        <v>46037</v>
      </c>
      <c r="B153" s="28" t="s">
        <v>63</v>
      </c>
      <c r="C153" s="28" t="s">
        <v>76</v>
      </c>
      <c r="D153" s="28" t="s">
        <v>79</v>
      </c>
      <c r="E153" s="29" t="n">
        <v>3</v>
      </c>
      <c r="F153" s="30" t="n">
        <v>21600</v>
      </c>
      <c r="G153" s="30" t="n">
        <v>64800</v>
      </c>
      <c r="H153" s="51"/>
      <c r="R153" s="0" t="str">
        <f aca="false">TEXT(A153,"mmm-yy")</f>
        <v>Jan-26</v>
      </c>
    </row>
    <row r="154" customFormat="false" ht="15" hidden="false" customHeight="false" outlineLevel="0" collapsed="false">
      <c r="A154" s="37" t="n">
        <v>46038</v>
      </c>
      <c r="B154" s="38" t="s">
        <v>73</v>
      </c>
      <c r="C154" s="38" t="s">
        <v>76</v>
      </c>
      <c r="D154" s="38" t="s">
        <v>79</v>
      </c>
      <c r="E154" s="39" t="n">
        <v>28</v>
      </c>
      <c r="F154" s="40" t="n">
        <v>23200</v>
      </c>
      <c r="G154" s="40" t="n">
        <v>649600</v>
      </c>
      <c r="H154" s="51"/>
      <c r="R154" s="0" t="str">
        <f aca="false">TEXT(A154,"mmm-yy")</f>
        <v>Jan-26</v>
      </c>
    </row>
    <row r="155" customFormat="false" ht="15" hidden="false" customHeight="false" outlineLevel="0" collapsed="false">
      <c r="A155" s="27" t="n">
        <v>46038</v>
      </c>
      <c r="B155" s="28" t="s">
        <v>63</v>
      </c>
      <c r="C155" s="28" t="s">
        <v>53</v>
      </c>
      <c r="D155" s="28" t="s">
        <v>70</v>
      </c>
      <c r="E155" s="29" t="n">
        <v>22</v>
      </c>
      <c r="F155" s="30" t="n">
        <v>14300</v>
      </c>
      <c r="G155" s="30" t="n">
        <v>314600</v>
      </c>
      <c r="H155" s="51"/>
      <c r="R155" s="0" t="str">
        <f aca="false">TEXT(A155,"mmm-yy")</f>
        <v>Jan-26</v>
      </c>
    </row>
    <row r="156" customFormat="false" ht="15" hidden="false" customHeight="false" outlineLevel="0" collapsed="false">
      <c r="A156" s="37" t="n">
        <v>46038</v>
      </c>
      <c r="B156" s="38" t="s">
        <v>73</v>
      </c>
      <c r="C156" s="38" t="s">
        <v>64</v>
      </c>
      <c r="D156" s="38" t="s">
        <v>54</v>
      </c>
      <c r="E156" s="39" t="n">
        <v>15</v>
      </c>
      <c r="F156" s="40" t="n">
        <v>160300</v>
      </c>
      <c r="G156" s="40" t="n">
        <v>2404500</v>
      </c>
      <c r="H156" s="51"/>
      <c r="R156" s="0" t="str">
        <f aca="false">TEXT(A156,"mmm-yy")</f>
        <v>Jan-26</v>
      </c>
    </row>
    <row r="157" customFormat="false" ht="15" hidden="false" customHeight="false" outlineLevel="0" collapsed="false">
      <c r="A157" s="27" t="n">
        <v>46041</v>
      </c>
      <c r="B157" s="28" t="s">
        <v>78</v>
      </c>
      <c r="C157" s="28" t="s">
        <v>57</v>
      </c>
      <c r="D157" s="28" t="s">
        <v>77</v>
      </c>
      <c r="E157" s="29" t="n">
        <v>7</v>
      </c>
      <c r="F157" s="30" t="n">
        <v>4800</v>
      </c>
      <c r="G157" s="30" t="n">
        <v>33600</v>
      </c>
      <c r="H157" s="51"/>
      <c r="R157" s="0" t="str">
        <f aca="false">TEXT(A157,"mmm-yy")</f>
        <v>Jan-26</v>
      </c>
    </row>
    <row r="158" customFormat="false" ht="15" hidden="false" customHeight="false" outlineLevel="0" collapsed="false">
      <c r="A158" s="37" t="n">
        <v>46041</v>
      </c>
      <c r="B158" s="38" t="s">
        <v>52</v>
      </c>
      <c r="C158" s="38" t="s">
        <v>74</v>
      </c>
      <c r="D158" s="38" t="s">
        <v>77</v>
      </c>
      <c r="E158" s="39" t="n">
        <v>30</v>
      </c>
      <c r="F158" s="40" t="n">
        <v>60700</v>
      </c>
      <c r="G158" s="40" t="n">
        <v>1821000</v>
      </c>
      <c r="H158" s="51"/>
      <c r="R158" s="0" t="str">
        <f aca="false">TEXT(A158,"mmm-yy")</f>
        <v>Jan-26</v>
      </c>
    </row>
    <row r="159" customFormat="false" ht="15" hidden="false" customHeight="false" outlineLevel="0" collapsed="false">
      <c r="A159" s="27" t="n">
        <v>46043</v>
      </c>
      <c r="B159" s="28" t="s">
        <v>52</v>
      </c>
      <c r="C159" s="28" t="s">
        <v>76</v>
      </c>
      <c r="D159" s="28" t="s">
        <v>65</v>
      </c>
      <c r="E159" s="29" t="n">
        <v>10</v>
      </c>
      <c r="F159" s="30" t="n">
        <v>26200</v>
      </c>
      <c r="G159" s="30" t="n">
        <v>262000</v>
      </c>
      <c r="H159" s="51"/>
      <c r="R159" s="0" t="str">
        <f aca="false">TEXT(A159,"mmm-yy")</f>
        <v>Jan-26</v>
      </c>
    </row>
    <row r="160" customFormat="false" ht="15" hidden="false" customHeight="false" outlineLevel="0" collapsed="false">
      <c r="A160" s="37" t="n">
        <v>46044</v>
      </c>
      <c r="B160" s="38" t="s">
        <v>78</v>
      </c>
      <c r="C160" s="38" t="s">
        <v>47</v>
      </c>
      <c r="D160" s="38" t="s">
        <v>81</v>
      </c>
      <c r="E160" s="39" t="n">
        <v>2</v>
      </c>
      <c r="F160" s="40" t="n">
        <v>9400</v>
      </c>
      <c r="G160" s="40" t="n">
        <v>18800</v>
      </c>
      <c r="H160" s="51"/>
      <c r="R160" s="0" t="str">
        <f aca="false">TEXT(A160,"mmm-yy")</f>
        <v>Jan-26</v>
      </c>
    </row>
    <row r="161" customFormat="false" ht="15" hidden="false" customHeight="false" outlineLevel="0" collapsed="false">
      <c r="A161" s="27" t="n">
        <v>46049</v>
      </c>
      <c r="B161" s="28" t="s">
        <v>52</v>
      </c>
      <c r="C161" s="28" t="s">
        <v>74</v>
      </c>
      <c r="D161" s="28" t="s">
        <v>75</v>
      </c>
      <c r="E161" s="29" t="n">
        <v>1</v>
      </c>
      <c r="F161" s="30" t="n">
        <v>57100</v>
      </c>
      <c r="G161" s="30" t="n">
        <v>57100</v>
      </c>
      <c r="H161" s="51"/>
      <c r="R161" s="0" t="str">
        <f aca="false">TEXT(A161,"mmm-yy")</f>
        <v>Jan-26</v>
      </c>
    </row>
    <row r="162" customFormat="false" ht="15" hidden="false" customHeight="false" outlineLevel="0" collapsed="false">
      <c r="A162" s="37" t="n">
        <v>46049</v>
      </c>
      <c r="B162" s="38" t="s">
        <v>63</v>
      </c>
      <c r="C162" s="38" t="s">
        <v>57</v>
      </c>
      <c r="D162" s="38" t="s">
        <v>48</v>
      </c>
      <c r="E162" s="39" t="n">
        <v>28</v>
      </c>
      <c r="F162" s="40" t="n">
        <v>5300</v>
      </c>
      <c r="G162" s="40" t="n">
        <v>148400</v>
      </c>
      <c r="H162" s="51"/>
      <c r="R162" s="0" t="str">
        <f aca="false">TEXT(A162,"mmm-yy")</f>
        <v>Jan-26</v>
      </c>
    </row>
    <row r="163" customFormat="false" ht="15" hidden="false" customHeight="false" outlineLevel="0" collapsed="false">
      <c r="A163" s="27" t="n">
        <v>46050</v>
      </c>
      <c r="B163" s="28" t="s">
        <v>52</v>
      </c>
      <c r="C163" s="28" t="s">
        <v>47</v>
      </c>
      <c r="D163" s="28" t="s">
        <v>80</v>
      </c>
      <c r="E163" s="29" t="n">
        <v>2</v>
      </c>
      <c r="F163" s="30" t="n">
        <v>10500</v>
      </c>
      <c r="G163" s="30" t="n">
        <v>21000</v>
      </c>
      <c r="H163" s="51"/>
      <c r="R163" s="0" t="str">
        <f aca="false">TEXT(A163,"mmm-yy")</f>
        <v>Jan-26</v>
      </c>
    </row>
    <row r="164" customFormat="false" ht="15" hidden="false" customHeight="false" outlineLevel="0" collapsed="false">
      <c r="A164" s="37" t="n">
        <v>46051</v>
      </c>
      <c r="B164" s="38" t="s">
        <v>46</v>
      </c>
      <c r="C164" s="38" t="s">
        <v>57</v>
      </c>
      <c r="D164" s="38" t="s">
        <v>80</v>
      </c>
      <c r="E164" s="39" t="n">
        <v>9</v>
      </c>
      <c r="F164" s="40" t="n">
        <v>4700</v>
      </c>
      <c r="G164" s="40" t="n">
        <v>42300</v>
      </c>
      <c r="H164" s="51"/>
      <c r="R164" s="0" t="str">
        <f aca="false">TEXT(A164,"mmm-yy")</f>
        <v>Jan-26</v>
      </c>
    </row>
    <row r="165" customFormat="false" ht="15" hidden="false" customHeight="false" outlineLevel="0" collapsed="false">
      <c r="A165" s="27" t="n">
        <v>46056</v>
      </c>
      <c r="B165" s="28" t="s">
        <v>73</v>
      </c>
      <c r="C165" s="28" t="s">
        <v>47</v>
      </c>
      <c r="D165" s="28" t="s">
        <v>65</v>
      </c>
      <c r="E165" s="29" t="n">
        <v>35</v>
      </c>
      <c r="F165" s="30" t="n">
        <v>9600</v>
      </c>
      <c r="G165" s="30" t="n">
        <v>336000</v>
      </c>
      <c r="H165" s="51"/>
      <c r="R165" s="0" t="str">
        <f aca="false">TEXT(A165,"mmm-yy")</f>
        <v>Feb-26</v>
      </c>
    </row>
    <row r="166" customFormat="false" ht="15" hidden="false" customHeight="false" outlineLevel="0" collapsed="false">
      <c r="A166" s="37" t="n">
        <v>46059</v>
      </c>
      <c r="B166" s="38" t="s">
        <v>46</v>
      </c>
      <c r="C166" s="38" t="s">
        <v>74</v>
      </c>
      <c r="D166" s="38" t="s">
        <v>65</v>
      </c>
      <c r="E166" s="39" t="n">
        <v>36</v>
      </c>
      <c r="F166" s="40" t="n">
        <v>69500</v>
      </c>
      <c r="G166" s="40" t="n">
        <v>2502000</v>
      </c>
      <c r="H166" s="51"/>
      <c r="R166" s="0" t="str">
        <f aca="false">TEXT(A166,"mmm-yy")</f>
        <v>Feb-26</v>
      </c>
    </row>
    <row r="167" customFormat="false" ht="15" hidden="false" customHeight="false" outlineLevel="0" collapsed="false">
      <c r="A167" s="27" t="n">
        <v>46060</v>
      </c>
      <c r="B167" s="28" t="s">
        <v>52</v>
      </c>
      <c r="C167" s="28" t="s">
        <v>47</v>
      </c>
      <c r="D167" s="28" t="s">
        <v>54</v>
      </c>
      <c r="E167" s="29" t="n">
        <v>28</v>
      </c>
      <c r="F167" s="30" t="n">
        <v>10300</v>
      </c>
      <c r="G167" s="30" t="n">
        <v>288400</v>
      </c>
      <c r="H167" s="51"/>
      <c r="R167" s="0" t="str">
        <f aca="false">TEXT(A167,"mmm-yy")</f>
        <v>Feb-26</v>
      </c>
    </row>
    <row r="168" customFormat="false" ht="15" hidden="false" customHeight="false" outlineLevel="0" collapsed="false">
      <c r="A168" s="37" t="n">
        <v>46062</v>
      </c>
      <c r="B168" s="38" t="s">
        <v>63</v>
      </c>
      <c r="C168" s="38" t="s">
        <v>74</v>
      </c>
      <c r="D168" s="38" t="s">
        <v>75</v>
      </c>
      <c r="E168" s="39" t="n">
        <v>29</v>
      </c>
      <c r="F168" s="40" t="n">
        <v>65800</v>
      </c>
      <c r="G168" s="40" t="n">
        <v>1908200</v>
      </c>
      <c r="H168" s="51"/>
      <c r="R168" s="0" t="str">
        <f aca="false">TEXT(A168,"mmm-yy")</f>
        <v>Feb-26</v>
      </c>
    </row>
    <row r="169" customFormat="false" ht="15" hidden="false" customHeight="false" outlineLevel="0" collapsed="false">
      <c r="A169" s="27" t="n">
        <v>46063</v>
      </c>
      <c r="B169" s="28" t="s">
        <v>63</v>
      </c>
      <c r="C169" s="28" t="s">
        <v>53</v>
      </c>
      <c r="D169" s="28" t="s">
        <v>80</v>
      </c>
      <c r="E169" s="29" t="n">
        <v>15</v>
      </c>
      <c r="F169" s="30" t="n">
        <v>15700</v>
      </c>
      <c r="G169" s="30" t="n">
        <v>235500</v>
      </c>
      <c r="H169" s="51"/>
      <c r="R169" s="0" t="str">
        <f aca="false">TEXT(A169,"mmm-yy")</f>
        <v>Feb-26</v>
      </c>
    </row>
    <row r="170" customFormat="false" ht="15" hidden="false" customHeight="false" outlineLevel="0" collapsed="false">
      <c r="A170" s="37" t="n">
        <v>46064</v>
      </c>
      <c r="B170" s="38" t="s">
        <v>73</v>
      </c>
      <c r="C170" s="38" t="s">
        <v>57</v>
      </c>
      <c r="D170" s="38" t="s">
        <v>60</v>
      </c>
      <c r="E170" s="39" t="n">
        <v>36</v>
      </c>
      <c r="F170" s="40" t="n">
        <v>5800</v>
      </c>
      <c r="G170" s="40" t="n">
        <v>208800</v>
      </c>
      <c r="H170" s="51"/>
      <c r="R170" s="0" t="str">
        <f aca="false">TEXT(A170,"mmm-yy")</f>
        <v>Feb-26</v>
      </c>
    </row>
    <row r="171" customFormat="false" ht="15" hidden="false" customHeight="false" outlineLevel="0" collapsed="false">
      <c r="A171" s="27" t="n">
        <v>46066</v>
      </c>
      <c r="B171" s="28" t="s">
        <v>73</v>
      </c>
      <c r="C171" s="28" t="s">
        <v>74</v>
      </c>
      <c r="D171" s="28" t="s">
        <v>79</v>
      </c>
      <c r="E171" s="29" t="n">
        <v>17</v>
      </c>
      <c r="F171" s="30" t="n">
        <v>64800</v>
      </c>
      <c r="G171" s="30" t="n">
        <v>1101600</v>
      </c>
      <c r="H171" s="51"/>
      <c r="R171" s="0" t="str">
        <f aca="false">TEXT(A171,"mmm-yy")</f>
        <v>Feb-26</v>
      </c>
    </row>
    <row r="172" customFormat="false" ht="15" hidden="false" customHeight="false" outlineLevel="0" collapsed="false">
      <c r="A172" s="37" t="n">
        <v>46069</v>
      </c>
      <c r="B172" s="38" t="s">
        <v>63</v>
      </c>
      <c r="C172" s="38" t="s">
        <v>74</v>
      </c>
      <c r="D172" s="38" t="s">
        <v>65</v>
      </c>
      <c r="E172" s="39" t="n">
        <v>10</v>
      </c>
      <c r="F172" s="40" t="n">
        <v>57200</v>
      </c>
      <c r="G172" s="40" t="n">
        <v>572000</v>
      </c>
      <c r="H172" s="51"/>
      <c r="R172" s="0" t="str">
        <f aca="false">TEXT(A172,"mmm-yy")</f>
        <v>Feb-26</v>
      </c>
    </row>
    <row r="173" customFormat="false" ht="15" hidden="false" customHeight="false" outlineLevel="0" collapsed="false">
      <c r="A173" s="27" t="n">
        <v>46069</v>
      </c>
      <c r="B173" s="28" t="s">
        <v>63</v>
      </c>
      <c r="C173" s="28" t="s">
        <v>76</v>
      </c>
      <c r="D173" s="28" t="s">
        <v>60</v>
      </c>
      <c r="E173" s="29" t="n">
        <v>36</v>
      </c>
      <c r="F173" s="30" t="n">
        <v>22200</v>
      </c>
      <c r="G173" s="30" t="n">
        <v>799200</v>
      </c>
      <c r="H173" s="51"/>
      <c r="R173" s="0" t="str">
        <f aca="false">TEXT(A173,"mmm-yy")</f>
        <v>Feb-26</v>
      </c>
    </row>
    <row r="174" customFormat="false" ht="15" hidden="false" customHeight="false" outlineLevel="0" collapsed="false">
      <c r="A174" s="37" t="n">
        <v>46070</v>
      </c>
      <c r="B174" s="38" t="s">
        <v>78</v>
      </c>
      <c r="C174" s="38" t="s">
        <v>76</v>
      </c>
      <c r="D174" s="38" t="s">
        <v>70</v>
      </c>
      <c r="E174" s="39" t="n">
        <v>23</v>
      </c>
      <c r="F174" s="40" t="n">
        <v>23500</v>
      </c>
      <c r="G174" s="40" t="n">
        <v>540500</v>
      </c>
      <c r="H174" s="51"/>
      <c r="R174" s="0" t="str">
        <f aca="false">TEXT(A174,"mmm-yy")</f>
        <v>Feb-26</v>
      </c>
    </row>
    <row r="175" customFormat="false" ht="15" hidden="false" customHeight="false" outlineLevel="0" collapsed="false">
      <c r="A175" s="27" t="n">
        <v>46071</v>
      </c>
      <c r="B175" s="28" t="s">
        <v>52</v>
      </c>
      <c r="C175" s="28" t="s">
        <v>47</v>
      </c>
      <c r="D175" s="28" t="s">
        <v>77</v>
      </c>
      <c r="E175" s="29" t="n">
        <v>25</v>
      </c>
      <c r="F175" s="30" t="n">
        <v>10200</v>
      </c>
      <c r="G175" s="30" t="n">
        <v>255000</v>
      </c>
      <c r="H175" s="51"/>
      <c r="R175" s="0" t="str">
        <f aca="false">TEXT(A175,"mmm-yy")</f>
        <v>Feb-26</v>
      </c>
    </row>
    <row r="176" customFormat="false" ht="15" hidden="false" customHeight="false" outlineLevel="0" collapsed="false">
      <c r="A176" s="37" t="n">
        <v>46073</v>
      </c>
      <c r="B176" s="38" t="s">
        <v>78</v>
      </c>
      <c r="C176" s="38" t="s">
        <v>76</v>
      </c>
      <c r="D176" s="38" t="s">
        <v>77</v>
      </c>
      <c r="E176" s="39" t="n">
        <v>21</v>
      </c>
      <c r="F176" s="40" t="n">
        <v>22300</v>
      </c>
      <c r="G176" s="40" t="n">
        <v>468300</v>
      </c>
      <c r="H176" s="51"/>
      <c r="R176" s="0" t="str">
        <f aca="false">TEXT(A176,"mmm-yy")</f>
        <v>Feb-26</v>
      </c>
    </row>
    <row r="177" customFormat="false" ht="15" hidden="false" customHeight="false" outlineLevel="0" collapsed="false">
      <c r="A177" s="27" t="n">
        <v>46073</v>
      </c>
      <c r="B177" s="28" t="s">
        <v>63</v>
      </c>
      <c r="C177" s="28" t="s">
        <v>74</v>
      </c>
      <c r="D177" s="28" t="s">
        <v>75</v>
      </c>
      <c r="E177" s="29" t="n">
        <v>8</v>
      </c>
      <c r="F177" s="30" t="n">
        <v>70400</v>
      </c>
      <c r="G177" s="30" t="n">
        <v>563200</v>
      </c>
      <c r="H177" s="51"/>
      <c r="R177" s="0" t="str">
        <f aca="false">TEXT(A177,"mmm-yy")</f>
        <v>Feb-26</v>
      </c>
    </row>
    <row r="178" customFormat="false" ht="15" hidden="false" customHeight="false" outlineLevel="0" collapsed="false">
      <c r="A178" s="37" t="n">
        <v>46079</v>
      </c>
      <c r="B178" s="38" t="s">
        <v>73</v>
      </c>
      <c r="C178" s="38" t="s">
        <v>47</v>
      </c>
      <c r="D178" s="38" t="s">
        <v>60</v>
      </c>
      <c r="E178" s="39" t="n">
        <v>8</v>
      </c>
      <c r="F178" s="40" t="n">
        <v>9300</v>
      </c>
      <c r="G178" s="40" t="n">
        <v>74400</v>
      </c>
      <c r="H178" s="51"/>
      <c r="R178" s="0" t="str">
        <f aca="false">TEXT(A178,"mmm-yy")</f>
        <v>Feb-26</v>
      </c>
    </row>
    <row r="179" customFormat="false" ht="15" hidden="false" customHeight="false" outlineLevel="0" collapsed="false">
      <c r="A179" s="27" t="n">
        <v>46080</v>
      </c>
      <c r="B179" s="28" t="s">
        <v>63</v>
      </c>
      <c r="C179" s="28" t="s">
        <v>47</v>
      </c>
      <c r="D179" s="28" t="s">
        <v>75</v>
      </c>
      <c r="E179" s="29" t="n">
        <v>3</v>
      </c>
      <c r="F179" s="30" t="n">
        <v>9000</v>
      </c>
      <c r="G179" s="30" t="n">
        <v>27000</v>
      </c>
      <c r="H179" s="51"/>
      <c r="R179" s="0" t="str">
        <f aca="false">TEXT(A179,"mmm-yy")</f>
        <v>Feb-26</v>
      </c>
    </row>
    <row r="180" customFormat="false" ht="15" hidden="false" customHeight="false" outlineLevel="0" collapsed="false">
      <c r="A180" s="37" t="n">
        <v>46081</v>
      </c>
      <c r="B180" s="38" t="s">
        <v>73</v>
      </c>
      <c r="C180" s="38" t="s">
        <v>74</v>
      </c>
      <c r="D180" s="38" t="s">
        <v>48</v>
      </c>
      <c r="E180" s="39" t="n">
        <v>32</v>
      </c>
      <c r="F180" s="40" t="n">
        <v>71200</v>
      </c>
      <c r="G180" s="40" t="n">
        <v>2278400</v>
      </c>
      <c r="H180" s="51"/>
      <c r="R180" s="0" t="str">
        <f aca="false">TEXT(A180,"mmm-yy")</f>
        <v>Feb-26</v>
      </c>
    </row>
    <row r="181" customFormat="false" ht="15" hidden="false" customHeight="false" outlineLevel="0" collapsed="false">
      <c r="A181" s="27" t="n">
        <v>46082</v>
      </c>
      <c r="B181" s="28" t="s">
        <v>52</v>
      </c>
      <c r="C181" s="28" t="s">
        <v>53</v>
      </c>
      <c r="D181" s="28" t="s">
        <v>54</v>
      </c>
      <c r="E181" s="29" t="n">
        <v>36</v>
      </c>
      <c r="F181" s="30" t="n">
        <v>13500</v>
      </c>
      <c r="G181" s="30" t="n">
        <v>486000</v>
      </c>
      <c r="H181" s="51"/>
      <c r="R181" s="0" t="str">
        <f aca="false">TEXT(A181,"mmm-yy")</f>
        <v>Mar-26</v>
      </c>
    </row>
    <row r="182" customFormat="false" ht="15" hidden="false" customHeight="false" outlineLevel="0" collapsed="false">
      <c r="A182" s="37" t="n">
        <v>46085</v>
      </c>
      <c r="B182" s="38" t="s">
        <v>78</v>
      </c>
      <c r="C182" s="38" t="s">
        <v>47</v>
      </c>
      <c r="D182" s="38" t="s">
        <v>60</v>
      </c>
      <c r="E182" s="39" t="n">
        <v>35</v>
      </c>
      <c r="F182" s="40" t="n">
        <v>10100</v>
      </c>
      <c r="G182" s="40" t="n">
        <v>353500</v>
      </c>
      <c r="H182" s="51"/>
      <c r="R182" s="0" t="str">
        <f aca="false">TEXT(A182,"mmm-yy")</f>
        <v>Mar-26</v>
      </c>
    </row>
    <row r="183" customFormat="false" ht="15" hidden="false" customHeight="false" outlineLevel="0" collapsed="false">
      <c r="A183" s="27" t="n">
        <v>46087</v>
      </c>
      <c r="B183" s="28" t="s">
        <v>46</v>
      </c>
      <c r="C183" s="28" t="s">
        <v>64</v>
      </c>
      <c r="D183" s="28" t="s">
        <v>70</v>
      </c>
      <c r="E183" s="29" t="n">
        <v>3</v>
      </c>
      <c r="F183" s="30" t="n">
        <v>153800</v>
      </c>
      <c r="G183" s="30" t="n">
        <v>461400</v>
      </c>
      <c r="H183" s="51"/>
      <c r="R183" s="0" t="str">
        <f aca="false">TEXT(A183,"mmm-yy")</f>
        <v>Mar-26</v>
      </c>
    </row>
    <row r="184" customFormat="false" ht="15" hidden="false" customHeight="false" outlineLevel="0" collapsed="false">
      <c r="A184" s="37" t="n">
        <v>46094</v>
      </c>
      <c r="B184" s="38" t="s">
        <v>78</v>
      </c>
      <c r="C184" s="38" t="s">
        <v>57</v>
      </c>
      <c r="D184" s="38" t="s">
        <v>65</v>
      </c>
      <c r="E184" s="39" t="n">
        <v>6</v>
      </c>
      <c r="F184" s="40" t="n">
        <v>5500</v>
      </c>
      <c r="G184" s="40" t="n">
        <v>33000</v>
      </c>
      <c r="H184" s="51"/>
      <c r="R184" s="0" t="str">
        <f aca="false">TEXT(A184,"mmm-yy")</f>
        <v>Mar-26</v>
      </c>
    </row>
    <row r="185" customFormat="false" ht="15" hidden="false" customHeight="false" outlineLevel="0" collapsed="false">
      <c r="A185" s="27" t="n">
        <v>46097</v>
      </c>
      <c r="B185" s="28" t="s">
        <v>52</v>
      </c>
      <c r="C185" s="28" t="s">
        <v>47</v>
      </c>
      <c r="D185" s="28" t="s">
        <v>70</v>
      </c>
      <c r="E185" s="29" t="n">
        <v>11</v>
      </c>
      <c r="F185" s="30" t="n">
        <v>9800</v>
      </c>
      <c r="G185" s="30" t="n">
        <v>107800</v>
      </c>
      <c r="H185" s="51"/>
      <c r="R185" s="0" t="str">
        <f aca="false">TEXT(A185,"mmm-yy")</f>
        <v>Mar-26</v>
      </c>
    </row>
    <row r="186" customFormat="false" ht="15" hidden="false" customHeight="false" outlineLevel="0" collapsed="false">
      <c r="A186" s="37" t="n">
        <v>46099</v>
      </c>
      <c r="B186" s="38" t="s">
        <v>52</v>
      </c>
      <c r="C186" s="38" t="s">
        <v>76</v>
      </c>
      <c r="D186" s="38" t="s">
        <v>75</v>
      </c>
      <c r="E186" s="39" t="n">
        <v>34</v>
      </c>
      <c r="F186" s="40" t="n">
        <v>23000</v>
      </c>
      <c r="G186" s="40" t="n">
        <v>782000</v>
      </c>
      <c r="H186" s="51"/>
      <c r="R186" s="0" t="str">
        <f aca="false">TEXT(A186,"mmm-yy")</f>
        <v>Mar-26</v>
      </c>
    </row>
    <row r="187" customFormat="false" ht="15" hidden="false" customHeight="false" outlineLevel="0" collapsed="false">
      <c r="A187" s="27" t="n">
        <v>46112</v>
      </c>
      <c r="B187" s="28" t="s">
        <v>73</v>
      </c>
      <c r="C187" s="28" t="s">
        <v>57</v>
      </c>
      <c r="D187" s="28" t="s">
        <v>77</v>
      </c>
      <c r="E187" s="29" t="n">
        <v>25</v>
      </c>
      <c r="F187" s="30" t="n">
        <v>5200</v>
      </c>
      <c r="G187" s="30" t="n">
        <v>130000</v>
      </c>
      <c r="H187" s="51"/>
      <c r="R187" s="0" t="str">
        <f aca="false">TEXT(A187,"mmm-yy")</f>
        <v>Mar-26</v>
      </c>
    </row>
    <row r="188" customFormat="false" ht="15" hidden="false" customHeight="false" outlineLevel="0" collapsed="false">
      <c r="A188" s="37" t="n">
        <v>46112</v>
      </c>
      <c r="B188" s="38" t="s">
        <v>52</v>
      </c>
      <c r="C188" s="38" t="s">
        <v>64</v>
      </c>
      <c r="D188" s="38" t="s">
        <v>75</v>
      </c>
      <c r="E188" s="39" t="n">
        <v>25</v>
      </c>
      <c r="F188" s="40" t="n">
        <v>161400</v>
      </c>
      <c r="G188" s="40" t="n">
        <v>4035000</v>
      </c>
      <c r="H188" s="51"/>
      <c r="R188" s="0" t="str">
        <f aca="false">TEXT(A188,"mmm-yy")</f>
        <v>Mar-26</v>
      </c>
    </row>
  </sheetData>
  <mergeCells count="3">
    <mergeCell ref="A1:P1"/>
    <mergeCell ref="A2:P2"/>
    <mergeCell ref="A3:P5"/>
  </mergeCells>
  <conditionalFormatting sqref="M9:M14">
    <cfRule type="expression" priority="2" aboveAverage="0" equalAverage="0" bottom="0" percent="0" rank="0" text="" dxfId="0">
      <formula>LEFT(M9,1)="✓"</formula>
    </cfRule>
    <cfRule type="expression" priority="3" aboveAverage="0" equalAverage="0" bottom="0" percent="0" rank="0" text="" dxfId="1">
      <formula>LEFT(M9,1)="✗"</formula>
    </cfRule>
    <cfRule type="expression" priority="4" aboveAverage="0" equalAverage="0" bottom="0" percent="0" rank="0" text="" dxfId="2">
      <formula>LEFT(M9,1)="✎"</formula>
    </cfRule>
    <cfRule type="expression" priority="5" aboveAverage="0" equalAverage="0" bottom="0" percent="0" rank="0" text="" dxfId="3">
      <formula>LEFT(M9,1)="◯"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true"/>
  </sheetPr>
  <dimension ref="A1:Q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6"/>
    <col collapsed="false" customWidth="true" hidden="false" outlineLevel="0" max="5" min="5" style="0" width="9"/>
    <col collapsed="false" customWidth="true" hidden="false" outlineLevel="0" max="6" min="6" style="0" width="11"/>
    <col collapsed="false" customWidth="true" hidden="false" outlineLevel="0" max="7" min="7" style="0" width="15"/>
    <col collapsed="false" customWidth="true" hidden="false" outlineLevel="0" max="8" min="8" style="0" width="3"/>
    <col collapsed="false" customWidth="true" hidden="false" outlineLevel="0" max="9" min="9" style="0" width="5"/>
    <col collapsed="false" customWidth="true" hidden="false" outlineLevel="0" max="10" min="10" style="0" width="46"/>
    <col collapsed="false" customWidth="true" hidden="false" outlineLevel="0" max="11" min="11" style="0" width="18"/>
    <col collapsed="false" customWidth="true" hidden="false" outlineLevel="0" max="12" min="12" style="0" width="17"/>
    <col collapsed="false" customWidth="true" hidden="false" outlineLevel="0" max="13" min="13" style="0" width="38"/>
    <col collapsed="false" customWidth="true" hidden="true" outlineLevel="0" max="18" min="14" style="0" width="13"/>
  </cols>
  <sheetData>
    <row r="1" customFormat="false" ht="31.5" hidden="false" customHeight="true" outlineLevel="0" collapsed="false">
      <c r="A1" s="47" t="s">
        <v>113</v>
      </c>
      <c r="B1" s="47"/>
      <c r="C1" s="47"/>
      <c r="D1" s="47"/>
      <c r="E1" s="47"/>
      <c r="F1" s="47"/>
      <c r="G1" s="47"/>
      <c r="H1" s="47"/>
      <c r="I1" s="47"/>
      <c r="J1" s="47"/>
      <c r="K1" s="47"/>
      <c r="L1" s="47"/>
      <c r="M1" s="47"/>
    </row>
    <row r="2" customFormat="false" ht="19.5" hidden="false" customHeight="true" outlineLevel="0" collapsed="false">
      <c r="A2" s="48" t="s">
        <v>114</v>
      </c>
      <c r="B2" s="48"/>
      <c r="C2" s="48"/>
      <c r="D2" s="48"/>
      <c r="E2" s="48"/>
      <c r="F2" s="48"/>
      <c r="G2" s="48"/>
      <c r="H2" s="48"/>
      <c r="I2" s="48"/>
      <c r="J2" s="48"/>
      <c r="K2" s="48"/>
      <c r="L2" s="48"/>
      <c r="M2" s="48"/>
    </row>
    <row r="3" customFormat="false" ht="18.75" hidden="false" customHeight="true" outlineLevel="0" collapsed="false">
      <c r="A3" s="49" t="s">
        <v>115</v>
      </c>
      <c r="B3" s="49"/>
      <c r="C3" s="49"/>
      <c r="D3" s="49"/>
      <c r="E3" s="49"/>
      <c r="F3" s="49"/>
      <c r="G3" s="49"/>
      <c r="H3" s="49"/>
      <c r="I3" s="49"/>
      <c r="J3" s="49"/>
      <c r="K3" s="49"/>
      <c r="L3" s="49"/>
      <c r="M3" s="49"/>
    </row>
    <row r="4" customFormat="false" ht="18.75" hidden="false" customHeight="true" outlineLevel="0" collapsed="false">
      <c r="A4" s="49"/>
      <c r="B4" s="49"/>
      <c r="C4" s="49"/>
      <c r="D4" s="49"/>
      <c r="E4" s="49"/>
      <c r="F4" s="49"/>
      <c r="G4" s="49"/>
      <c r="H4" s="49"/>
      <c r="I4" s="49"/>
      <c r="J4" s="49"/>
      <c r="K4" s="49"/>
      <c r="L4" s="49"/>
      <c r="M4" s="49"/>
    </row>
    <row r="5" customFormat="false" ht="18.75" hidden="false" customHeight="true" outlineLevel="0" collapsed="false">
      <c r="A5" s="49"/>
      <c r="B5" s="49"/>
      <c r="C5" s="49"/>
      <c r="D5" s="49"/>
      <c r="E5" s="49"/>
      <c r="F5" s="49"/>
      <c r="G5" s="49"/>
      <c r="H5" s="49"/>
      <c r="I5" s="49"/>
      <c r="J5" s="49"/>
      <c r="K5" s="49"/>
      <c r="L5" s="49"/>
      <c r="M5" s="49"/>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G8" s="24" t="s">
        <v>41</v>
      </c>
      <c r="I8" s="50" t="s">
        <v>14</v>
      </c>
      <c r="J8" s="50" t="s">
        <v>42</v>
      </c>
      <c r="K8" s="50" t="s">
        <v>43</v>
      </c>
      <c r="L8" s="50" t="s">
        <v>44</v>
      </c>
      <c r="M8" s="50" t="s">
        <v>45</v>
      </c>
    </row>
    <row r="9" customFormat="false" ht="33.75" hidden="false" customHeight="true" outlineLevel="0" collapsed="false">
      <c r="A9" s="27" t="n">
        <v>45749</v>
      </c>
      <c r="B9" s="28" t="s">
        <v>46</v>
      </c>
      <c r="C9" s="28" t="s">
        <v>47</v>
      </c>
      <c r="D9" s="28" t="s">
        <v>48</v>
      </c>
      <c r="E9" s="29" t="n">
        <v>12</v>
      </c>
      <c r="F9" s="30" t="n">
        <v>9800</v>
      </c>
      <c r="G9" s="30" t="n">
        <v>117600</v>
      </c>
      <c r="I9" s="52" t="n">
        <v>1</v>
      </c>
      <c r="J9" s="33" t="s">
        <v>116</v>
      </c>
      <c r="K9" s="34" t="s">
        <v>90</v>
      </c>
      <c r="L9" s="35" t="str">
        <f aca="false">IF(COUNT($K$19:$M$28)=0,"◯ Not attempted",IF(NOT(_xlfn.ISFORMULA(K19)),"✎ Use a formula",IFERROR(IF(SUMPRODUCT(--(ABS($K$19:$M$28-$O$19:$Q$28)&lt;0.01))=30,"✓ Correct","✗ "&amp;(30-SUMPRODUCT(--(ABS($K$19:$M$28-$O$19:$Q$28)&lt;0.01)))&amp;" cells differ"),"✗ Check the grid")))</f>
        <v>◯ Not attempted</v>
      </c>
      <c r="M9" s="36" t="s">
        <v>117</v>
      </c>
    </row>
    <row r="10" customFormat="false" ht="33.75" hidden="false" customHeight="true" outlineLevel="0" collapsed="false">
      <c r="A10" s="37" t="n">
        <v>45749</v>
      </c>
      <c r="B10" s="38" t="s">
        <v>52</v>
      </c>
      <c r="C10" s="38" t="s">
        <v>53</v>
      </c>
      <c r="D10" s="38" t="s">
        <v>54</v>
      </c>
      <c r="E10" s="39" t="n">
        <v>21</v>
      </c>
      <c r="F10" s="40" t="n">
        <v>15200</v>
      </c>
      <c r="G10" s="40" t="n">
        <v>319200</v>
      </c>
      <c r="I10" s="52" t="n">
        <v>2</v>
      </c>
      <c r="J10" s="33" t="s">
        <v>118</v>
      </c>
      <c r="K10" s="41"/>
      <c r="L10" s="35" t="str">
        <f aca="false">IF(ISBLANK(K10),"◯ Not attempted",IF(NOT(_xlfn.ISFORMULA(K10)),"✎ Use a formula",IF(ISNUMBER(K10),IF(ABS(K10-$N$10)&lt;0.005,"✓ Correct","✗ Check again"),"✗ Not a number")))</f>
        <v>◯ Not attempted</v>
      </c>
      <c r="M10" s="36" t="s">
        <v>119</v>
      </c>
      <c r="N10" s="0" t="n">
        <f aca="false">35708900</f>
        <v>35708900</v>
      </c>
    </row>
    <row r="11" customFormat="false" ht="33.75" hidden="false" customHeight="true" outlineLevel="0" collapsed="false">
      <c r="A11" s="27" t="n">
        <v>45750</v>
      </c>
      <c r="B11" s="28" t="s">
        <v>46</v>
      </c>
      <c r="C11" s="28" t="s">
        <v>57</v>
      </c>
      <c r="D11" s="28" t="s">
        <v>48</v>
      </c>
      <c r="E11" s="29" t="n">
        <v>8</v>
      </c>
      <c r="F11" s="30" t="n">
        <v>5700</v>
      </c>
      <c r="G11" s="30" t="n">
        <v>45600</v>
      </c>
      <c r="I11" s="52" t="n">
        <v>3</v>
      </c>
      <c r="J11" s="33" t="s">
        <v>120</v>
      </c>
      <c r="K11" s="53"/>
      <c r="L11" s="35" t="str">
        <f aca="false">IF(ISBLANK(K11),"◯ Not attempted",IF(NOT(_xlfn.ISFORMULA(K11)),"✎ Use a formula",IF(UPPER(TRIM(K11&amp;""))=UPPER(TRIM($N$11&amp;"")),"✓ Correct","✗ Check again")))</f>
        <v>◯ Not attempted</v>
      </c>
      <c r="M11" s="36" t="s">
        <v>121</v>
      </c>
      <c r="N11" s="0" t="str">
        <f aca="false">"Divya Pillai"</f>
        <v>Divya Pillai</v>
      </c>
    </row>
    <row r="12" customFormat="false" ht="33.75" hidden="false" customHeight="true" outlineLevel="0" collapsed="false">
      <c r="A12" s="37" t="n">
        <v>45751</v>
      </c>
      <c r="B12" s="38" t="s">
        <v>52</v>
      </c>
      <c r="C12" s="38" t="s">
        <v>53</v>
      </c>
      <c r="D12" s="38" t="s">
        <v>60</v>
      </c>
      <c r="E12" s="39" t="n">
        <v>24</v>
      </c>
      <c r="F12" s="40" t="n">
        <v>15300</v>
      </c>
      <c r="G12" s="40" t="n">
        <v>367200</v>
      </c>
      <c r="I12" s="52" t="n">
        <v>4</v>
      </c>
      <c r="J12" s="33" t="s">
        <v>122</v>
      </c>
      <c r="K12" s="41"/>
      <c r="L12" s="35" t="str">
        <f aca="false">IF(ISBLANK(K12),"◯ Not attempted",IF(NOT(_xlfn.ISFORMULA(K12)),"✎ Use a formula",IF(ISNUMBER(K12),IF(ABS(K12-$N$12)&lt;0.005,"✓ Correct","✗ Check again"),"✗ Not a number")))</f>
        <v>◯ Not attempted</v>
      </c>
      <c r="M12" s="36" t="s">
        <v>123</v>
      </c>
      <c r="N12" s="0" t="n">
        <f aca="false">26820000</f>
        <v>26820000</v>
      </c>
    </row>
    <row r="13" customFormat="false" ht="33.75" hidden="false" customHeight="true" outlineLevel="0" collapsed="false">
      <c r="A13" s="27" t="n">
        <v>45752</v>
      </c>
      <c r="B13" s="28" t="s">
        <v>63</v>
      </c>
      <c r="C13" s="28" t="s">
        <v>64</v>
      </c>
      <c r="D13" s="28" t="s">
        <v>65</v>
      </c>
      <c r="E13" s="29" t="n">
        <v>16</v>
      </c>
      <c r="F13" s="30" t="n">
        <v>138700</v>
      </c>
      <c r="G13" s="30" t="n">
        <v>2219200</v>
      </c>
      <c r="I13" s="52" t="n">
        <v>5</v>
      </c>
      <c r="J13" s="33" t="s">
        <v>124</v>
      </c>
      <c r="K13" s="41"/>
      <c r="L13" s="35" t="str">
        <f aca="false">IF(ISBLANK(K13),"◯ Not attempted",IF(NOT(_xlfn.ISFORMULA(K13)),"✎ Use a formula",IF(ISNUMBER(K13),IF(ABS(K13-$N$13)&lt;0.005,"✓ Correct","✗ Check again"),"✗ Not a number")))</f>
        <v>◯ Not attempted</v>
      </c>
      <c r="M13" s="36" t="s">
        <v>125</v>
      </c>
      <c r="N13" s="0" t="n">
        <f aca="false">81287700</f>
        <v>81287700</v>
      </c>
    </row>
    <row r="14" customFormat="false" ht="33.75" hidden="false" customHeight="true" outlineLevel="0" collapsed="false">
      <c r="A14" s="37" t="n">
        <v>45753</v>
      </c>
      <c r="B14" s="38" t="s">
        <v>52</v>
      </c>
      <c r="C14" s="38" t="s">
        <v>47</v>
      </c>
      <c r="D14" s="38" t="s">
        <v>60</v>
      </c>
      <c r="E14" s="39" t="n">
        <v>38</v>
      </c>
      <c r="F14" s="40" t="n">
        <v>9000</v>
      </c>
      <c r="G14" s="40" t="n">
        <v>342000</v>
      </c>
      <c r="I14" s="52" t="n">
        <v>6</v>
      </c>
      <c r="J14" s="33" t="s">
        <v>126</v>
      </c>
      <c r="K14" s="58"/>
      <c r="L14" s="35" t="str">
        <f aca="false">IF(ISBLANK(K14),"◯ Not attempted",IF(NOT(_xlfn.ISFORMULA(K14)),"✎ Use a formula",IF(ISNUMBER(K14),IF(ABS(K14-$N$14)&lt;0.0002,"✓ Correct","✗ Check again"),"✗ Not a number")))</f>
        <v>◯ Not attempted</v>
      </c>
      <c r="M14" s="36" t="s">
        <v>127</v>
      </c>
      <c r="N14" s="59" t="n">
        <f aca="false">0.493028</f>
        <v>0.493028</v>
      </c>
    </row>
    <row r="15" customFormat="false" ht="33.75" hidden="false" customHeight="true" outlineLevel="0" collapsed="false">
      <c r="A15" s="27" t="n">
        <v>45755</v>
      </c>
      <c r="B15" s="28" t="s">
        <v>63</v>
      </c>
      <c r="C15" s="28" t="s">
        <v>47</v>
      </c>
      <c r="D15" s="28" t="s">
        <v>70</v>
      </c>
      <c r="E15" s="29" t="n">
        <v>8</v>
      </c>
      <c r="F15" s="30" t="n">
        <v>9800</v>
      </c>
      <c r="G15" s="30" t="n">
        <v>78400</v>
      </c>
      <c r="I15" s="52" t="n">
        <v>7</v>
      </c>
      <c r="J15" s="33" t="s">
        <v>128</v>
      </c>
      <c r="K15" s="42"/>
      <c r="L15" s="35" t="str">
        <f aca="false">IF(ISBLANK(K15),"◯ Not attempted",IF(NOT(_xlfn.ISFORMULA(K15)),"✎ Use a formula",IF(ISNUMBER(K15),IF(ABS(K15-$N$15)&lt;0.005,"✓ Correct","✗ Check again"),"✗ Not a number")))</f>
        <v>◯ Not attempted</v>
      </c>
      <c r="M15" s="36" t="s">
        <v>129</v>
      </c>
      <c r="N15" s="43" t="n">
        <f aca="false">4</f>
        <v>4</v>
      </c>
    </row>
    <row r="16" customFormat="false" ht="15" hidden="false" customHeight="false" outlineLevel="0" collapsed="false">
      <c r="A16" s="37" t="n">
        <v>45759</v>
      </c>
      <c r="B16" s="38" t="s">
        <v>46</v>
      </c>
      <c r="C16" s="38" t="s">
        <v>53</v>
      </c>
      <c r="D16" s="38" t="s">
        <v>70</v>
      </c>
      <c r="E16" s="39" t="n">
        <v>28</v>
      </c>
      <c r="F16" s="40" t="n">
        <v>13900</v>
      </c>
      <c r="G16" s="40" t="n">
        <v>389200</v>
      </c>
    </row>
    <row r="17" customFormat="false" ht="15" hidden="false" customHeight="false" outlineLevel="0" collapsed="false">
      <c r="A17" s="27" t="n">
        <v>45761</v>
      </c>
      <c r="B17" s="28" t="s">
        <v>73</v>
      </c>
      <c r="C17" s="28" t="s">
        <v>74</v>
      </c>
      <c r="D17" s="28" t="s">
        <v>75</v>
      </c>
      <c r="E17" s="29" t="n">
        <v>27</v>
      </c>
      <c r="F17" s="30" t="n">
        <v>58500</v>
      </c>
      <c r="G17" s="30" t="n">
        <v>1579500</v>
      </c>
      <c r="J17" s="54" t="s">
        <v>130</v>
      </c>
    </row>
    <row r="18" customFormat="false" ht="15" hidden="false" customHeight="false" outlineLevel="0" collapsed="false">
      <c r="A18" s="37" t="n">
        <v>45764</v>
      </c>
      <c r="B18" s="38" t="s">
        <v>46</v>
      </c>
      <c r="C18" s="38" t="s">
        <v>76</v>
      </c>
      <c r="D18" s="38" t="s">
        <v>65</v>
      </c>
      <c r="E18" s="39" t="n">
        <v>15</v>
      </c>
      <c r="F18" s="40" t="n">
        <v>26900</v>
      </c>
      <c r="G18" s="40" t="n">
        <v>403500</v>
      </c>
      <c r="J18" s="55"/>
      <c r="K18" s="55" t="s">
        <v>41</v>
      </c>
      <c r="L18" s="55" t="s">
        <v>131</v>
      </c>
      <c r="M18" s="55" t="s">
        <v>132</v>
      </c>
    </row>
    <row r="19" customFormat="false" ht="15" hidden="false" customHeight="false" outlineLevel="0" collapsed="false">
      <c r="A19" s="27" t="n">
        <v>45767</v>
      </c>
      <c r="B19" s="28" t="s">
        <v>63</v>
      </c>
      <c r="C19" s="28" t="s">
        <v>64</v>
      </c>
      <c r="D19" s="28" t="s">
        <v>77</v>
      </c>
      <c r="E19" s="29" t="n">
        <v>37</v>
      </c>
      <c r="F19" s="30" t="n">
        <v>160300</v>
      </c>
      <c r="G19" s="30" t="n">
        <v>5931100</v>
      </c>
      <c r="J19" s="56" t="s">
        <v>60</v>
      </c>
      <c r="K19" s="57"/>
      <c r="L19" s="60"/>
      <c r="M19" s="61"/>
      <c r="O19" s="0" t="n">
        <f aca="false">SUMIF($D$9:$D$188,$J19,$G$9:$G$188)</f>
        <v>9685100</v>
      </c>
      <c r="P19" s="0" t="n">
        <f aca="false">COUNTIF($D$9:$D$188,$J19)</f>
        <v>20</v>
      </c>
      <c r="Q19" s="0" t="n">
        <f aca="false">AVERAGEIF($D$9:$D$188,$J19,$G$9:$G$188)</f>
        <v>484255</v>
      </c>
    </row>
    <row r="20" customFormat="false" ht="15" hidden="false" customHeight="false" outlineLevel="0" collapsed="false">
      <c r="A20" s="37" t="n">
        <v>45769</v>
      </c>
      <c r="B20" s="38" t="s">
        <v>63</v>
      </c>
      <c r="C20" s="38" t="s">
        <v>47</v>
      </c>
      <c r="D20" s="38" t="s">
        <v>65</v>
      </c>
      <c r="E20" s="39" t="n">
        <v>13</v>
      </c>
      <c r="F20" s="40" t="n">
        <v>10400</v>
      </c>
      <c r="G20" s="40" t="n">
        <v>135200</v>
      </c>
      <c r="J20" s="56" t="s">
        <v>54</v>
      </c>
      <c r="K20" s="57"/>
      <c r="L20" s="60"/>
      <c r="M20" s="61"/>
      <c r="O20" s="0" t="n">
        <f aca="false">SUMIF($D$9:$D$188,$J20,$G$9:$G$188)</f>
        <v>11474600</v>
      </c>
      <c r="P20" s="0" t="n">
        <f aca="false">COUNTIF($D$9:$D$188,$J20)</f>
        <v>15</v>
      </c>
      <c r="Q20" s="0" t="n">
        <f aca="false">AVERAGEIF($D$9:$D$188,$J20,$G$9:$G$188)</f>
        <v>764973.333333333</v>
      </c>
    </row>
    <row r="21" customFormat="false" ht="15" hidden="false" customHeight="false" outlineLevel="0" collapsed="false">
      <c r="A21" s="27" t="n">
        <v>45772</v>
      </c>
      <c r="B21" s="28" t="s">
        <v>78</v>
      </c>
      <c r="C21" s="28" t="s">
        <v>53</v>
      </c>
      <c r="D21" s="28" t="s">
        <v>79</v>
      </c>
      <c r="E21" s="29" t="n">
        <v>21</v>
      </c>
      <c r="F21" s="30" t="n">
        <v>15700</v>
      </c>
      <c r="G21" s="30" t="n">
        <v>329700</v>
      </c>
      <c r="J21" s="56" t="s">
        <v>65</v>
      </c>
      <c r="K21" s="57"/>
      <c r="L21" s="60"/>
      <c r="M21" s="61"/>
      <c r="O21" s="0" t="n">
        <f aca="false">SUMIF($D$9:$D$188,$J21,$G$9:$G$188)</f>
        <v>26820000</v>
      </c>
      <c r="P21" s="0" t="n">
        <f aca="false">COUNTIF($D$9:$D$188,$J21)</f>
        <v>26</v>
      </c>
      <c r="Q21" s="0" t="n">
        <f aca="false">AVERAGEIF($D$9:$D$188,$J21,$G$9:$G$188)</f>
        <v>1031538.46153846</v>
      </c>
    </row>
    <row r="22" customFormat="false" ht="15" hidden="false" customHeight="false" outlineLevel="0" collapsed="false">
      <c r="A22" s="37" t="n">
        <v>45773</v>
      </c>
      <c r="B22" s="38" t="s">
        <v>46</v>
      </c>
      <c r="C22" s="38" t="s">
        <v>53</v>
      </c>
      <c r="D22" s="38" t="s">
        <v>48</v>
      </c>
      <c r="E22" s="39" t="n">
        <v>2</v>
      </c>
      <c r="F22" s="40" t="n">
        <v>15400</v>
      </c>
      <c r="G22" s="40" t="n">
        <v>30800</v>
      </c>
      <c r="J22" s="56" t="s">
        <v>77</v>
      </c>
      <c r="K22" s="57"/>
      <c r="L22" s="60"/>
      <c r="M22" s="61"/>
      <c r="O22" s="0" t="n">
        <f aca="false">SUMIF($D$9:$D$188,$J22,$G$9:$G$188)</f>
        <v>35708900</v>
      </c>
      <c r="P22" s="0" t="n">
        <f aca="false">COUNTIF($D$9:$D$188,$J22)</f>
        <v>22</v>
      </c>
      <c r="Q22" s="0" t="n">
        <f aca="false">AVERAGEIF($D$9:$D$188,$J22,$G$9:$G$188)</f>
        <v>1623131.81818182</v>
      </c>
    </row>
    <row r="23" customFormat="false" ht="15" hidden="false" customHeight="false" outlineLevel="0" collapsed="false">
      <c r="A23" s="27" t="n">
        <v>45776</v>
      </c>
      <c r="B23" s="28" t="s">
        <v>73</v>
      </c>
      <c r="C23" s="28" t="s">
        <v>76</v>
      </c>
      <c r="D23" s="28" t="s">
        <v>70</v>
      </c>
      <c r="E23" s="29" t="n">
        <v>11</v>
      </c>
      <c r="F23" s="30" t="n">
        <v>22700</v>
      </c>
      <c r="G23" s="30" t="n">
        <v>249700</v>
      </c>
      <c r="J23" s="56" t="s">
        <v>80</v>
      </c>
      <c r="K23" s="57"/>
      <c r="L23" s="60"/>
      <c r="M23" s="61"/>
      <c r="O23" s="0" t="n">
        <f aca="false">SUMIF($D$9:$D$188,$J23,$G$9:$G$188)</f>
        <v>9396700</v>
      </c>
      <c r="P23" s="0" t="n">
        <f aca="false">COUNTIF($D$9:$D$188,$J23)</f>
        <v>15</v>
      </c>
      <c r="Q23" s="0" t="n">
        <f aca="false">AVERAGEIF($D$9:$D$188,$J23,$G$9:$G$188)</f>
        <v>626446.666666667</v>
      </c>
    </row>
    <row r="24" customFormat="false" ht="15" hidden="false" customHeight="false" outlineLevel="0" collapsed="false">
      <c r="A24" s="37" t="n">
        <v>45782</v>
      </c>
      <c r="B24" s="38" t="s">
        <v>63</v>
      </c>
      <c r="C24" s="38" t="s">
        <v>74</v>
      </c>
      <c r="D24" s="38" t="s">
        <v>48</v>
      </c>
      <c r="E24" s="39" t="n">
        <v>21</v>
      </c>
      <c r="F24" s="40" t="n">
        <v>66900</v>
      </c>
      <c r="G24" s="40" t="n">
        <v>1404900</v>
      </c>
      <c r="J24" s="56" t="s">
        <v>81</v>
      </c>
      <c r="K24" s="57"/>
      <c r="L24" s="60"/>
      <c r="M24" s="61"/>
      <c r="O24" s="0" t="n">
        <f aca="false">SUMIF($D$9:$D$188,$J24,$G$9:$G$188)</f>
        <v>18758800</v>
      </c>
      <c r="P24" s="0" t="n">
        <f aca="false">COUNTIF($D$9:$D$188,$J24)</f>
        <v>17</v>
      </c>
      <c r="Q24" s="0" t="n">
        <f aca="false">AVERAGEIF($D$9:$D$188,$J24,$G$9:$G$188)</f>
        <v>1103458.82352941</v>
      </c>
    </row>
    <row r="25" customFormat="false" ht="15" hidden="false" customHeight="false" outlineLevel="0" collapsed="false">
      <c r="A25" s="27" t="n">
        <v>45782</v>
      </c>
      <c r="B25" s="28" t="s">
        <v>63</v>
      </c>
      <c r="C25" s="28" t="s">
        <v>47</v>
      </c>
      <c r="D25" s="28" t="s">
        <v>75</v>
      </c>
      <c r="E25" s="29" t="n">
        <v>13</v>
      </c>
      <c r="F25" s="30" t="n">
        <v>10300</v>
      </c>
      <c r="G25" s="30" t="n">
        <v>133900</v>
      </c>
      <c r="J25" s="56" t="s">
        <v>48</v>
      </c>
      <c r="K25" s="57"/>
      <c r="L25" s="60"/>
      <c r="M25" s="61"/>
      <c r="O25" s="0" t="n">
        <f aca="false">SUMIF($D$9:$D$188,$J25,$G$9:$G$188)</f>
        <v>9993700</v>
      </c>
      <c r="P25" s="0" t="n">
        <f aca="false">COUNTIF($D$9:$D$188,$J25)</f>
        <v>13</v>
      </c>
      <c r="Q25" s="0" t="n">
        <f aca="false">AVERAGEIF($D$9:$D$188,$J25,$G$9:$G$188)</f>
        <v>768746.153846154</v>
      </c>
    </row>
    <row r="26" customFormat="false" ht="15" hidden="false" customHeight="false" outlineLevel="0" collapsed="false">
      <c r="A26" s="37" t="n">
        <v>45782</v>
      </c>
      <c r="B26" s="38" t="s">
        <v>73</v>
      </c>
      <c r="C26" s="38" t="s">
        <v>74</v>
      </c>
      <c r="D26" s="38" t="s">
        <v>65</v>
      </c>
      <c r="E26" s="39" t="n">
        <v>29</v>
      </c>
      <c r="F26" s="40" t="n">
        <v>67400</v>
      </c>
      <c r="G26" s="40" t="n">
        <v>1954600</v>
      </c>
      <c r="J26" s="56" t="s">
        <v>70</v>
      </c>
      <c r="K26" s="57"/>
      <c r="L26" s="60"/>
      <c r="M26" s="61"/>
      <c r="O26" s="0" t="n">
        <f aca="false">SUMIF($D$9:$D$188,$J26,$G$9:$G$188)</f>
        <v>15333400</v>
      </c>
      <c r="P26" s="0" t="n">
        <f aca="false">COUNTIF($D$9:$D$188,$J26)</f>
        <v>19</v>
      </c>
      <c r="Q26" s="0" t="n">
        <f aca="false">AVERAGEIF($D$9:$D$188,$J26,$G$9:$G$188)</f>
        <v>807021.052631579</v>
      </c>
    </row>
    <row r="27" customFormat="false" ht="15" hidden="false" customHeight="false" outlineLevel="0" collapsed="false">
      <c r="A27" s="27" t="n">
        <v>45786</v>
      </c>
      <c r="B27" s="28" t="s">
        <v>52</v>
      </c>
      <c r="C27" s="28" t="s">
        <v>53</v>
      </c>
      <c r="D27" s="28" t="s">
        <v>80</v>
      </c>
      <c r="E27" s="29" t="n">
        <v>24</v>
      </c>
      <c r="F27" s="30" t="n">
        <v>13400</v>
      </c>
      <c r="G27" s="30" t="n">
        <v>321600</v>
      </c>
      <c r="J27" s="56" t="s">
        <v>79</v>
      </c>
      <c r="K27" s="57"/>
      <c r="L27" s="60"/>
      <c r="M27" s="61"/>
      <c r="O27" s="0" t="n">
        <f aca="false">SUMIF($D$9:$D$188,$J27,$G$9:$G$188)</f>
        <v>11097500</v>
      </c>
      <c r="P27" s="0" t="n">
        <f aca="false">COUNTIF($D$9:$D$188,$J27)</f>
        <v>14</v>
      </c>
      <c r="Q27" s="0" t="n">
        <f aca="false">AVERAGEIF($D$9:$D$188,$J27,$G$9:$G$188)</f>
        <v>792678.571428572</v>
      </c>
    </row>
    <row r="28" customFormat="false" ht="15" hidden="false" customHeight="false" outlineLevel="0" collapsed="false">
      <c r="A28" s="37" t="n">
        <v>45787</v>
      </c>
      <c r="B28" s="38" t="s">
        <v>46</v>
      </c>
      <c r="C28" s="38" t="s">
        <v>47</v>
      </c>
      <c r="D28" s="38" t="s">
        <v>65</v>
      </c>
      <c r="E28" s="39" t="n">
        <v>21</v>
      </c>
      <c r="F28" s="40" t="n">
        <v>9900</v>
      </c>
      <c r="G28" s="40" t="n">
        <v>207900</v>
      </c>
      <c r="J28" s="56" t="s">
        <v>75</v>
      </c>
      <c r="K28" s="57"/>
      <c r="L28" s="60"/>
      <c r="M28" s="61"/>
      <c r="O28" s="0" t="n">
        <f aca="false">SUMIF($D$9:$D$188,$J28,$G$9:$G$188)</f>
        <v>16605800</v>
      </c>
      <c r="P28" s="0" t="n">
        <f aca="false">COUNTIF($D$9:$D$188,$J28)</f>
        <v>19</v>
      </c>
      <c r="Q28" s="0" t="n">
        <f aca="false">AVERAGEIF($D$9:$D$188,$J28,$G$9:$G$188)</f>
        <v>873989.473684211</v>
      </c>
    </row>
    <row r="29" customFormat="false" ht="15" hidden="false" customHeight="false" outlineLevel="0" collapsed="false">
      <c r="A29" s="27" t="n">
        <v>45791</v>
      </c>
      <c r="B29" s="28" t="s">
        <v>78</v>
      </c>
      <c r="C29" s="28" t="s">
        <v>53</v>
      </c>
      <c r="D29" s="28" t="s">
        <v>80</v>
      </c>
      <c r="E29" s="29" t="n">
        <v>21</v>
      </c>
      <c r="F29" s="30" t="n">
        <v>15200</v>
      </c>
      <c r="G29" s="30" t="n">
        <v>319200</v>
      </c>
    </row>
    <row r="30" customFormat="false" ht="15" hidden="false" customHeight="false" outlineLevel="0" collapsed="false">
      <c r="A30" s="37" t="n">
        <v>45794</v>
      </c>
      <c r="B30" s="38" t="s">
        <v>46</v>
      </c>
      <c r="C30" s="38" t="s">
        <v>47</v>
      </c>
      <c r="D30" s="38" t="s">
        <v>60</v>
      </c>
      <c r="E30" s="39" t="n">
        <v>17</v>
      </c>
      <c r="F30" s="40" t="n">
        <v>10200</v>
      </c>
      <c r="G30" s="40" t="n">
        <v>173400</v>
      </c>
    </row>
    <row r="31" customFormat="false" ht="15" hidden="false" customHeight="false" outlineLevel="0" collapsed="false">
      <c r="A31" s="27" t="n">
        <v>45797</v>
      </c>
      <c r="B31" s="28" t="s">
        <v>63</v>
      </c>
      <c r="C31" s="28" t="s">
        <v>64</v>
      </c>
      <c r="D31" s="28" t="s">
        <v>48</v>
      </c>
      <c r="E31" s="29" t="n">
        <v>8</v>
      </c>
      <c r="F31" s="30" t="n">
        <v>136000</v>
      </c>
      <c r="G31" s="30" t="n">
        <v>1088000</v>
      </c>
    </row>
    <row r="32" customFormat="false" ht="15" hidden="false" customHeight="false" outlineLevel="0" collapsed="false">
      <c r="A32" s="37" t="n">
        <v>45797</v>
      </c>
      <c r="B32" s="38" t="s">
        <v>52</v>
      </c>
      <c r="C32" s="38" t="s">
        <v>53</v>
      </c>
      <c r="D32" s="38" t="s">
        <v>80</v>
      </c>
      <c r="E32" s="39" t="n">
        <v>37</v>
      </c>
      <c r="F32" s="40" t="n">
        <v>14000</v>
      </c>
      <c r="G32" s="40" t="n">
        <v>518000</v>
      </c>
    </row>
    <row r="33" customFormat="false" ht="15" hidden="false" customHeight="false" outlineLevel="0" collapsed="false">
      <c r="A33" s="27" t="n">
        <v>45798</v>
      </c>
      <c r="B33" s="28" t="s">
        <v>63</v>
      </c>
      <c r="C33" s="28" t="s">
        <v>57</v>
      </c>
      <c r="D33" s="28" t="s">
        <v>70</v>
      </c>
      <c r="E33" s="29" t="n">
        <v>19</v>
      </c>
      <c r="F33" s="30" t="n">
        <v>5000</v>
      </c>
      <c r="G33" s="30" t="n">
        <v>95000</v>
      </c>
    </row>
    <row r="34" customFormat="false" ht="15" hidden="false" customHeight="false" outlineLevel="0" collapsed="false">
      <c r="A34" s="37" t="n">
        <v>45798</v>
      </c>
      <c r="B34" s="38" t="s">
        <v>52</v>
      </c>
      <c r="C34" s="38" t="s">
        <v>64</v>
      </c>
      <c r="D34" s="38" t="s">
        <v>54</v>
      </c>
      <c r="E34" s="39" t="n">
        <v>18</v>
      </c>
      <c r="F34" s="40" t="n">
        <v>164300</v>
      </c>
      <c r="G34" s="40" t="n">
        <v>2957400</v>
      </c>
    </row>
    <row r="35" customFormat="false" ht="15" hidden="false" customHeight="false" outlineLevel="0" collapsed="false">
      <c r="A35" s="27" t="n">
        <v>45800</v>
      </c>
      <c r="B35" s="28" t="s">
        <v>46</v>
      </c>
      <c r="C35" s="28" t="s">
        <v>47</v>
      </c>
      <c r="D35" s="28" t="s">
        <v>54</v>
      </c>
      <c r="E35" s="29" t="n">
        <v>3</v>
      </c>
      <c r="F35" s="30" t="n">
        <v>8900</v>
      </c>
      <c r="G35" s="30" t="n">
        <v>26700</v>
      </c>
    </row>
    <row r="36" customFormat="false" ht="15" hidden="false" customHeight="false" outlineLevel="0" collapsed="false">
      <c r="A36" s="37" t="n">
        <v>45800</v>
      </c>
      <c r="B36" s="38" t="s">
        <v>63</v>
      </c>
      <c r="C36" s="38" t="s">
        <v>64</v>
      </c>
      <c r="D36" s="38" t="s">
        <v>70</v>
      </c>
      <c r="E36" s="39" t="n">
        <v>38</v>
      </c>
      <c r="F36" s="40" t="n">
        <v>140200</v>
      </c>
      <c r="G36" s="40" t="n">
        <v>5327600</v>
      </c>
    </row>
    <row r="37" customFormat="false" ht="15" hidden="false" customHeight="false" outlineLevel="0" collapsed="false">
      <c r="A37" s="27" t="n">
        <v>45802</v>
      </c>
      <c r="B37" s="28" t="s">
        <v>78</v>
      </c>
      <c r="C37" s="28" t="s">
        <v>64</v>
      </c>
      <c r="D37" s="28" t="s">
        <v>79</v>
      </c>
      <c r="E37" s="29" t="n">
        <v>18</v>
      </c>
      <c r="F37" s="30" t="n">
        <v>168200</v>
      </c>
      <c r="G37" s="30" t="n">
        <v>3027600</v>
      </c>
    </row>
    <row r="38" customFormat="false" ht="15" hidden="false" customHeight="false" outlineLevel="0" collapsed="false">
      <c r="A38" s="37" t="n">
        <v>45803</v>
      </c>
      <c r="B38" s="38" t="s">
        <v>73</v>
      </c>
      <c r="C38" s="38" t="s">
        <v>74</v>
      </c>
      <c r="D38" s="38" t="s">
        <v>65</v>
      </c>
      <c r="E38" s="39" t="n">
        <v>14</v>
      </c>
      <c r="F38" s="40" t="n">
        <v>70700</v>
      </c>
      <c r="G38" s="40" t="n">
        <v>989800</v>
      </c>
    </row>
    <row r="39" customFormat="false" ht="15" hidden="false" customHeight="false" outlineLevel="0" collapsed="false">
      <c r="A39" s="27" t="n">
        <v>45810</v>
      </c>
      <c r="B39" s="28" t="s">
        <v>78</v>
      </c>
      <c r="C39" s="28" t="s">
        <v>74</v>
      </c>
      <c r="D39" s="28" t="s">
        <v>60</v>
      </c>
      <c r="E39" s="29" t="n">
        <v>28</v>
      </c>
      <c r="F39" s="30" t="n">
        <v>62700</v>
      </c>
      <c r="G39" s="30" t="n">
        <v>1755600</v>
      </c>
    </row>
    <row r="40" customFormat="false" ht="15" hidden="false" customHeight="false" outlineLevel="0" collapsed="false">
      <c r="A40" s="37" t="n">
        <v>45813</v>
      </c>
      <c r="B40" s="38" t="s">
        <v>78</v>
      </c>
      <c r="C40" s="38" t="s">
        <v>76</v>
      </c>
      <c r="D40" s="38" t="s">
        <v>60</v>
      </c>
      <c r="E40" s="39" t="n">
        <v>15</v>
      </c>
      <c r="F40" s="40" t="n">
        <v>25700</v>
      </c>
      <c r="G40" s="40" t="n">
        <v>385500</v>
      </c>
    </row>
    <row r="41" customFormat="false" ht="15" hidden="false" customHeight="false" outlineLevel="0" collapsed="false">
      <c r="A41" s="27" t="n">
        <v>45815</v>
      </c>
      <c r="B41" s="28" t="s">
        <v>63</v>
      </c>
      <c r="C41" s="28" t="s">
        <v>74</v>
      </c>
      <c r="D41" s="28" t="s">
        <v>77</v>
      </c>
      <c r="E41" s="29" t="n">
        <v>24</v>
      </c>
      <c r="F41" s="30" t="n">
        <v>68000</v>
      </c>
      <c r="G41" s="30" t="n">
        <v>1632000</v>
      </c>
    </row>
    <row r="42" customFormat="false" ht="15" hidden="false" customHeight="false" outlineLevel="0" collapsed="false">
      <c r="A42" s="37" t="n">
        <v>45818</v>
      </c>
      <c r="B42" s="38" t="s">
        <v>63</v>
      </c>
      <c r="C42" s="38" t="s">
        <v>53</v>
      </c>
      <c r="D42" s="38" t="s">
        <v>79</v>
      </c>
      <c r="E42" s="39" t="n">
        <v>1</v>
      </c>
      <c r="F42" s="40" t="n">
        <v>16600</v>
      </c>
      <c r="G42" s="40" t="n">
        <v>16600</v>
      </c>
    </row>
    <row r="43" customFormat="false" ht="15" hidden="false" customHeight="false" outlineLevel="0" collapsed="false">
      <c r="A43" s="27" t="n">
        <v>45826</v>
      </c>
      <c r="B43" s="28" t="s">
        <v>52</v>
      </c>
      <c r="C43" s="28" t="s">
        <v>76</v>
      </c>
      <c r="D43" s="28" t="s">
        <v>77</v>
      </c>
      <c r="E43" s="29" t="n">
        <v>19</v>
      </c>
      <c r="F43" s="30" t="n">
        <v>25300</v>
      </c>
      <c r="G43" s="30" t="n">
        <v>480700</v>
      </c>
    </row>
    <row r="44" customFormat="false" ht="15" hidden="false" customHeight="false" outlineLevel="0" collapsed="false">
      <c r="A44" s="37" t="n">
        <v>45827</v>
      </c>
      <c r="B44" s="38" t="s">
        <v>73</v>
      </c>
      <c r="C44" s="38" t="s">
        <v>76</v>
      </c>
      <c r="D44" s="38" t="s">
        <v>81</v>
      </c>
      <c r="E44" s="39" t="n">
        <v>25</v>
      </c>
      <c r="F44" s="40" t="n">
        <v>21300</v>
      </c>
      <c r="G44" s="40" t="n">
        <v>532500</v>
      </c>
    </row>
    <row r="45" customFormat="false" ht="15" hidden="false" customHeight="false" outlineLevel="0" collapsed="false">
      <c r="A45" s="27" t="n">
        <v>45827</v>
      </c>
      <c r="B45" s="28" t="s">
        <v>78</v>
      </c>
      <c r="C45" s="28" t="s">
        <v>76</v>
      </c>
      <c r="D45" s="28" t="s">
        <v>77</v>
      </c>
      <c r="E45" s="29" t="n">
        <v>26</v>
      </c>
      <c r="F45" s="30" t="n">
        <v>26200</v>
      </c>
      <c r="G45" s="30" t="n">
        <v>681200</v>
      </c>
    </row>
    <row r="46" customFormat="false" ht="15" hidden="false" customHeight="false" outlineLevel="0" collapsed="false">
      <c r="A46" s="37" t="n">
        <v>45832</v>
      </c>
      <c r="B46" s="38" t="s">
        <v>63</v>
      </c>
      <c r="C46" s="38" t="s">
        <v>47</v>
      </c>
      <c r="D46" s="38" t="s">
        <v>65</v>
      </c>
      <c r="E46" s="39" t="n">
        <v>35</v>
      </c>
      <c r="F46" s="40" t="n">
        <v>9400</v>
      </c>
      <c r="G46" s="40" t="n">
        <v>329000</v>
      </c>
    </row>
    <row r="47" customFormat="false" ht="15" hidden="false" customHeight="false" outlineLevel="0" collapsed="false">
      <c r="A47" s="27" t="n">
        <v>45833</v>
      </c>
      <c r="B47" s="28" t="s">
        <v>73</v>
      </c>
      <c r="C47" s="28" t="s">
        <v>64</v>
      </c>
      <c r="D47" s="28" t="s">
        <v>75</v>
      </c>
      <c r="E47" s="29" t="n">
        <v>9</v>
      </c>
      <c r="F47" s="30" t="n">
        <v>145300</v>
      </c>
      <c r="G47" s="30" t="n">
        <v>1307700</v>
      </c>
    </row>
    <row r="48" customFormat="false" ht="15" hidden="false" customHeight="false" outlineLevel="0" collapsed="false">
      <c r="A48" s="37" t="n">
        <v>45835</v>
      </c>
      <c r="B48" s="38" t="s">
        <v>63</v>
      </c>
      <c r="C48" s="38" t="s">
        <v>74</v>
      </c>
      <c r="D48" s="38" t="s">
        <v>60</v>
      </c>
      <c r="E48" s="39" t="n">
        <v>22</v>
      </c>
      <c r="F48" s="40" t="n">
        <v>56400</v>
      </c>
      <c r="G48" s="40" t="n">
        <v>1240800</v>
      </c>
    </row>
    <row r="49" customFormat="false" ht="15" hidden="false" customHeight="false" outlineLevel="0" collapsed="false">
      <c r="A49" s="27" t="n">
        <v>45839</v>
      </c>
      <c r="B49" s="28" t="s">
        <v>46</v>
      </c>
      <c r="C49" s="28" t="s">
        <v>64</v>
      </c>
      <c r="D49" s="28" t="s">
        <v>65</v>
      </c>
      <c r="E49" s="29" t="n">
        <v>33</v>
      </c>
      <c r="F49" s="30" t="n">
        <v>156300</v>
      </c>
      <c r="G49" s="30" t="n">
        <v>5157900</v>
      </c>
    </row>
    <row r="50" customFormat="false" ht="15" hidden="false" customHeight="false" outlineLevel="0" collapsed="false">
      <c r="A50" s="37" t="n">
        <v>45846</v>
      </c>
      <c r="B50" s="38" t="s">
        <v>73</v>
      </c>
      <c r="C50" s="38" t="s">
        <v>64</v>
      </c>
      <c r="D50" s="38" t="s">
        <v>75</v>
      </c>
      <c r="E50" s="39" t="n">
        <v>23</v>
      </c>
      <c r="F50" s="40" t="n">
        <v>153100</v>
      </c>
      <c r="G50" s="40" t="n">
        <v>3521300</v>
      </c>
    </row>
    <row r="51" customFormat="false" ht="15" hidden="false" customHeight="false" outlineLevel="0" collapsed="false">
      <c r="A51" s="27" t="n">
        <v>45848</v>
      </c>
      <c r="B51" s="28" t="s">
        <v>46</v>
      </c>
      <c r="C51" s="28" t="s">
        <v>53</v>
      </c>
      <c r="D51" s="28" t="s">
        <v>60</v>
      </c>
      <c r="E51" s="29" t="n">
        <v>23</v>
      </c>
      <c r="F51" s="30" t="n">
        <v>14200</v>
      </c>
      <c r="G51" s="30" t="n">
        <v>326600</v>
      </c>
    </row>
    <row r="52" customFormat="false" ht="15" hidden="false" customHeight="false" outlineLevel="0" collapsed="false">
      <c r="A52" s="37" t="n">
        <v>45852</v>
      </c>
      <c r="B52" s="38" t="s">
        <v>63</v>
      </c>
      <c r="C52" s="38" t="s">
        <v>53</v>
      </c>
      <c r="D52" s="38" t="s">
        <v>75</v>
      </c>
      <c r="E52" s="39" t="n">
        <v>8</v>
      </c>
      <c r="F52" s="40" t="n">
        <v>15700</v>
      </c>
      <c r="G52" s="40" t="n">
        <v>125600</v>
      </c>
    </row>
    <row r="53" customFormat="false" ht="15" hidden="false" customHeight="false" outlineLevel="0" collapsed="false">
      <c r="A53" s="27" t="n">
        <v>45854</v>
      </c>
      <c r="B53" s="28" t="s">
        <v>63</v>
      </c>
      <c r="C53" s="28" t="s">
        <v>47</v>
      </c>
      <c r="D53" s="28" t="s">
        <v>75</v>
      </c>
      <c r="E53" s="29" t="n">
        <v>22</v>
      </c>
      <c r="F53" s="30" t="n">
        <v>10600</v>
      </c>
      <c r="G53" s="30" t="n">
        <v>233200</v>
      </c>
    </row>
    <row r="54" customFormat="false" ht="15" hidden="false" customHeight="false" outlineLevel="0" collapsed="false">
      <c r="A54" s="37" t="n">
        <v>45854</v>
      </c>
      <c r="B54" s="38" t="s">
        <v>46</v>
      </c>
      <c r="C54" s="38" t="s">
        <v>74</v>
      </c>
      <c r="D54" s="38" t="s">
        <v>81</v>
      </c>
      <c r="E54" s="39" t="n">
        <v>13</v>
      </c>
      <c r="F54" s="40" t="n">
        <v>57700</v>
      </c>
      <c r="G54" s="40" t="n">
        <v>750100</v>
      </c>
    </row>
    <row r="55" customFormat="false" ht="15" hidden="false" customHeight="false" outlineLevel="0" collapsed="false">
      <c r="A55" s="27" t="n">
        <v>45855</v>
      </c>
      <c r="B55" s="28" t="s">
        <v>78</v>
      </c>
      <c r="C55" s="28" t="s">
        <v>53</v>
      </c>
      <c r="D55" s="28" t="s">
        <v>48</v>
      </c>
      <c r="E55" s="29" t="n">
        <v>4</v>
      </c>
      <c r="F55" s="30" t="n">
        <v>14600</v>
      </c>
      <c r="G55" s="30" t="n">
        <v>58400</v>
      </c>
    </row>
    <row r="56" customFormat="false" ht="15" hidden="false" customHeight="false" outlineLevel="0" collapsed="false">
      <c r="A56" s="37" t="n">
        <v>45862</v>
      </c>
      <c r="B56" s="38" t="s">
        <v>73</v>
      </c>
      <c r="C56" s="38" t="s">
        <v>47</v>
      </c>
      <c r="D56" s="38" t="s">
        <v>80</v>
      </c>
      <c r="E56" s="39" t="n">
        <v>13</v>
      </c>
      <c r="F56" s="40" t="n">
        <v>9700</v>
      </c>
      <c r="G56" s="40" t="n">
        <v>126100</v>
      </c>
    </row>
    <row r="57" customFormat="false" ht="15" hidden="false" customHeight="false" outlineLevel="0" collapsed="false">
      <c r="A57" s="27" t="n">
        <v>45862</v>
      </c>
      <c r="B57" s="28" t="s">
        <v>73</v>
      </c>
      <c r="C57" s="28" t="s">
        <v>64</v>
      </c>
      <c r="D57" s="28" t="s">
        <v>70</v>
      </c>
      <c r="E57" s="29" t="n">
        <v>37</v>
      </c>
      <c r="F57" s="30" t="n">
        <v>145400</v>
      </c>
      <c r="G57" s="30" t="n">
        <v>5379800</v>
      </c>
    </row>
    <row r="58" customFormat="false" ht="15" hidden="false" customHeight="false" outlineLevel="0" collapsed="false">
      <c r="A58" s="37" t="n">
        <v>45863</v>
      </c>
      <c r="B58" s="38" t="s">
        <v>63</v>
      </c>
      <c r="C58" s="38" t="s">
        <v>64</v>
      </c>
      <c r="D58" s="38" t="s">
        <v>81</v>
      </c>
      <c r="E58" s="39" t="n">
        <v>29</v>
      </c>
      <c r="F58" s="40" t="n">
        <v>147200</v>
      </c>
      <c r="G58" s="40" t="n">
        <v>4268800</v>
      </c>
    </row>
    <row r="59" customFormat="false" ht="15" hidden="false" customHeight="false" outlineLevel="0" collapsed="false">
      <c r="A59" s="27" t="n">
        <v>45863</v>
      </c>
      <c r="B59" s="28" t="s">
        <v>46</v>
      </c>
      <c r="C59" s="28" t="s">
        <v>76</v>
      </c>
      <c r="D59" s="28" t="s">
        <v>54</v>
      </c>
      <c r="E59" s="29" t="n">
        <v>10</v>
      </c>
      <c r="F59" s="30" t="n">
        <v>22800</v>
      </c>
      <c r="G59" s="30" t="n">
        <v>228000</v>
      </c>
    </row>
    <row r="60" customFormat="false" ht="15" hidden="false" customHeight="false" outlineLevel="0" collapsed="false">
      <c r="A60" s="37" t="n">
        <v>45864</v>
      </c>
      <c r="B60" s="38" t="s">
        <v>46</v>
      </c>
      <c r="C60" s="38" t="s">
        <v>64</v>
      </c>
      <c r="D60" s="38" t="s">
        <v>65</v>
      </c>
      <c r="E60" s="39" t="n">
        <v>34</v>
      </c>
      <c r="F60" s="40" t="n">
        <v>166100</v>
      </c>
      <c r="G60" s="40" t="n">
        <v>5647400</v>
      </c>
    </row>
    <row r="61" customFormat="false" ht="15" hidden="false" customHeight="false" outlineLevel="0" collapsed="false">
      <c r="A61" s="27" t="n">
        <v>45864</v>
      </c>
      <c r="B61" s="28" t="s">
        <v>46</v>
      </c>
      <c r="C61" s="28" t="s">
        <v>76</v>
      </c>
      <c r="D61" s="28" t="s">
        <v>79</v>
      </c>
      <c r="E61" s="29" t="n">
        <v>36</v>
      </c>
      <c r="F61" s="30" t="n">
        <v>21700</v>
      </c>
      <c r="G61" s="30" t="n">
        <v>781200</v>
      </c>
    </row>
    <row r="62" customFormat="false" ht="15" hidden="false" customHeight="false" outlineLevel="0" collapsed="false">
      <c r="A62" s="37" t="n">
        <v>45866</v>
      </c>
      <c r="B62" s="38" t="s">
        <v>52</v>
      </c>
      <c r="C62" s="38" t="s">
        <v>47</v>
      </c>
      <c r="D62" s="38" t="s">
        <v>81</v>
      </c>
      <c r="E62" s="39" t="n">
        <v>12</v>
      </c>
      <c r="F62" s="40" t="n">
        <v>10200</v>
      </c>
      <c r="G62" s="40" t="n">
        <v>122400</v>
      </c>
    </row>
    <row r="63" customFormat="false" ht="15" hidden="false" customHeight="false" outlineLevel="0" collapsed="false">
      <c r="A63" s="27" t="n">
        <v>45867</v>
      </c>
      <c r="B63" s="28" t="s">
        <v>63</v>
      </c>
      <c r="C63" s="28" t="s">
        <v>53</v>
      </c>
      <c r="D63" s="28" t="s">
        <v>79</v>
      </c>
      <c r="E63" s="29" t="n">
        <v>7</v>
      </c>
      <c r="F63" s="30" t="n">
        <v>15800</v>
      </c>
      <c r="G63" s="30" t="n">
        <v>110600</v>
      </c>
    </row>
    <row r="64" customFormat="false" ht="15" hidden="false" customHeight="false" outlineLevel="0" collapsed="false">
      <c r="A64" s="37" t="n">
        <v>45870</v>
      </c>
      <c r="B64" s="38" t="s">
        <v>52</v>
      </c>
      <c r="C64" s="38" t="s">
        <v>76</v>
      </c>
      <c r="D64" s="38" t="s">
        <v>70</v>
      </c>
      <c r="E64" s="39" t="n">
        <v>22</v>
      </c>
      <c r="F64" s="40" t="n">
        <v>23000</v>
      </c>
      <c r="G64" s="40" t="n">
        <v>506000</v>
      </c>
    </row>
    <row r="65" customFormat="false" ht="15" hidden="false" customHeight="false" outlineLevel="0" collapsed="false">
      <c r="A65" s="27" t="n">
        <v>45871</v>
      </c>
      <c r="B65" s="28" t="s">
        <v>52</v>
      </c>
      <c r="C65" s="28" t="s">
        <v>74</v>
      </c>
      <c r="D65" s="28" t="s">
        <v>81</v>
      </c>
      <c r="E65" s="29" t="n">
        <v>4</v>
      </c>
      <c r="F65" s="30" t="n">
        <v>66100</v>
      </c>
      <c r="G65" s="30" t="n">
        <v>264400</v>
      </c>
    </row>
    <row r="66" customFormat="false" ht="15" hidden="false" customHeight="false" outlineLevel="0" collapsed="false">
      <c r="A66" s="37" t="n">
        <v>45871</v>
      </c>
      <c r="B66" s="38" t="s">
        <v>73</v>
      </c>
      <c r="C66" s="38" t="s">
        <v>64</v>
      </c>
      <c r="D66" s="38" t="s">
        <v>77</v>
      </c>
      <c r="E66" s="39" t="n">
        <v>29</v>
      </c>
      <c r="F66" s="40" t="n">
        <v>133700</v>
      </c>
      <c r="G66" s="40" t="n">
        <v>3877300</v>
      </c>
    </row>
    <row r="67" customFormat="false" ht="15" hidden="false" customHeight="false" outlineLevel="0" collapsed="false">
      <c r="A67" s="27" t="n">
        <v>45873</v>
      </c>
      <c r="B67" s="28" t="s">
        <v>73</v>
      </c>
      <c r="C67" s="28" t="s">
        <v>47</v>
      </c>
      <c r="D67" s="28" t="s">
        <v>65</v>
      </c>
      <c r="E67" s="29" t="n">
        <v>30</v>
      </c>
      <c r="F67" s="30" t="n">
        <v>10400</v>
      </c>
      <c r="G67" s="30" t="n">
        <v>312000</v>
      </c>
    </row>
    <row r="68" customFormat="false" ht="15" hidden="false" customHeight="false" outlineLevel="0" collapsed="false">
      <c r="A68" s="37" t="n">
        <v>45875</v>
      </c>
      <c r="B68" s="38" t="s">
        <v>46</v>
      </c>
      <c r="C68" s="38" t="s">
        <v>53</v>
      </c>
      <c r="D68" s="38" t="s">
        <v>60</v>
      </c>
      <c r="E68" s="39" t="n">
        <v>2</v>
      </c>
      <c r="F68" s="40" t="n">
        <v>13500</v>
      </c>
      <c r="G68" s="40" t="n">
        <v>27000</v>
      </c>
    </row>
    <row r="69" customFormat="false" ht="15" hidden="false" customHeight="false" outlineLevel="0" collapsed="false">
      <c r="A69" s="27" t="n">
        <v>45878</v>
      </c>
      <c r="B69" s="28" t="s">
        <v>73</v>
      </c>
      <c r="C69" s="28" t="s">
        <v>64</v>
      </c>
      <c r="D69" s="28" t="s">
        <v>77</v>
      </c>
      <c r="E69" s="29" t="n">
        <v>31</v>
      </c>
      <c r="F69" s="30" t="n">
        <v>155500</v>
      </c>
      <c r="G69" s="30" t="n">
        <v>4820500</v>
      </c>
    </row>
    <row r="70" customFormat="false" ht="15" hidden="false" customHeight="false" outlineLevel="0" collapsed="false">
      <c r="A70" s="37" t="n">
        <v>45879</v>
      </c>
      <c r="B70" s="38" t="s">
        <v>78</v>
      </c>
      <c r="C70" s="38" t="s">
        <v>74</v>
      </c>
      <c r="D70" s="38" t="s">
        <v>80</v>
      </c>
      <c r="E70" s="39" t="n">
        <v>21</v>
      </c>
      <c r="F70" s="40" t="n">
        <v>69200</v>
      </c>
      <c r="G70" s="40" t="n">
        <v>1453200</v>
      </c>
    </row>
    <row r="71" customFormat="false" ht="15" hidden="false" customHeight="false" outlineLevel="0" collapsed="false">
      <c r="A71" s="27" t="n">
        <v>45880</v>
      </c>
      <c r="B71" s="28" t="s">
        <v>63</v>
      </c>
      <c r="C71" s="28" t="s">
        <v>47</v>
      </c>
      <c r="D71" s="28" t="s">
        <v>70</v>
      </c>
      <c r="E71" s="29" t="n">
        <v>19</v>
      </c>
      <c r="F71" s="30" t="n">
        <v>10400</v>
      </c>
      <c r="G71" s="30" t="n">
        <v>197600</v>
      </c>
    </row>
    <row r="72" customFormat="false" ht="15" hidden="false" customHeight="false" outlineLevel="0" collapsed="false">
      <c r="A72" s="37" t="n">
        <v>45883</v>
      </c>
      <c r="B72" s="38" t="s">
        <v>52</v>
      </c>
      <c r="C72" s="38" t="s">
        <v>74</v>
      </c>
      <c r="D72" s="38" t="s">
        <v>65</v>
      </c>
      <c r="E72" s="39" t="n">
        <v>5</v>
      </c>
      <c r="F72" s="40" t="n">
        <v>56000</v>
      </c>
      <c r="G72" s="40" t="n">
        <v>280000</v>
      </c>
    </row>
    <row r="73" customFormat="false" ht="15" hidden="false" customHeight="false" outlineLevel="0" collapsed="false">
      <c r="A73" s="27" t="n">
        <v>45884</v>
      </c>
      <c r="B73" s="28" t="s">
        <v>52</v>
      </c>
      <c r="C73" s="28" t="s">
        <v>64</v>
      </c>
      <c r="D73" s="28" t="s">
        <v>65</v>
      </c>
      <c r="E73" s="29" t="n">
        <v>16</v>
      </c>
      <c r="F73" s="30" t="n">
        <v>146000</v>
      </c>
      <c r="G73" s="30" t="n">
        <v>2336000</v>
      </c>
    </row>
    <row r="74" customFormat="false" ht="15" hidden="false" customHeight="false" outlineLevel="0" collapsed="false">
      <c r="A74" s="37" t="n">
        <v>45884</v>
      </c>
      <c r="B74" s="38" t="s">
        <v>78</v>
      </c>
      <c r="C74" s="38" t="s">
        <v>64</v>
      </c>
      <c r="D74" s="38" t="s">
        <v>80</v>
      </c>
      <c r="E74" s="39" t="n">
        <v>16</v>
      </c>
      <c r="F74" s="40" t="n">
        <v>157400</v>
      </c>
      <c r="G74" s="40" t="n">
        <v>2518400</v>
      </c>
    </row>
    <row r="75" customFormat="false" ht="15" hidden="false" customHeight="false" outlineLevel="0" collapsed="false">
      <c r="A75" s="27" t="n">
        <v>45884</v>
      </c>
      <c r="B75" s="28" t="s">
        <v>52</v>
      </c>
      <c r="C75" s="28" t="s">
        <v>74</v>
      </c>
      <c r="D75" s="28" t="s">
        <v>75</v>
      </c>
      <c r="E75" s="29" t="n">
        <v>5</v>
      </c>
      <c r="F75" s="30" t="n">
        <v>60700</v>
      </c>
      <c r="G75" s="30" t="n">
        <v>303500</v>
      </c>
    </row>
    <row r="76" customFormat="false" ht="15" hidden="false" customHeight="false" outlineLevel="0" collapsed="false">
      <c r="A76" s="37" t="n">
        <v>45885</v>
      </c>
      <c r="B76" s="38" t="s">
        <v>73</v>
      </c>
      <c r="C76" s="38" t="s">
        <v>47</v>
      </c>
      <c r="D76" s="38" t="s">
        <v>75</v>
      </c>
      <c r="E76" s="39" t="n">
        <v>14</v>
      </c>
      <c r="F76" s="40" t="n">
        <v>9300</v>
      </c>
      <c r="G76" s="40" t="n">
        <v>130200</v>
      </c>
    </row>
    <row r="77" customFormat="false" ht="15" hidden="false" customHeight="false" outlineLevel="0" collapsed="false">
      <c r="A77" s="27" t="n">
        <v>45890</v>
      </c>
      <c r="B77" s="28" t="s">
        <v>52</v>
      </c>
      <c r="C77" s="28" t="s">
        <v>64</v>
      </c>
      <c r="D77" s="28" t="s">
        <v>77</v>
      </c>
      <c r="E77" s="29" t="n">
        <v>36</v>
      </c>
      <c r="F77" s="30" t="n">
        <v>144500</v>
      </c>
      <c r="G77" s="30" t="n">
        <v>5202000</v>
      </c>
    </row>
    <row r="78" customFormat="false" ht="15" hidden="false" customHeight="false" outlineLevel="0" collapsed="false">
      <c r="A78" s="37" t="n">
        <v>45891</v>
      </c>
      <c r="B78" s="38" t="s">
        <v>52</v>
      </c>
      <c r="C78" s="38" t="s">
        <v>64</v>
      </c>
      <c r="D78" s="38" t="s">
        <v>79</v>
      </c>
      <c r="E78" s="39" t="n">
        <v>18</v>
      </c>
      <c r="F78" s="40" t="n">
        <v>168500</v>
      </c>
      <c r="G78" s="40" t="n">
        <v>3033000</v>
      </c>
    </row>
    <row r="79" customFormat="false" ht="15" hidden="false" customHeight="false" outlineLevel="0" collapsed="false">
      <c r="A79" s="27" t="n">
        <v>45891</v>
      </c>
      <c r="B79" s="28" t="s">
        <v>46</v>
      </c>
      <c r="C79" s="28" t="s">
        <v>53</v>
      </c>
      <c r="D79" s="28" t="s">
        <v>60</v>
      </c>
      <c r="E79" s="29" t="n">
        <v>9</v>
      </c>
      <c r="F79" s="30" t="n">
        <v>15800</v>
      </c>
      <c r="G79" s="30" t="n">
        <v>142200</v>
      </c>
    </row>
    <row r="80" customFormat="false" ht="15" hidden="false" customHeight="false" outlineLevel="0" collapsed="false">
      <c r="A80" s="37" t="n">
        <v>45893</v>
      </c>
      <c r="B80" s="38" t="s">
        <v>46</v>
      </c>
      <c r="C80" s="38" t="s">
        <v>53</v>
      </c>
      <c r="D80" s="38" t="s">
        <v>77</v>
      </c>
      <c r="E80" s="39" t="n">
        <v>24</v>
      </c>
      <c r="F80" s="40" t="n">
        <v>13500</v>
      </c>
      <c r="G80" s="40" t="n">
        <v>324000</v>
      </c>
    </row>
    <row r="81" customFormat="false" ht="15" hidden="false" customHeight="false" outlineLevel="0" collapsed="false">
      <c r="A81" s="27" t="n">
        <v>45901</v>
      </c>
      <c r="B81" s="28" t="s">
        <v>46</v>
      </c>
      <c r="C81" s="28" t="s">
        <v>57</v>
      </c>
      <c r="D81" s="28" t="s">
        <v>80</v>
      </c>
      <c r="E81" s="29" t="n">
        <v>10</v>
      </c>
      <c r="F81" s="30" t="n">
        <v>5600</v>
      </c>
      <c r="G81" s="30" t="n">
        <v>56000</v>
      </c>
    </row>
    <row r="82" customFormat="false" ht="15" hidden="false" customHeight="false" outlineLevel="0" collapsed="false">
      <c r="A82" s="37" t="n">
        <v>45905</v>
      </c>
      <c r="B82" s="38" t="s">
        <v>73</v>
      </c>
      <c r="C82" s="38" t="s">
        <v>76</v>
      </c>
      <c r="D82" s="38" t="s">
        <v>54</v>
      </c>
      <c r="E82" s="39" t="n">
        <v>32</v>
      </c>
      <c r="F82" s="40" t="n">
        <v>21700</v>
      </c>
      <c r="G82" s="40" t="n">
        <v>694400</v>
      </c>
    </row>
    <row r="83" customFormat="false" ht="15" hidden="false" customHeight="false" outlineLevel="0" collapsed="false">
      <c r="A83" s="27" t="n">
        <v>45905</v>
      </c>
      <c r="B83" s="28" t="s">
        <v>73</v>
      </c>
      <c r="C83" s="28" t="s">
        <v>53</v>
      </c>
      <c r="D83" s="28" t="s">
        <v>75</v>
      </c>
      <c r="E83" s="29" t="n">
        <v>6</v>
      </c>
      <c r="F83" s="30" t="n">
        <v>15500</v>
      </c>
      <c r="G83" s="30" t="n">
        <v>93000</v>
      </c>
    </row>
    <row r="84" customFormat="false" ht="15" hidden="false" customHeight="false" outlineLevel="0" collapsed="false">
      <c r="A84" s="37" t="n">
        <v>45906</v>
      </c>
      <c r="B84" s="38" t="s">
        <v>52</v>
      </c>
      <c r="C84" s="38" t="s">
        <v>76</v>
      </c>
      <c r="D84" s="38" t="s">
        <v>60</v>
      </c>
      <c r="E84" s="39" t="n">
        <v>2</v>
      </c>
      <c r="F84" s="40" t="n">
        <v>24700</v>
      </c>
      <c r="G84" s="40" t="n">
        <v>49400</v>
      </c>
    </row>
    <row r="85" customFormat="false" ht="15" hidden="false" customHeight="false" outlineLevel="0" collapsed="false">
      <c r="A85" s="27" t="n">
        <v>45906</v>
      </c>
      <c r="B85" s="28" t="s">
        <v>63</v>
      </c>
      <c r="C85" s="28" t="s">
        <v>47</v>
      </c>
      <c r="D85" s="28" t="s">
        <v>65</v>
      </c>
      <c r="E85" s="29" t="n">
        <v>32</v>
      </c>
      <c r="F85" s="30" t="n">
        <v>8900</v>
      </c>
      <c r="G85" s="30" t="n">
        <v>284800</v>
      </c>
    </row>
    <row r="86" customFormat="false" ht="15" hidden="false" customHeight="false" outlineLevel="0" collapsed="false">
      <c r="A86" s="37" t="n">
        <v>45907</v>
      </c>
      <c r="B86" s="38" t="s">
        <v>78</v>
      </c>
      <c r="C86" s="38" t="s">
        <v>74</v>
      </c>
      <c r="D86" s="38" t="s">
        <v>65</v>
      </c>
      <c r="E86" s="39" t="n">
        <v>12</v>
      </c>
      <c r="F86" s="40" t="n">
        <v>68600</v>
      </c>
      <c r="G86" s="40" t="n">
        <v>823200</v>
      </c>
    </row>
    <row r="87" customFormat="false" ht="15" hidden="false" customHeight="false" outlineLevel="0" collapsed="false">
      <c r="A87" s="27" t="n">
        <v>45907</v>
      </c>
      <c r="B87" s="28" t="s">
        <v>73</v>
      </c>
      <c r="C87" s="28" t="s">
        <v>53</v>
      </c>
      <c r="D87" s="28" t="s">
        <v>80</v>
      </c>
      <c r="E87" s="29" t="n">
        <v>35</v>
      </c>
      <c r="F87" s="30" t="n">
        <v>15600</v>
      </c>
      <c r="G87" s="30" t="n">
        <v>546000</v>
      </c>
    </row>
    <row r="88" customFormat="false" ht="15" hidden="false" customHeight="false" outlineLevel="0" collapsed="false">
      <c r="A88" s="37" t="n">
        <v>45908</v>
      </c>
      <c r="B88" s="38" t="s">
        <v>73</v>
      </c>
      <c r="C88" s="38" t="s">
        <v>74</v>
      </c>
      <c r="D88" s="38" t="s">
        <v>65</v>
      </c>
      <c r="E88" s="39" t="n">
        <v>9</v>
      </c>
      <c r="F88" s="40" t="n">
        <v>69300</v>
      </c>
      <c r="G88" s="40" t="n">
        <v>623700</v>
      </c>
    </row>
    <row r="89" customFormat="false" ht="15" hidden="false" customHeight="false" outlineLevel="0" collapsed="false">
      <c r="A89" s="27" t="n">
        <v>45908</v>
      </c>
      <c r="B89" s="28" t="s">
        <v>73</v>
      </c>
      <c r="C89" s="28" t="s">
        <v>57</v>
      </c>
      <c r="D89" s="28" t="s">
        <v>79</v>
      </c>
      <c r="E89" s="29" t="n">
        <v>35</v>
      </c>
      <c r="F89" s="30" t="n">
        <v>5800</v>
      </c>
      <c r="G89" s="30" t="n">
        <v>203000</v>
      </c>
    </row>
    <row r="90" customFormat="false" ht="15" hidden="false" customHeight="false" outlineLevel="0" collapsed="false">
      <c r="A90" s="37" t="n">
        <v>45910</v>
      </c>
      <c r="B90" s="38" t="s">
        <v>46</v>
      </c>
      <c r="C90" s="38" t="s">
        <v>74</v>
      </c>
      <c r="D90" s="38" t="s">
        <v>60</v>
      </c>
      <c r="E90" s="39" t="n">
        <v>11</v>
      </c>
      <c r="F90" s="40" t="n">
        <v>64300</v>
      </c>
      <c r="G90" s="40" t="n">
        <v>707300</v>
      </c>
    </row>
    <row r="91" customFormat="false" ht="15" hidden="false" customHeight="false" outlineLevel="0" collapsed="false">
      <c r="A91" s="27" t="n">
        <v>45911</v>
      </c>
      <c r="B91" s="28" t="s">
        <v>78</v>
      </c>
      <c r="C91" s="28" t="s">
        <v>53</v>
      </c>
      <c r="D91" s="28" t="s">
        <v>75</v>
      </c>
      <c r="E91" s="29" t="n">
        <v>38</v>
      </c>
      <c r="F91" s="30" t="n">
        <v>14700</v>
      </c>
      <c r="G91" s="30" t="n">
        <v>558600</v>
      </c>
    </row>
    <row r="92" customFormat="false" ht="15" hidden="false" customHeight="false" outlineLevel="0" collapsed="false">
      <c r="A92" s="37" t="n">
        <v>45913</v>
      </c>
      <c r="B92" s="38" t="s">
        <v>63</v>
      </c>
      <c r="C92" s="38" t="s">
        <v>74</v>
      </c>
      <c r="D92" s="38" t="s">
        <v>60</v>
      </c>
      <c r="E92" s="39" t="n">
        <v>10</v>
      </c>
      <c r="F92" s="40" t="n">
        <v>56600</v>
      </c>
      <c r="G92" s="40" t="n">
        <v>566000</v>
      </c>
    </row>
    <row r="93" customFormat="false" ht="15" hidden="false" customHeight="false" outlineLevel="0" collapsed="false">
      <c r="A93" s="27" t="n">
        <v>45915</v>
      </c>
      <c r="B93" s="28" t="s">
        <v>63</v>
      </c>
      <c r="C93" s="28" t="s">
        <v>74</v>
      </c>
      <c r="D93" s="28" t="s">
        <v>77</v>
      </c>
      <c r="E93" s="29" t="n">
        <v>15</v>
      </c>
      <c r="F93" s="30" t="n">
        <v>59500</v>
      </c>
      <c r="G93" s="30" t="n">
        <v>892500</v>
      </c>
    </row>
    <row r="94" customFormat="false" ht="15" hidden="false" customHeight="false" outlineLevel="0" collapsed="false">
      <c r="A94" s="37" t="n">
        <v>45917</v>
      </c>
      <c r="B94" s="38" t="s">
        <v>52</v>
      </c>
      <c r="C94" s="38" t="s">
        <v>64</v>
      </c>
      <c r="D94" s="38" t="s">
        <v>81</v>
      </c>
      <c r="E94" s="39" t="n">
        <v>25</v>
      </c>
      <c r="F94" s="40" t="n">
        <v>162700</v>
      </c>
      <c r="G94" s="40" t="n">
        <v>4067500</v>
      </c>
    </row>
    <row r="95" customFormat="false" ht="15" hidden="false" customHeight="false" outlineLevel="0" collapsed="false">
      <c r="A95" s="27" t="n">
        <v>45917</v>
      </c>
      <c r="B95" s="28" t="s">
        <v>63</v>
      </c>
      <c r="C95" s="28" t="s">
        <v>53</v>
      </c>
      <c r="D95" s="28" t="s">
        <v>81</v>
      </c>
      <c r="E95" s="29" t="n">
        <v>19</v>
      </c>
      <c r="F95" s="30" t="n">
        <v>14700</v>
      </c>
      <c r="G95" s="30" t="n">
        <v>279300</v>
      </c>
    </row>
    <row r="96" customFormat="false" ht="15" hidden="false" customHeight="false" outlineLevel="0" collapsed="false">
      <c r="A96" s="37" t="n">
        <v>45918</v>
      </c>
      <c r="B96" s="38" t="s">
        <v>46</v>
      </c>
      <c r="C96" s="38" t="s">
        <v>64</v>
      </c>
      <c r="D96" s="38" t="s">
        <v>48</v>
      </c>
      <c r="E96" s="39" t="n">
        <v>3</v>
      </c>
      <c r="F96" s="40" t="n">
        <v>145500</v>
      </c>
      <c r="G96" s="40" t="n">
        <v>436500</v>
      </c>
    </row>
    <row r="97" customFormat="false" ht="15" hidden="false" customHeight="false" outlineLevel="0" collapsed="false">
      <c r="A97" s="27" t="n">
        <v>45919</v>
      </c>
      <c r="B97" s="28" t="s">
        <v>63</v>
      </c>
      <c r="C97" s="28" t="s">
        <v>57</v>
      </c>
      <c r="D97" s="28" t="s">
        <v>81</v>
      </c>
      <c r="E97" s="29" t="n">
        <v>33</v>
      </c>
      <c r="F97" s="30" t="n">
        <v>4900</v>
      </c>
      <c r="G97" s="30" t="n">
        <v>161700</v>
      </c>
    </row>
    <row r="98" customFormat="false" ht="15" hidden="false" customHeight="false" outlineLevel="0" collapsed="false">
      <c r="A98" s="37" t="n">
        <v>45922</v>
      </c>
      <c r="B98" s="38" t="s">
        <v>52</v>
      </c>
      <c r="C98" s="38" t="s">
        <v>74</v>
      </c>
      <c r="D98" s="38" t="s">
        <v>80</v>
      </c>
      <c r="E98" s="39" t="n">
        <v>19</v>
      </c>
      <c r="F98" s="40" t="n">
        <v>59400</v>
      </c>
      <c r="G98" s="40" t="n">
        <v>1128600</v>
      </c>
    </row>
    <row r="99" customFormat="false" ht="15" hidden="false" customHeight="false" outlineLevel="0" collapsed="false">
      <c r="A99" s="27" t="n">
        <v>45924</v>
      </c>
      <c r="B99" s="28" t="s">
        <v>46</v>
      </c>
      <c r="C99" s="28" t="s">
        <v>74</v>
      </c>
      <c r="D99" s="28" t="s">
        <v>60</v>
      </c>
      <c r="E99" s="29" t="n">
        <v>18</v>
      </c>
      <c r="F99" s="30" t="n">
        <v>63100</v>
      </c>
      <c r="G99" s="30" t="n">
        <v>1135800</v>
      </c>
    </row>
    <row r="100" customFormat="false" ht="15" hidden="false" customHeight="false" outlineLevel="0" collapsed="false">
      <c r="A100" s="37" t="n">
        <v>45927</v>
      </c>
      <c r="B100" s="38" t="s">
        <v>78</v>
      </c>
      <c r="C100" s="38" t="s">
        <v>57</v>
      </c>
      <c r="D100" s="38" t="s">
        <v>79</v>
      </c>
      <c r="E100" s="39" t="n">
        <v>12</v>
      </c>
      <c r="F100" s="40" t="n">
        <v>5300</v>
      </c>
      <c r="G100" s="40" t="n">
        <v>63600</v>
      </c>
    </row>
    <row r="101" customFormat="false" ht="15" hidden="false" customHeight="false" outlineLevel="0" collapsed="false">
      <c r="A101" s="27" t="n">
        <v>45928</v>
      </c>
      <c r="B101" s="28" t="s">
        <v>73</v>
      </c>
      <c r="C101" s="28" t="s">
        <v>76</v>
      </c>
      <c r="D101" s="28" t="s">
        <v>60</v>
      </c>
      <c r="E101" s="29" t="n">
        <v>16</v>
      </c>
      <c r="F101" s="30" t="n">
        <v>23000</v>
      </c>
      <c r="G101" s="30" t="n">
        <v>368000</v>
      </c>
    </row>
    <row r="102" customFormat="false" ht="15" hidden="false" customHeight="false" outlineLevel="0" collapsed="false">
      <c r="A102" s="37" t="n">
        <v>45930</v>
      </c>
      <c r="B102" s="38" t="s">
        <v>78</v>
      </c>
      <c r="C102" s="38" t="s">
        <v>57</v>
      </c>
      <c r="D102" s="38" t="s">
        <v>54</v>
      </c>
      <c r="E102" s="39" t="n">
        <v>4</v>
      </c>
      <c r="F102" s="40" t="n">
        <v>5700</v>
      </c>
      <c r="G102" s="40" t="n">
        <v>22800</v>
      </c>
    </row>
    <row r="103" customFormat="false" ht="15" hidden="false" customHeight="false" outlineLevel="0" collapsed="false">
      <c r="A103" s="27" t="n">
        <v>45934</v>
      </c>
      <c r="B103" s="28" t="s">
        <v>78</v>
      </c>
      <c r="C103" s="28" t="s">
        <v>57</v>
      </c>
      <c r="D103" s="28" t="s">
        <v>70</v>
      </c>
      <c r="E103" s="29" t="n">
        <v>16</v>
      </c>
      <c r="F103" s="30" t="n">
        <v>5500</v>
      </c>
      <c r="G103" s="30" t="n">
        <v>88000</v>
      </c>
    </row>
    <row r="104" customFormat="false" ht="15" hidden="false" customHeight="false" outlineLevel="0" collapsed="false">
      <c r="A104" s="37" t="n">
        <v>45934</v>
      </c>
      <c r="B104" s="38" t="s">
        <v>63</v>
      </c>
      <c r="C104" s="38" t="s">
        <v>64</v>
      </c>
      <c r="D104" s="38" t="s">
        <v>48</v>
      </c>
      <c r="E104" s="39" t="n">
        <v>19</v>
      </c>
      <c r="F104" s="40" t="n">
        <v>160900</v>
      </c>
      <c r="G104" s="40" t="n">
        <v>3057100</v>
      </c>
    </row>
    <row r="105" customFormat="false" ht="15" hidden="false" customHeight="false" outlineLevel="0" collapsed="false">
      <c r="A105" s="27" t="n">
        <v>45935</v>
      </c>
      <c r="B105" s="28" t="s">
        <v>46</v>
      </c>
      <c r="C105" s="28" t="s">
        <v>47</v>
      </c>
      <c r="D105" s="28" t="s">
        <v>48</v>
      </c>
      <c r="E105" s="29" t="n">
        <v>27</v>
      </c>
      <c r="F105" s="30" t="n">
        <v>10600</v>
      </c>
      <c r="G105" s="30" t="n">
        <v>286200</v>
      </c>
    </row>
    <row r="106" customFormat="false" ht="15" hidden="false" customHeight="false" outlineLevel="0" collapsed="false">
      <c r="A106" s="37" t="n">
        <v>45935</v>
      </c>
      <c r="B106" s="38" t="s">
        <v>78</v>
      </c>
      <c r="C106" s="38" t="s">
        <v>64</v>
      </c>
      <c r="D106" s="38" t="s">
        <v>81</v>
      </c>
      <c r="E106" s="39" t="n">
        <v>36</v>
      </c>
      <c r="F106" s="40" t="n">
        <v>156900</v>
      </c>
      <c r="G106" s="40" t="n">
        <v>5648400</v>
      </c>
    </row>
    <row r="107" customFormat="false" ht="15" hidden="false" customHeight="false" outlineLevel="0" collapsed="false">
      <c r="A107" s="27" t="n">
        <v>45938</v>
      </c>
      <c r="B107" s="28" t="s">
        <v>63</v>
      </c>
      <c r="C107" s="28" t="s">
        <v>74</v>
      </c>
      <c r="D107" s="28" t="s">
        <v>81</v>
      </c>
      <c r="E107" s="29" t="n">
        <v>24</v>
      </c>
      <c r="F107" s="30" t="n">
        <v>70200</v>
      </c>
      <c r="G107" s="30" t="n">
        <v>1684800</v>
      </c>
    </row>
    <row r="108" customFormat="false" ht="15" hidden="false" customHeight="false" outlineLevel="0" collapsed="false">
      <c r="A108" s="37" t="n">
        <v>45941</v>
      </c>
      <c r="B108" s="38" t="s">
        <v>78</v>
      </c>
      <c r="C108" s="38" t="s">
        <v>53</v>
      </c>
      <c r="D108" s="38" t="s">
        <v>70</v>
      </c>
      <c r="E108" s="39" t="n">
        <v>24</v>
      </c>
      <c r="F108" s="40" t="n">
        <v>13800</v>
      </c>
      <c r="G108" s="40" t="n">
        <v>331200</v>
      </c>
    </row>
    <row r="109" customFormat="false" ht="15" hidden="false" customHeight="false" outlineLevel="0" collapsed="false">
      <c r="A109" s="27" t="n">
        <v>45944</v>
      </c>
      <c r="B109" s="28" t="s">
        <v>63</v>
      </c>
      <c r="C109" s="28" t="s">
        <v>76</v>
      </c>
      <c r="D109" s="28" t="s">
        <v>70</v>
      </c>
      <c r="E109" s="29" t="n">
        <v>17</v>
      </c>
      <c r="F109" s="30" t="n">
        <v>22000</v>
      </c>
      <c r="G109" s="30" t="n">
        <v>374000</v>
      </c>
    </row>
    <row r="110" customFormat="false" ht="15" hidden="false" customHeight="false" outlineLevel="0" collapsed="false">
      <c r="A110" s="37" t="n">
        <v>45946</v>
      </c>
      <c r="B110" s="38" t="s">
        <v>52</v>
      </c>
      <c r="C110" s="38" t="s">
        <v>53</v>
      </c>
      <c r="D110" s="38" t="s">
        <v>54</v>
      </c>
      <c r="E110" s="39" t="n">
        <v>37</v>
      </c>
      <c r="F110" s="40" t="n">
        <v>14700</v>
      </c>
      <c r="G110" s="40" t="n">
        <v>543900</v>
      </c>
    </row>
    <row r="111" customFormat="false" ht="15" hidden="false" customHeight="false" outlineLevel="0" collapsed="false">
      <c r="A111" s="27" t="n">
        <v>45958</v>
      </c>
      <c r="B111" s="28" t="s">
        <v>63</v>
      </c>
      <c r="C111" s="28" t="s">
        <v>76</v>
      </c>
      <c r="D111" s="28" t="s">
        <v>75</v>
      </c>
      <c r="E111" s="29" t="n">
        <v>16</v>
      </c>
      <c r="F111" s="30" t="n">
        <v>24600</v>
      </c>
      <c r="G111" s="30" t="n">
        <v>393600</v>
      </c>
    </row>
    <row r="112" customFormat="false" ht="15" hidden="false" customHeight="false" outlineLevel="0" collapsed="false">
      <c r="A112" s="37" t="n">
        <v>45959</v>
      </c>
      <c r="B112" s="38" t="s">
        <v>63</v>
      </c>
      <c r="C112" s="38" t="s">
        <v>57</v>
      </c>
      <c r="D112" s="38" t="s">
        <v>80</v>
      </c>
      <c r="E112" s="39" t="n">
        <v>2</v>
      </c>
      <c r="F112" s="40" t="n">
        <v>5700</v>
      </c>
      <c r="G112" s="40" t="n">
        <v>11400</v>
      </c>
    </row>
    <row r="113" customFormat="false" ht="15" hidden="false" customHeight="false" outlineLevel="0" collapsed="false">
      <c r="A113" s="27" t="n">
        <v>45961</v>
      </c>
      <c r="B113" s="28" t="s">
        <v>46</v>
      </c>
      <c r="C113" s="28" t="s">
        <v>53</v>
      </c>
      <c r="D113" s="28" t="s">
        <v>79</v>
      </c>
      <c r="E113" s="29" t="n">
        <v>3</v>
      </c>
      <c r="F113" s="30" t="n">
        <v>14000</v>
      </c>
      <c r="G113" s="30" t="n">
        <v>42000</v>
      </c>
    </row>
    <row r="114" customFormat="false" ht="15" hidden="false" customHeight="false" outlineLevel="0" collapsed="false">
      <c r="A114" s="37" t="n">
        <v>45967</v>
      </c>
      <c r="B114" s="38" t="s">
        <v>46</v>
      </c>
      <c r="C114" s="38" t="s">
        <v>74</v>
      </c>
      <c r="D114" s="38" t="s">
        <v>80</v>
      </c>
      <c r="E114" s="39" t="n">
        <v>27</v>
      </c>
      <c r="F114" s="40" t="n">
        <v>56800</v>
      </c>
      <c r="G114" s="40" t="n">
        <v>1533600</v>
      </c>
    </row>
    <row r="115" customFormat="false" ht="15" hidden="false" customHeight="false" outlineLevel="0" collapsed="false">
      <c r="A115" s="27" t="n">
        <v>45968</v>
      </c>
      <c r="B115" s="28" t="s">
        <v>46</v>
      </c>
      <c r="C115" s="28" t="s">
        <v>76</v>
      </c>
      <c r="D115" s="28" t="s">
        <v>81</v>
      </c>
      <c r="E115" s="29" t="n">
        <v>3</v>
      </c>
      <c r="F115" s="30" t="n">
        <v>26800</v>
      </c>
      <c r="G115" s="30" t="n">
        <v>80400</v>
      </c>
    </row>
    <row r="116" customFormat="false" ht="15" hidden="false" customHeight="false" outlineLevel="0" collapsed="false">
      <c r="A116" s="37" t="n">
        <v>45969</v>
      </c>
      <c r="B116" s="38" t="s">
        <v>46</v>
      </c>
      <c r="C116" s="38" t="s">
        <v>57</v>
      </c>
      <c r="D116" s="38" t="s">
        <v>54</v>
      </c>
      <c r="E116" s="39" t="n">
        <v>8</v>
      </c>
      <c r="F116" s="40" t="n">
        <v>6000</v>
      </c>
      <c r="G116" s="40" t="n">
        <v>48000</v>
      </c>
    </row>
    <row r="117" customFormat="false" ht="15" hidden="false" customHeight="false" outlineLevel="0" collapsed="false">
      <c r="A117" s="27" t="n">
        <v>45977</v>
      </c>
      <c r="B117" s="28" t="s">
        <v>78</v>
      </c>
      <c r="C117" s="28" t="s">
        <v>53</v>
      </c>
      <c r="D117" s="28" t="s">
        <v>60</v>
      </c>
      <c r="E117" s="29" t="n">
        <v>19</v>
      </c>
      <c r="F117" s="30" t="n">
        <v>15000</v>
      </c>
      <c r="G117" s="30" t="n">
        <v>285000</v>
      </c>
    </row>
    <row r="118" customFormat="false" ht="15" hidden="false" customHeight="false" outlineLevel="0" collapsed="false">
      <c r="A118" s="37" t="n">
        <v>45980</v>
      </c>
      <c r="B118" s="38" t="s">
        <v>78</v>
      </c>
      <c r="C118" s="38" t="s">
        <v>57</v>
      </c>
      <c r="D118" s="38" t="s">
        <v>54</v>
      </c>
      <c r="E118" s="39" t="n">
        <v>11</v>
      </c>
      <c r="F118" s="40" t="n">
        <v>5700</v>
      </c>
      <c r="G118" s="40" t="n">
        <v>62700</v>
      </c>
    </row>
    <row r="119" customFormat="false" ht="15" hidden="false" customHeight="false" outlineLevel="0" collapsed="false">
      <c r="A119" s="27" t="n">
        <v>45983</v>
      </c>
      <c r="B119" s="28" t="s">
        <v>46</v>
      </c>
      <c r="C119" s="28" t="s">
        <v>74</v>
      </c>
      <c r="D119" s="28" t="s">
        <v>79</v>
      </c>
      <c r="E119" s="29" t="n">
        <v>19</v>
      </c>
      <c r="F119" s="30" t="n">
        <v>60200</v>
      </c>
      <c r="G119" s="30" t="n">
        <v>1143800</v>
      </c>
    </row>
    <row r="120" customFormat="false" ht="15" hidden="false" customHeight="false" outlineLevel="0" collapsed="false">
      <c r="A120" s="37" t="n">
        <v>45984</v>
      </c>
      <c r="B120" s="38" t="s">
        <v>73</v>
      </c>
      <c r="C120" s="38" t="s">
        <v>53</v>
      </c>
      <c r="D120" s="38" t="s">
        <v>54</v>
      </c>
      <c r="E120" s="39" t="n">
        <v>37</v>
      </c>
      <c r="F120" s="40" t="n">
        <v>13500</v>
      </c>
      <c r="G120" s="40" t="n">
        <v>499500</v>
      </c>
    </row>
    <row r="121" customFormat="false" ht="15" hidden="false" customHeight="false" outlineLevel="0" collapsed="false">
      <c r="A121" s="27" t="n">
        <v>45990</v>
      </c>
      <c r="B121" s="28" t="s">
        <v>52</v>
      </c>
      <c r="C121" s="28" t="s">
        <v>53</v>
      </c>
      <c r="D121" s="28" t="s">
        <v>81</v>
      </c>
      <c r="E121" s="29" t="n">
        <v>12</v>
      </c>
      <c r="F121" s="30" t="n">
        <v>16300</v>
      </c>
      <c r="G121" s="30" t="n">
        <v>195600</v>
      </c>
    </row>
    <row r="122" customFormat="false" ht="15" hidden="false" customHeight="false" outlineLevel="0" collapsed="false">
      <c r="A122" s="37" t="n">
        <v>45992</v>
      </c>
      <c r="B122" s="38" t="s">
        <v>78</v>
      </c>
      <c r="C122" s="38" t="s">
        <v>47</v>
      </c>
      <c r="D122" s="38" t="s">
        <v>65</v>
      </c>
      <c r="E122" s="39" t="n">
        <v>5</v>
      </c>
      <c r="F122" s="40" t="n">
        <v>9000</v>
      </c>
      <c r="G122" s="40" t="n">
        <v>45000</v>
      </c>
    </row>
    <row r="123" customFormat="false" ht="15" hidden="false" customHeight="false" outlineLevel="0" collapsed="false">
      <c r="A123" s="27" t="n">
        <v>45993</v>
      </c>
      <c r="B123" s="28" t="s">
        <v>46</v>
      </c>
      <c r="C123" s="28" t="s">
        <v>64</v>
      </c>
      <c r="D123" s="28" t="s">
        <v>77</v>
      </c>
      <c r="E123" s="29" t="n">
        <v>16</v>
      </c>
      <c r="F123" s="30" t="n">
        <v>153900</v>
      </c>
      <c r="G123" s="30" t="n">
        <v>2462400</v>
      </c>
    </row>
    <row r="124" customFormat="false" ht="15" hidden="false" customHeight="false" outlineLevel="0" collapsed="false">
      <c r="A124" s="37" t="n">
        <v>45994</v>
      </c>
      <c r="B124" s="38" t="s">
        <v>63</v>
      </c>
      <c r="C124" s="38" t="s">
        <v>57</v>
      </c>
      <c r="D124" s="38" t="s">
        <v>65</v>
      </c>
      <c r="E124" s="39" t="n">
        <v>17</v>
      </c>
      <c r="F124" s="40" t="n">
        <v>5700</v>
      </c>
      <c r="G124" s="40" t="n">
        <v>96900</v>
      </c>
    </row>
    <row r="125" customFormat="false" ht="15" hidden="false" customHeight="false" outlineLevel="0" collapsed="false">
      <c r="A125" s="27" t="n">
        <v>45994</v>
      </c>
      <c r="B125" s="28" t="s">
        <v>46</v>
      </c>
      <c r="C125" s="28" t="s">
        <v>76</v>
      </c>
      <c r="D125" s="28" t="s">
        <v>65</v>
      </c>
      <c r="E125" s="29" t="n">
        <v>33</v>
      </c>
      <c r="F125" s="30" t="n">
        <v>25100</v>
      </c>
      <c r="G125" s="30" t="n">
        <v>828300</v>
      </c>
    </row>
    <row r="126" customFormat="false" ht="15" hidden="false" customHeight="false" outlineLevel="0" collapsed="false">
      <c r="A126" s="37" t="n">
        <v>45996</v>
      </c>
      <c r="B126" s="38" t="s">
        <v>78</v>
      </c>
      <c r="C126" s="38" t="s">
        <v>53</v>
      </c>
      <c r="D126" s="38" t="s">
        <v>65</v>
      </c>
      <c r="E126" s="39" t="n">
        <v>10</v>
      </c>
      <c r="F126" s="40" t="n">
        <v>13500</v>
      </c>
      <c r="G126" s="40" t="n">
        <v>135000</v>
      </c>
    </row>
    <row r="127" customFormat="false" ht="15" hidden="false" customHeight="false" outlineLevel="0" collapsed="false">
      <c r="A127" s="27" t="n">
        <v>45998</v>
      </c>
      <c r="B127" s="28" t="s">
        <v>78</v>
      </c>
      <c r="C127" s="28" t="s">
        <v>47</v>
      </c>
      <c r="D127" s="28" t="s">
        <v>60</v>
      </c>
      <c r="E127" s="29" t="n">
        <v>37</v>
      </c>
      <c r="F127" s="30" t="n">
        <v>10200</v>
      </c>
      <c r="G127" s="30" t="n">
        <v>377400</v>
      </c>
    </row>
    <row r="128" customFormat="false" ht="15" hidden="false" customHeight="false" outlineLevel="0" collapsed="false">
      <c r="A128" s="37" t="n">
        <v>45999</v>
      </c>
      <c r="B128" s="38" t="s">
        <v>52</v>
      </c>
      <c r="C128" s="38" t="s">
        <v>76</v>
      </c>
      <c r="D128" s="38" t="s">
        <v>54</v>
      </c>
      <c r="E128" s="39" t="n">
        <v>31</v>
      </c>
      <c r="F128" s="40" t="n">
        <v>26900</v>
      </c>
      <c r="G128" s="40" t="n">
        <v>833900</v>
      </c>
    </row>
    <row r="129" customFormat="false" ht="15" hidden="false" customHeight="false" outlineLevel="0" collapsed="false">
      <c r="A129" s="27" t="n">
        <v>46001</v>
      </c>
      <c r="B129" s="28" t="s">
        <v>63</v>
      </c>
      <c r="C129" s="28" t="s">
        <v>76</v>
      </c>
      <c r="D129" s="28" t="s">
        <v>70</v>
      </c>
      <c r="E129" s="29" t="n">
        <v>25</v>
      </c>
      <c r="F129" s="30" t="n">
        <v>26100</v>
      </c>
      <c r="G129" s="30" t="n">
        <v>652500</v>
      </c>
    </row>
    <row r="130" customFormat="false" ht="15" hidden="false" customHeight="false" outlineLevel="0" collapsed="false">
      <c r="A130" s="37" t="n">
        <v>46006</v>
      </c>
      <c r="B130" s="38" t="s">
        <v>78</v>
      </c>
      <c r="C130" s="38" t="s">
        <v>53</v>
      </c>
      <c r="D130" s="38" t="s">
        <v>75</v>
      </c>
      <c r="E130" s="39" t="n">
        <v>18</v>
      </c>
      <c r="F130" s="40" t="n">
        <v>15900</v>
      </c>
      <c r="G130" s="40" t="n">
        <v>286200</v>
      </c>
    </row>
    <row r="131" customFormat="false" ht="15" hidden="false" customHeight="false" outlineLevel="0" collapsed="false">
      <c r="A131" s="27" t="n">
        <v>46006</v>
      </c>
      <c r="B131" s="28" t="s">
        <v>78</v>
      </c>
      <c r="C131" s="28" t="s">
        <v>57</v>
      </c>
      <c r="D131" s="28" t="s">
        <v>81</v>
      </c>
      <c r="E131" s="29" t="n">
        <v>12</v>
      </c>
      <c r="F131" s="30" t="n">
        <v>5200</v>
      </c>
      <c r="G131" s="30" t="n">
        <v>62400</v>
      </c>
    </row>
    <row r="132" customFormat="false" ht="15" hidden="false" customHeight="false" outlineLevel="0" collapsed="false">
      <c r="A132" s="37" t="n">
        <v>46007</v>
      </c>
      <c r="B132" s="38" t="s">
        <v>63</v>
      </c>
      <c r="C132" s="38" t="s">
        <v>53</v>
      </c>
      <c r="D132" s="38" t="s">
        <v>70</v>
      </c>
      <c r="E132" s="39" t="n">
        <v>1</v>
      </c>
      <c r="F132" s="40" t="n">
        <v>16400</v>
      </c>
      <c r="G132" s="40" t="n">
        <v>16400</v>
      </c>
    </row>
    <row r="133" customFormat="false" ht="15" hidden="false" customHeight="false" outlineLevel="0" collapsed="false">
      <c r="A133" s="27" t="n">
        <v>46009</v>
      </c>
      <c r="B133" s="28" t="s">
        <v>73</v>
      </c>
      <c r="C133" s="28" t="s">
        <v>53</v>
      </c>
      <c r="D133" s="28" t="s">
        <v>70</v>
      </c>
      <c r="E133" s="29" t="n">
        <v>8</v>
      </c>
      <c r="F133" s="30" t="n">
        <v>13500</v>
      </c>
      <c r="G133" s="30" t="n">
        <v>108000</v>
      </c>
    </row>
    <row r="134" customFormat="false" ht="15" hidden="false" customHeight="false" outlineLevel="0" collapsed="false">
      <c r="A134" s="37" t="n">
        <v>46010</v>
      </c>
      <c r="B134" s="38" t="s">
        <v>52</v>
      </c>
      <c r="C134" s="38" t="s">
        <v>74</v>
      </c>
      <c r="D134" s="38" t="s">
        <v>77</v>
      </c>
      <c r="E134" s="39" t="n">
        <v>6</v>
      </c>
      <c r="F134" s="40" t="n">
        <v>57100</v>
      </c>
      <c r="G134" s="40" t="n">
        <v>342600</v>
      </c>
    </row>
    <row r="135" customFormat="false" ht="15" hidden="false" customHeight="false" outlineLevel="0" collapsed="false">
      <c r="A135" s="27" t="n">
        <v>46012</v>
      </c>
      <c r="B135" s="28" t="s">
        <v>63</v>
      </c>
      <c r="C135" s="28" t="s">
        <v>64</v>
      </c>
      <c r="D135" s="28" t="s">
        <v>48</v>
      </c>
      <c r="E135" s="29" t="n">
        <v>3</v>
      </c>
      <c r="F135" s="30" t="n">
        <v>146200</v>
      </c>
      <c r="G135" s="30" t="n">
        <v>438600</v>
      </c>
    </row>
    <row r="136" customFormat="false" ht="15" hidden="false" customHeight="false" outlineLevel="0" collapsed="false">
      <c r="A136" s="37" t="n">
        <v>46013</v>
      </c>
      <c r="B136" s="38" t="s">
        <v>73</v>
      </c>
      <c r="C136" s="38" t="s">
        <v>57</v>
      </c>
      <c r="D136" s="38" t="s">
        <v>77</v>
      </c>
      <c r="E136" s="39" t="n">
        <v>31</v>
      </c>
      <c r="F136" s="40" t="n">
        <v>4800</v>
      </c>
      <c r="G136" s="40" t="n">
        <v>148800</v>
      </c>
    </row>
    <row r="137" customFormat="false" ht="15" hidden="false" customHeight="false" outlineLevel="0" collapsed="false">
      <c r="A137" s="27" t="n">
        <v>46015</v>
      </c>
      <c r="B137" s="28" t="s">
        <v>63</v>
      </c>
      <c r="C137" s="28" t="s">
        <v>64</v>
      </c>
      <c r="D137" s="28" t="s">
        <v>77</v>
      </c>
      <c r="E137" s="29" t="n">
        <v>33</v>
      </c>
      <c r="F137" s="30" t="n">
        <v>153800</v>
      </c>
      <c r="G137" s="30" t="n">
        <v>5075400</v>
      </c>
    </row>
    <row r="138" customFormat="false" ht="15" hidden="false" customHeight="false" outlineLevel="0" collapsed="false">
      <c r="A138" s="37" t="n">
        <v>46015</v>
      </c>
      <c r="B138" s="38" t="s">
        <v>46</v>
      </c>
      <c r="C138" s="38" t="s">
        <v>53</v>
      </c>
      <c r="D138" s="38" t="s">
        <v>77</v>
      </c>
      <c r="E138" s="39" t="n">
        <v>31</v>
      </c>
      <c r="F138" s="40" t="n">
        <v>15900</v>
      </c>
      <c r="G138" s="40" t="n">
        <v>492900</v>
      </c>
    </row>
    <row r="139" customFormat="false" ht="15" hidden="false" customHeight="false" outlineLevel="0" collapsed="false">
      <c r="A139" s="27" t="n">
        <v>46016</v>
      </c>
      <c r="B139" s="28" t="s">
        <v>46</v>
      </c>
      <c r="C139" s="28" t="s">
        <v>47</v>
      </c>
      <c r="D139" s="28" t="s">
        <v>70</v>
      </c>
      <c r="E139" s="29" t="n">
        <v>13</v>
      </c>
      <c r="F139" s="30" t="n">
        <v>8900</v>
      </c>
      <c r="G139" s="30" t="n">
        <v>115700</v>
      </c>
    </row>
    <row r="140" customFormat="false" ht="15" hidden="false" customHeight="false" outlineLevel="0" collapsed="false">
      <c r="A140" s="37" t="n">
        <v>46017</v>
      </c>
      <c r="B140" s="38" t="s">
        <v>73</v>
      </c>
      <c r="C140" s="38" t="s">
        <v>53</v>
      </c>
      <c r="D140" s="38" t="s">
        <v>75</v>
      </c>
      <c r="E140" s="39" t="n">
        <v>35</v>
      </c>
      <c r="F140" s="40" t="n">
        <v>16200</v>
      </c>
      <c r="G140" s="40" t="n">
        <v>567000</v>
      </c>
    </row>
    <row r="141" customFormat="false" ht="15" hidden="false" customHeight="false" outlineLevel="0" collapsed="false">
      <c r="A141" s="27" t="n">
        <v>46017</v>
      </c>
      <c r="B141" s="28" t="s">
        <v>73</v>
      </c>
      <c r="C141" s="28" t="s">
        <v>57</v>
      </c>
      <c r="D141" s="28" t="s">
        <v>81</v>
      </c>
      <c r="E141" s="29" t="n">
        <v>21</v>
      </c>
      <c r="F141" s="30" t="n">
        <v>5200</v>
      </c>
      <c r="G141" s="30" t="n">
        <v>109200</v>
      </c>
    </row>
    <row r="142" customFormat="false" ht="15" hidden="false" customHeight="false" outlineLevel="0" collapsed="false">
      <c r="A142" s="37" t="n">
        <v>46025</v>
      </c>
      <c r="B142" s="38" t="s">
        <v>52</v>
      </c>
      <c r="C142" s="38" t="s">
        <v>53</v>
      </c>
      <c r="D142" s="38" t="s">
        <v>77</v>
      </c>
      <c r="E142" s="39" t="n">
        <v>29</v>
      </c>
      <c r="F142" s="40" t="n">
        <v>15500</v>
      </c>
      <c r="G142" s="40" t="n">
        <v>449500</v>
      </c>
    </row>
    <row r="143" customFormat="false" ht="15" hidden="false" customHeight="false" outlineLevel="0" collapsed="false">
      <c r="A143" s="27" t="n">
        <v>46028</v>
      </c>
      <c r="B143" s="28" t="s">
        <v>63</v>
      </c>
      <c r="C143" s="28" t="s">
        <v>47</v>
      </c>
      <c r="D143" s="28" t="s">
        <v>77</v>
      </c>
      <c r="E143" s="29" t="n">
        <v>2</v>
      </c>
      <c r="F143" s="30" t="n">
        <v>8800</v>
      </c>
      <c r="G143" s="30" t="n">
        <v>17600</v>
      </c>
    </row>
    <row r="144" customFormat="false" ht="15" hidden="false" customHeight="false" outlineLevel="0" collapsed="false">
      <c r="A144" s="37" t="n">
        <v>46028</v>
      </c>
      <c r="B144" s="38" t="s">
        <v>46</v>
      </c>
      <c r="C144" s="38" t="s">
        <v>53</v>
      </c>
      <c r="D144" s="38" t="s">
        <v>81</v>
      </c>
      <c r="E144" s="39" t="n">
        <v>20</v>
      </c>
      <c r="F144" s="40" t="n">
        <v>15200</v>
      </c>
      <c r="G144" s="40" t="n">
        <v>304000</v>
      </c>
    </row>
    <row r="145" customFormat="false" ht="15" hidden="false" customHeight="false" outlineLevel="0" collapsed="false">
      <c r="A145" s="27" t="n">
        <v>46028</v>
      </c>
      <c r="B145" s="28" t="s">
        <v>63</v>
      </c>
      <c r="C145" s="28" t="s">
        <v>57</v>
      </c>
      <c r="D145" s="28" t="s">
        <v>77</v>
      </c>
      <c r="E145" s="29" t="n">
        <v>31</v>
      </c>
      <c r="F145" s="30" t="n">
        <v>5500</v>
      </c>
      <c r="G145" s="30" t="n">
        <v>170500</v>
      </c>
    </row>
    <row r="146" customFormat="false" ht="15" hidden="false" customHeight="false" outlineLevel="0" collapsed="false">
      <c r="A146" s="37" t="n">
        <v>46031</v>
      </c>
      <c r="B146" s="38" t="s">
        <v>73</v>
      </c>
      <c r="C146" s="38" t="s">
        <v>53</v>
      </c>
      <c r="D146" s="38" t="s">
        <v>81</v>
      </c>
      <c r="E146" s="39" t="n">
        <v>15</v>
      </c>
      <c r="F146" s="40" t="n">
        <v>13900</v>
      </c>
      <c r="G146" s="40" t="n">
        <v>208500</v>
      </c>
    </row>
    <row r="147" customFormat="false" ht="15" hidden="false" customHeight="false" outlineLevel="0" collapsed="false">
      <c r="A147" s="27" t="n">
        <v>46032</v>
      </c>
      <c r="B147" s="28" t="s">
        <v>78</v>
      </c>
      <c r="C147" s="28" t="s">
        <v>76</v>
      </c>
      <c r="D147" s="28" t="s">
        <v>48</v>
      </c>
      <c r="E147" s="29" t="n">
        <v>26</v>
      </c>
      <c r="F147" s="30" t="n">
        <v>23200</v>
      </c>
      <c r="G147" s="30" t="n">
        <v>603200</v>
      </c>
    </row>
    <row r="148" customFormat="false" ht="15" hidden="false" customHeight="false" outlineLevel="0" collapsed="false">
      <c r="A148" s="37" t="n">
        <v>46033</v>
      </c>
      <c r="B148" s="38" t="s">
        <v>78</v>
      </c>
      <c r="C148" s="38" t="s">
        <v>57</v>
      </c>
      <c r="D148" s="38" t="s">
        <v>65</v>
      </c>
      <c r="E148" s="39" t="n">
        <v>34</v>
      </c>
      <c r="F148" s="40" t="n">
        <v>5600</v>
      </c>
      <c r="G148" s="40" t="n">
        <v>190400</v>
      </c>
    </row>
    <row r="149" customFormat="false" ht="15" hidden="false" customHeight="false" outlineLevel="0" collapsed="false">
      <c r="A149" s="27" t="n">
        <v>46034</v>
      </c>
      <c r="B149" s="28" t="s">
        <v>52</v>
      </c>
      <c r="C149" s="28" t="s">
        <v>74</v>
      </c>
      <c r="D149" s="28" t="s">
        <v>54</v>
      </c>
      <c r="E149" s="29" t="n">
        <v>36</v>
      </c>
      <c r="F149" s="30" t="n">
        <v>57200</v>
      </c>
      <c r="G149" s="30" t="n">
        <v>2059200</v>
      </c>
    </row>
    <row r="150" customFormat="false" ht="15" hidden="false" customHeight="false" outlineLevel="0" collapsed="false">
      <c r="A150" s="37" t="n">
        <v>46034</v>
      </c>
      <c r="B150" s="38" t="s">
        <v>73</v>
      </c>
      <c r="C150" s="38" t="s">
        <v>74</v>
      </c>
      <c r="D150" s="38" t="s">
        <v>79</v>
      </c>
      <c r="E150" s="39" t="n">
        <v>8</v>
      </c>
      <c r="F150" s="40" t="n">
        <v>66300</v>
      </c>
      <c r="G150" s="40" t="n">
        <v>530400</v>
      </c>
    </row>
    <row r="151" customFormat="false" ht="15" hidden="false" customHeight="false" outlineLevel="0" collapsed="false">
      <c r="A151" s="27" t="n">
        <v>46034</v>
      </c>
      <c r="B151" s="28" t="s">
        <v>73</v>
      </c>
      <c r="C151" s="28" t="s">
        <v>76</v>
      </c>
      <c r="D151" s="28" t="s">
        <v>80</v>
      </c>
      <c r="E151" s="29" t="n">
        <v>23</v>
      </c>
      <c r="F151" s="30" t="n">
        <v>24600</v>
      </c>
      <c r="G151" s="30" t="n">
        <v>565800</v>
      </c>
    </row>
    <row r="152" customFormat="false" ht="15" hidden="false" customHeight="false" outlineLevel="0" collapsed="false">
      <c r="A152" s="37" t="n">
        <v>46036</v>
      </c>
      <c r="B152" s="38" t="s">
        <v>52</v>
      </c>
      <c r="C152" s="38" t="s">
        <v>74</v>
      </c>
      <c r="D152" s="38" t="s">
        <v>65</v>
      </c>
      <c r="E152" s="39" t="n">
        <v>2</v>
      </c>
      <c r="F152" s="40" t="n">
        <v>57600</v>
      </c>
      <c r="G152" s="40" t="n">
        <v>115200</v>
      </c>
    </row>
    <row r="153" customFormat="false" ht="15" hidden="false" customHeight="false" outlineLevel="0" collapsed="false">
      <c r="A153" s="27" t="n">
        <v>46037</v>
      </c>
      <c r="B153" s="28" t="s">
        <v>63</v>
      </c>
      <c r="C153" s="28" t="s">
        <v>76</v>
      </c>
      <c r="D153" s="28" t="s">
        <v>79</v>
      </c>
      <c r="E153" s="29" t="n">
        <v>3</v>
      </c>
      <c r="F153" s="30" t="n">
        <v>21600</v>
      </c>
      <c r="G153" s="30" t="n">
        <v>64800</v>
      </c>
    </row>
    <row r="154" customFormat="false" ht="15" hidden="false" customHeight="false" outlineLevel="0" collapsed="false">
      <c r="A154" s="37" t="n">
        <v>46038</v>
      </c>
      <c r="B154" s="38" t="s">
        <v>73</v>
      </c>
      <c r="C154" s="38" t="s">
        <v>76</v>
      </c>
      <c r="D154" s="38" t="s">
        <v>79</v>
      </c>
      <c r="E154" s="39" t="n">
        <v>28</v>
      </c>
      <c r="F154" s="40" t="n">
        <v>23200</v>
      </c>
      <c r="G154" s="40" t="n">
        <v>649600</v>
      </c>
    </row>
    <row r="155" customFormat="false" ht="15" hidden="false" customHeight="false" outlineLevel="0" collapsed="false">
      <c r="A155" s="27" t="n">
        <v>46038</v>
      </c>
      <c r="B155" s="28" t="s">
        <v>63</v>
      </c>
      <c r="C155" s="28" t="s">
        <v>53</v>
      </c>
      <c r="D155" s="28" t="s">
        <v>70</v>
      </c>
      <c r="E155" s="29" t="n">
        <v>22</v>
      </c>
      <c r="F155" s="30" t="n">
        <v>14300</v>
      </c>
      <c r="G155" s="30" t="n">
        <v>314600</v>
      </c>
    </row>
    <row r="156" customFormat="false" ht="15" hidden="false" customHeight="false" outlineLevel="0" collapsed="false">
      <c r="A156" s="37" t="n">
        <v>46038</v>
      </c>
      <c r="B156" s="38" t="s">
        <v>73</v>
      </c>
      <c r="C156" s="38" t="s">
        <v>64</v>
      </c>
      <c r="D156" s="38" t="s">
        <v>54</v>
      </c>
      <c r="E156" s="39" t="n">
        <v>15</v>
      </c>
      <c r="F156" s="40" t="n">
        <v>160300</v>
      </c>
      <c r="G156" s="40" t="n">
        <v>2404500</v>
      </c>
    </row>
    <row r="157" customFormat="false" ht="15" hidden="false" customHeight="false" outlineLevel="0" collapsed="false">
      <c r="A157" s="27" t="n">
        <v>46041</v>
      </c>
      <c r="B157" s="28" t="s">
        <v>78</v>
      </c>
      <c r="C157" s="28" t="s">
        <v>57</v>
      </c>
      <c r="D157" s="28" t="s">
        <v>77</v>
      </c>
      <c r="E157" s="29" t="n">
        <v>7</v>
      </c>
      <c r="F157" s="30" t="n">
        <v>4800</v>
      </c>
      <c r="G157" s="30" t="n">
        <v>33600</v>
      </c>
    </row>
    <row r="158" customFormat="false" ht="15" hidden="false" customHeight="false" outlineLevel="0" collapsed="false">
      <c r="A158" s="37" t="n">
        <v>46041</v>
      </c>
      <c r="B158" s="38" t="s">
        <v>52</v>
      </c>
      <c r="C158" s="38" t="s">
        <v>74</v>
      </c>
      <c r="D158" s="38" t="s">
        <v>77</v>
      </c>
      <c r="E158" s="39" t="n">
        <v>30</v>
      </c>
      <c r="F158" s="40" t="n">
        <v>60700</v>
      </c>
      <c r="G158" s="40" t="n">
        <v>1821000</v>
      </c>
    </row>
    <row r="159" customFormat="false" ht="15" hidden="false" customHeight="false" outlineLevel="0" collapsed="false">
      <c r="A159" s="27" t="n">
        <v>46043</v>
      </c>
      <c r="B159" s="28" t="s">
        <v>52</v>
      </c>
      <c r="C159" s="28" t="s">
        <v>76</v>
      </c>
      <c r="D159" s="28" t="s">
        <v>65</v>
      </c>
      <c r="E159" s="29" t="n">
        <v>10</v>
      </c>
      <c r="F159" s="30" t="n">
        <v>26200</v>
      </c>
      <c r="G159" s="30" t="n">
        <v>262000</v>
      </c>
    </row>
    <row r="160" customFormat="false" ht="15" hidden="false" customHeight="false" outlineLevel="0" collapsed="false">
      <c r="A160" s="37" t="n">
        <v>46044</v>
      </c>
      <c r="B160" s="38" t="s">
        <v>78</v>
      </c>
      <c r="C160" s="38" t="s">
        <v>47</v>
      </c>
      <c r="D160" s="38" t="s">
        <v>81</v>
      </c>
      <c r="E160" s="39" t="n">
        <v>2</v>
      </c>
      <c r="F160" s="40" t="n">
        <v>9400</v>
      </c>
      <c r="G160" s="40" t="n">
        <v>18800</v>
      </c>
    </row>
    <row r="161" customFormat="false" ht="15" hidden="false" customHeight="false" outlineLevel="0" collapsed="false">
      <c r="A161" s="27" t="n">
        <v>46049</v>
      </c>
      <c r="B161" s="28" t="s">
        <v>52</v>
      </c>
      <c r="C161" s="28" t="s">
        <v>74</v>
      </c>
      <c r="D161" s="28" t="s">
        <v>75</v>
      </c>
      <c r="E161" s="29" t="n">
        <v>1</v>
      </c>
      <c r="F161" s="30" t="n">
        <v>57100</v>
      </c>
      <c r="G161" s="30" t="n">
        <v>57100</v>
      </c>
    </row>
    <row r="162" customFormat="false" ht="15" hidden="false" customHeight="false" outlineLevel="0" collapsed="false">
      <c r="A162" s="37" t="n">
        <v>46049</v>
      </c>
      <c r="B162" s="38" t="s">
        <v>63</v>
      </c>
      <c r="C162" s="38" t="s">
        <v>57</v>
      </c>
      <c r="D162" s="38" t="s">
        <v>48</v>
      </c>
      <c r="E162" s="39" t="n">
        <v>28</v>
      </c>
      <c r="F162" s="40" t="n">
        <v>5300</v>
      </c>
      <c r="G162" s="40" t="n">
        <v>148400</v>
      </c>
    </row>
    <row r="163" customFormat="false" ht="15" hidden="false" customHeight="false" outlineLevel="0" collapsed="false">
      <c r="A163" s="27" t="n">
        <v>46050</v>
      </c>
      <c r="B163" s="28" t="s">
        <v>52</v>
      </c>
      <c r="C163" s="28" t="s">
        <v>47</v>
      </c>
      <c r="D163" s="28" t="s">
        <v>80</v>
      </c>
      <c r="E163" s="29" t="n">
        <v>2</v>
      </c>
      <c r="F163" s="30" t="n">
        <v>10500</v>
      </c>
      <c r="G163" s="30" t="n">
        <v>21000</v>
      </c>
    </row>
    <row r="164" customFormat="false" ht="15" hidden="false" customHeight="false" outlineLevel="0" collapsed="false">
      <c r="A164" s="37" t="n">
        <v>46051</v>
      </c>
      <c r="B164" s="38" t="s">
        <v>46</v>
      </c>
      <c r="C164" s="38" t="s">
        <v>57</v>
      </c>
      <c r="D164" s="38" t="s">
        <v>80</v>
      </c>
      <c r="E164" s="39" t="n">
        <v>9</v>
      </c>
      <c r="F164" s="40" t="n">
        <v>4700</v>
      </c>
      <c r="G164" s="40" t="n">
        <v>42300</v>
      </c>
    </row>
    <row r="165" customFormat="false" ht="15" hidden="false" customHeight="false" outlineLevel="0" collapsed="false">
      <c r="A165" s="27" t="n">
        <v>46056</v>
      </c>
      <c r="B165" s="28" t="s">
        <v>73</v>
      </c>
      <c r="C165" s="28" t="s">
        <v>47</v>
      </c>
      <c r="D165" s="28" t="s">
        <v>65</v>
      </c>
      <c r="E165" s="29" t="n">
        <v>35</v>
      </c>
      <c r="F165" s="30" t="n">
        <v>9600</v>
      </c>
      <c r="G165" s="30" t="n">
        <v>336000</v>
      </c>
    </row>
    <row r="166" customFormat="false" ht="15" hidden="false" customHeight="false" outlineLevel="0" collapsed="false">
      <c r="A166" s="37" t="n">
        <v>46059</v>
      </c>
      <c r="B166" s="38" t="s">
        <v>46</v>
      </c>
      <c r="C166" s="38" t="s">
        <v>74</v>
      </c>
      <c r="D166" s="38" t="s">
        <v>65</v>
      </c>
      <c r="E166" s="39" t="n">
        <v>36</v>
      </c>
      <c r="F166" s="40" t="n">
        <v>69500</v>
      </c>
      <c r="G166" s="40" t="n">
        <v>2502000</v>
      </c>
    </row>
    <row r="167" customFormat="false" ht="15" hidden="false" customHeight="false" outlineLevel="0" collapsed="false">
      <c r="A167" s="27" t="n">
        <v>46060</v>
      </c>
      <c r="B167" s="28" t="s">
        <v>52</v>
      </c>
      <c r="C167" s="28" t="s">
        <v>47</v>
      </c>
      <c r="D167" s="28" t="s">
        <v>54</v>
      </c>
      <c r="E167" s="29" t="n">
        <v>28</v>
      </c>
      <c r="F167" s="30" t="n">
        <v>10300</v>
      </c>
      <c r="G167" s="30" t="n">
        <v>288400</v>
      </c>
    </row>
    <row r="168" customFormat="false" ht="15" hidden="false" customHeight="false" outlineLevel="0" collapsed="false">
      <c r="A168" s="37" t="n">
        <v>46062</v>
      </c>
      <c r="B168" s="38" t="s">
        <v>63</v>
      </c>
      <c r="C168" s="38" t="s">
        <v>74</v>
      </c>
      <c r="D168" s="38" t="s">
        <v>75</v>
      </c>
      <c r="E168" s="39" t="n">
        <v>29</v>
      </c>
      <c r="F168" s="40" t="n">
        <v>65800</v>
      </c>
      <c r="G168" s="40" t="n">
        <v>1908200</v>
      </c>
    </row>
    <row r="169" customFormat="false" ht="15" hidden="false" customHeight="false" outlineLevel="0" collapsed="false">
      <c r="A169" s="27" t="n">
        <v>46063</v>
      </c>
      <c r="B169" s="28" t="s">
        <v>63</v>
      </c>
      <c r="C169" s="28" t="s">
        <v>53</v>
      </c>
      <c r="D169" s="28" t="s">
        <v>80</v>
      </c>
      <c r="E169" s="29" t="n">
        <v>15</v>
      </c>
      <c r="F169" s="30" t="n">
        <v>15700</v>
      </c>
      <c r="G169" s="30" t="n">
        <v>235500</v>
      </c>
    </row>
    <row r="170" customFormat="false" ht="15" hidden="false" customHeight="false" outlineLevel="0" collapsed="false">
      <c r="A170" s="37" t="n">
        <v>46064</v>
      </c>
      <c r="B170" s="38" t="s">
        <v>73</v>
      </c>
      <c r="C170" s="38" t="s">
        <v>57</v>
      </c>
      <c r="D170" s="38" t="s">
        <v>60</v>
      </c>
      <c r="E170" s="39" t="n">
        <v>36</v>
      </c>
      <c r="F170" s="40" t="n">
        <v>5800</v>
      </c>
      <c r="G170" s="40" t="n">
        <v>208800</v>
      </c>
    </row>
    <row r="171" customFormat="false" ht="15" hidden="false" customHeight="false" outlineLevel="0" collapsed="false">
      <c r="A171" s="27" t="n">
        <v>46066</v>
      </c>
      <c r="B171" s="28" t="s">
        <v>73</v>
      </c>
      <c r="C171" s="28" t="s">
        <v>74</v>
      </c>
      <c r="D171" s="28" t="s">
        <v>79</v>
      </c>
      <c r="E171" s="29" t="n">
        <v>17</v>
      </c>
      <c r="F171" s="30" t="n">
        <v>64800</v>
      </c>
      <c r="G171" s="30" t="n">
        <v>1101600</v>
      </c>
    </row>
    <row r="172" customFormat="false" ht="15" hidden="false" customHeight="false" outlineLevel="0" collapsed="false">
      <c r="A172" s="37" t="n">
        <v>46069</v>
      </c>
      <c r="B172" s="38" t="s">
        <v>63</v>
      </c>
      <c r="C172" s="38" t="s">
        <v>74</v>
      </c>
      <c r="D172" s="38" t="s">
        <v>65</v>
      </c>
      <c r="E172" s="39" t="n">
        <v>10</v>
      </c>
      <c r="F172" s="40" t="n">
        <v>57200</v>
      </c>
      <c r="G172" s="40" t="n">
        <v>572000</v>
      </c>
    </row>
    <row r="173" customFormat="false" ht="15" hidden="false" customHeight="false" outlineLevel="0" collapsed="false">
      <c r="A173" s="27" t="n">
        <v>46069</v>
      </c>
      <c r="B173" s="28" t="s">
        <v>63</v>
      </c>
      <c r="C173" s="28" t="s">
        <v>76</v>
      </c>
      <c r="D173" s="28" t="s">
        <v>60</v>
      </c>
      <c r="E173" s="29" t="n">
        <v>36</v>
      </c>
      <c r="F173" s="30" t="n">
        <v>22200</v>
      </c>
      <c r="G173" s="30" t="n">
        <v>799200</v>
      </c>
    </row>
    <row r="174" customFormat="false" ht="15" hidden="false" customHeight="false" outlineLevel="0" collapsed="false">
      <c r="A174" s="37" t="n">
        <v>46070</v>
      </c>
      <c r="B174" s="38" t="s">
        <v>78</v>
      </c>
      <c r="C174" s="38" t="s">
        <v>76</v>
      </c>
      <c r="D174" s="38" t="s">
        <v>70</v>
      </c>
      <c r="E174" s="39" t="n">
        <v>23</v>
      </c>
      <c r="F174" s="40" t="n">
        <v>23500</v>
      </c>
      <c r="G174" s="40" t="n">
        <v>540500</v>
      </c>
    </row>
    <row r="175" customFormat="false" ht="15" hidden="false" customHeight="false" outlineLevel="0" collapsed="false">
      <c r="A175" s="27" t="n">
        <v>46071</v>
      </c>
      <c r="B175" s="28" t="s">
        <v>52</v>
      </c>
      <c r="C175" s="28" t="s">
        <v>47</v>
      </c>
      <c r="D175" s="28" t="s">
        <v>77</v>
      </c>
      <c r="E175" s="29" t="n">
        <v>25</v>
      </c>
      <c r="F175" s="30" t="n">
        <v>10200</v>
      </c>
      <c r="G175" s="30" t="n">
        <v>255000</v>
      </c>
    </row>
    <row r="176" customFormat="false" ht="15" hidden="false" customHeight="false" outlineLevel="0" collapsed="false">
      <c r="A176" s="37" t="n">
        <v>46073</v>
      </c>
      <c r="B176" s="38" t="s">
        <v>78</v>
      </c>
      <c r="C176" s="38" t="s">
        <v>76</v>
      </c>
      <c r="D176" s="38" t="s">
        <v>77</v>
      </c>
      <c r="E176" s="39" t="n">
        <v>21</v>
      </c>
      <c r="F176" s="40" t="n">
        <v>22300</v>
      </c>
      <c r="G176" s="40" t="n">
        <v>468300</v>
      </c>
    </row>
    <row r="177" customFormat="false" ht="15" hidden="false" customHeight="false" outlineLevel="0" collapsed="false">
      <c r="A177" s="27" t="n">
        <v>46073</v>
      </c>
      <c r="B177" s="28" t="s">
        <v>63</v>
      </c>
      <c r="C177" s="28" t="s">
        <v>74</v>
      </c>
      <c r="D177" s="28" t="s">
        <v>75</v>
      </c>
      <c r="E177" s="29" t="n">
        <v>8</v>
      </c>
      <c r="F177" s="30" t="n">
        <v>70400</v>
      </c>
      <c r="G177" s="30" t="n">
        <v>563200</v>
      </c>
    </row>
    <row r="178" customFormat="false" ht="15" hidden="false" customHeight="false" outlineLevel="0" collapsed="false">
      <c r="A178" s="37" t="n">
        <v>46079</v>
      </c>
      <c r="B178" s="38" t="s">
        <v>73</v>
      </c>
      <c r="C178" s="38" t="s">
        <v>47</v>
      </c>
      <c r="D178" s="38" t="s">
        <v>60</v>
      </c>
      <c r="E178" s="39" t="n">
        <v>8</v>
      </c>
      <c r="F178" s="40" t="n">
        <v>9300</v>
      </c>
      <c r="G178" s="40" t="n">
        <v>74400</v>
      </c>
    </row>
    <row r="179" customFormat="false" ht="15" hidden="false" customHeight="false" outlineLevel="0" collapsed="false">
      <c r="A179" s="27" t="n">
        <v>46080</v>
      </c>
      <c r="B179" s="28" t="s">
        <v>63</v>
      </c>
      <c r="C179" s="28" t="s">
        <v>47</v>
      </c>
      <c r="D179" s="28" t="s">
        <v>75</v>
      </c>
      <c r="E179" s="29" t="n">
        <v>3</v>
      </c>
      <c r="F179" s="30" t="n">
        <v>9000</v>
      </c>
      <c r="G179" s="30" t="n">
        <v>27000</v>
      </c>
    </row>
    <row r="180" customFormat="false" ht="15" hidden="false" customHeight="false" outlineLevel="0" collapsed="false">
      <c r="A180" s="37" t="n">
        <v>46081</v>
      </c>
      <c r="B180" s="38" t="s">
        <v>73</v>
      </c>
      <c r="C180" s="38" t="s">
        <v>74</v>
      </c>
      <c r="D180" s="38" t="s">
        <v>48</v>
      </c>
      <c r="E180" s="39" t="n">
        <v>32</v>
      </c>
      <c r="F180" s="40" t="n">
        <v>71200</v>
      </c>
      <c r="G180" s="40" t="n">
        <v>2278400</v>
      </c>
    </row>
    <row r="181" customFormat="false" ht="15" hidden="false" customHeight="false" outlineLevel="0" collapsed="false">
      <c r="A181" s="27" t="n">
        <v>46082</v>
      </c>
      <c r="B181" s="28" t="s">
        <v>52</v>
      </c>
      <c r="C181" s="28" t="s">
        <v>53</v>
      </c>
      <c r="D181" s="28" t="s">
        <v>54</v>
      </c>
      <c r="E181" s="29" t="n">
        <v>36</v>
      </c>
      <c r="F181" s="30" t="n">
        <v>13500</v>
      </c>
      <c r="G181" s="30" t="n">
        <v>486000</v>
      </c>
    </row>
    <row r="182" customFormat="false" ht="15" hidden="false" customHeight="false" outlineLevel="0" collapsed="false">
      <c r="A182" s="37" t="n">
        <v>46085</v>
      </c>
      <c r="B182" s="38" t="s">
        <v>78</v>
      </c>
      <c r="C182" s="38" t="s">
        <v>47</v>
      </c>
      <c r="D182" s="38" t="s">
        <v>60</v>
      </c>
      <c r="E182" s="39" t="n">
        <v>35</v>
      </c>
      <c r="F182" s="40" t="n">
        <v>10100</v>
      </c>
      <c r="G182" s="40" t="n">
        <v>353500</v>
      </c>
    </row>
    <row r="183" customFormat="false" ht="15" hidden="false" customHeight="false" outlineLevel="0" collapsed="false">
      <c r="A183" s="27" t="n">
        <v>46087</v>
      </c>
      <c r="B183" s="28" t="s">
        <v>46</v>
      </c>
      <c r="C183" s="28" t="s">
        <v>64</v>
      </c>
      <c r="D183" s="28" t="s">
        <v>70</v>
      </c>
      <c r="E183" s="29" t="n">
        <v>3</v>
      </c>
      <c r="F183" s="30" t="n">
        <v>153800</v>
      </c>
      <c r="G183" s="30" t="n">
        <v>461400</v>
      </c>
    </row>
    <row r="184" customFormat="false" ht="15" hidden="false" customHeight="false" outlineLevel="0" collapsed="false">
      <c r="A184" s="37" t="n">
        <v>46094</v>
      </c>
      <c r="B184" s="38" t="s">
        <v>78</v>
      </c>
      <c r="C184" s="38" t="s">
        <v>57</v>
      </c>
      <c r="D184" s="38" t="s">
        <v>65</v>
      </c>
      <c r="E184" s="39" t="n">
        <v>6</v>
      </c>
      <c r="F184" s="40" t="n">
        <v>5500</v>
      </c>
      <c r="G184" s="40" t="n">
        <v>33000</v>
      </c>
    </row>
    <row r="185" customFormat="false" ht="15" hidden="false" customHeight="false" outlineLevel="0" collapsed="false">
      <c r="A185" s="27" t="n">
        <v>46097</v>
      </c>
      <c r="B185" s="28" t="s">
        <v>52</v>
      </c>
      <c r="C185" s="28" t="s">
        <v>47</v>
      </c>
      <c r="D185" s="28" t="s">
        <v>70</v>
      </c>
      <c r="E185" s="29" t="n">
        <v>11</v>
      </c>
      <c r="F185" s="30" t="n">
        <v>9800</v>
      </c>
      <c r="G185" s="30" t="n">
        <v>107800</v>
      </c>
    </row>
    <row r="186" customFormat="false" ht="15" hidden="false" customHeight="false" outlineLevel="0" collapsed="false">
      <c r="A186" s="37" t="n">
        <v>46099</v>
      </c>
      <c r="B186" s="38" t="s">
        <v>52</v>
      </c>
      <c r="C186" s="38" t="s">
        <v>76</v>
      </c>
      <c r="D186" s="38" t="s">
        <v>75</v>
      </c>
      <c r="E186" s="39" t="n">
        <v>34</v>
      </c>
      <c r="F186" s="40" t="n">
        <v>23000</v>
      </c>
      <c r="G186" s="40" t="n">
        <v>782000</v>
      </c>
    </row>
    <row r="187" customFormat="false" ht="15" hidden="false" customHeight="false" outlineLevel="0" collapsed="false">
      <c r="A187" s="27" t="n">
        <v>46112</v>
      </c>
      <c r="B187" s="28" t="s">
        <v>73</v>
      </c>
      <c r="C187" s="28" t="s">
        <v>57</v>
      </c>
      <c r="D187" s="28" t="s">
        <v>77</v>
      </c>
      <c r="E187" s="29" t="n">
        <v>25</v>
      </c>
      <c r="F187" s="30" t="n">
        <v>5200</v>
      </c>
      <c r="G187" s="30" t="n">
        <v>130000</v>
      </c>
    </row>
    <row r="188" customFormat="false" ht="15" hidden="false" customHeight="false" outlineLevel="0" collapsed="false">
      <c r="A188" s="37" t="n">
        <v>46112</v>
      </c>
      <c r="B188" s="38" t="s">
        <v>52</v>
      </c>
      <c r="C188" s="38" t="s">
        <v>64</v>
      </c>
      <c r="D188" s="38" t="s">
        <v>75</v>
      </c>
      <c r="E188" s="39" t="n">
        <v>25</v>
      </c>
      <c r="F188" s="40" t="n">
        <v>161400</v>
      </c>
      <c r="G188" s="40" t="n">
        <v>4035000</v>
      </c>
    </row>
  </sheetData>
  <mergeCells count="3">
    <mergeCell ref="A1:M1"/>
    <mergeCell ref="A2:M2"/>
    <mergeCell ref="A3:M5"/>
  </mergeCells>
  <conditionalFormatting sqref="L9:L15">
    <cfRule type="expression" priority="2" aboveAverage="0" equalAverage="0" bottom="0" percent="0" rank="0" text="" dxfId="0">
      <formula>LEFT(L9,1)="✓"</formula>
    </cfRule>
    <cfRule type="expression" priority="3" aboveAverage="0" equalAverage="0" bottom="0" percent="0" rank="0" text="" dxfId="1">
      <formula>LEFT(L9,1)="✗"</formula>
    </cfRule>
    <cfRule type="expression" priority="4" aboveAverage="0" equalAverage="0" bottom="0" percent="0" rank="0" text="" dxfId="2">
      <formula>LEFT(L9,1)="✎"</formula>
    </cfRule>
    <cfRule type="expression" priority="5" aboveAverage="0" equalAverage="0" bottom="0" percent="0" rank="0" text="" dxfId="3">
      <formula>LEFT(L9,1)="◯"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P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6"/>
    <col collapsed="false" customWidth="true" hidden="false" outlineLevel="0" max="5" min="5" style="0" width="9"/>
    <col collapsed="false" customWidth="true" hidden="false" outlineLevel="0" max="6" min="6" style="0" width="11"/>
    <col collapsed="false" customWidth="true" hidden="false" outlineLevel="0" max="7" min="7" style="0" width="15"/>
    <col collapsed="false" customWidth="true" hidden="false" outlineLevel="0" max="8" min="8" style="0" width="3"/>
    <col collapsed="false" customWidth="true" hidden="false" outlineLevel="0" max="9" min="9" style="0" width="5"/>
    <col collapsed="false" customWidth="true" hidden="false" outlineLevel="0" max="10" min="10" style="0" width="46"/>
    <col collapsed="false" customWidth="true" hidden="false" outlineLevel="0" max="11" min="11" style="0" width="18"/>
    <col collapsed="false" customWidth="true" hidden="false" outlineLevel="0" max="12" min="12" style="0" width="17"/>
    <col collapsed="false" customWidth="true" hidden="false" outlineLevel="0" max="13" min="13" style="0" width="38"/>
    <col collapsed="false" customWidth="true" hidden="true" outlineLevel="0" max="17" min="14" style="0" width="13"/>
  </cols>
  <sheetData>
    <row r="1" customFormat="false" ht="31.5" hidden="false" customHeight="true" outlineLevel="0" collapsed="false">
      <c r="A1" s="62" t="s">
        <v>133</v>
      </c>
      <c r="B1" s="62"/>
      <c r="C1" s="62"/>
      <c r="D1" s="62"/>
      <c r="E1" s="62"/>
      <c r="F1" s="62"/>
      <c r="G1" s="62"/>
      <c r="H1" s="62"/>
      <c r="I1" s="62"/>
      <c r="J1" s="62"/>
      <c r="K1" s="62"/>
      <c r="L1" s="62"/>
      <c r="M1" s="62"/>
    </row>
    <row r="2" customFormat="false" ht="19.5" hidden="false" customHeight="true" outlineLevel="0" collapsed="false">
      <c r="A2" s="63" t="s">
        <v>134</v>
      </c>
      <c r="B2" s="63"/>
      <c r="C2" s="63"/>
      <c r="D2" s="63"/>
      <c r="E2" s="63"/>
      <c r="F2" s="63"/>
      <c r="G2" s="63"/>
      <c r="H2" s="63"/>
      <c r="I2" s="63"/>
      <c r="J2" s="63"/>
      <c r="K2" s="63"/>
      <c r="L2" s="63"/>
      <c r="M2" s="63"/>
    </row>
    <row r="3" customFormat="false" ht="18.75" hidden="false" customHeight="true" outlineLevel="0" collapsed="false">
      <c r="A3" s="64" t="s">
        <v>135</v>
      </c>
      <c r="B3" s="64"/>
      <c r="C3" s="64"/>
      <c r="D3" s="64"/>
      <c r="E3" s="64"/>
      <c r="F3" s="64"/>
      <c r="G3" s="64"/>
      <c r="H3" s="64"/>
      <c r="I3" s="64"/>
      <c r="J3" s="64"/>
      <c r="K3" s="64"/>
      <c r="L3" s="64"/>
      <c r="M3" s="64"/>
    </row>
    <row r="4" customFormat="false" ht="18.75" hidden="false" customHeight="true" outlineLevel="0" collapsed="false">
      <c r="A4" s="64"/>
      <c r="B4" s="64"/>
      <c r="C4" s="64"/>
      <c r="D4" s="64"/>
      <c r="E4" s="64"/>
      <c r="F4" s="64"/>
      <c r="G4" s="64"/>
      <c r="H4" s="64"/>
      <c r="I4" s="64"/>
      <c r="J4" s="64"/>
      <c r="K4" s="64"/>
      <c r="L4" s="64"/>
      <c r="M4" s="64"/>
    </row>
    <row r="5" customFormat="false" ht="18.75" hidden="false" customHeight="true" outlineLevel="0" collapsed="false">
      <c r="A5" s="64"/>
      <c r="B5" s="64"/>
      <c r="C5" s="64"/>
      <c r="D5" s="64"/>
      <c r="E5" s="64"/>
      <c r="F5" s="64"/>
      <c r="G5" s="64"/>
      <c r="H5" s="64"/>
      <c r="I5" s="64"/>
      <c r="J5" s="64"/>
      <c r="K5" s="64"/>
      <c r="L5" s="64"/>
      <c r="M5" s="64"/>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G8" s="24" t="s">
        <v>41</v>
      </c>
      <c r="I8" s="65" t="s">
        <v>14</v>
      </c>
      <c r="J8" s="65" t="s">
        <v>42</v>
      </c>
      <c r="K8" s="65" t="s">
        <v>43</v>
      </c>
      <c r="L8" s="65" t="s">
        <v>44</v>
      </c>
      <c r="M8" s="65" t="s">
        <v>45</v>
      </c>
    </row>
    <row r="9" customFormat="false" ht="33.75" hidden="false" customHeight="true" outlineLevel="0" collapsed="false">
      <c r="A9" s="27" t="n">
        <v>45749</v>
      </c>
      <c r="B9" s="28" t="s">
        <v>46</v>
      </c>
      <c r="C9" s="28" t="s">
        <v>47</v>
      </c>
      <c r="D9" s="28" t="s">
        <v>48</v>
      </c>
      <c r="E9" s="29" t="n">
        <v>12</v>
      </c>
      <c r="F9" s="30" t="n">
        <v>9800</v>
      </c>
      <c r="G9" s="30" t="n">
        <v>117600</v>
      </c>
      <c r="I9" s="66" t="n">
        <v>1</v>
      </c>
      <c r="J9" s="33" t="s">
        <v>136</v>
      </c>
      <c r="K9" s="34" t="s">
        <v>90</v>
      </c>
      <c r="L9" s="35" t="str">
        <f aca="false">IF(COUNT($K$19:$L$24)=0,"◯ Not attempted",IF(NOT(_xlfn.ISFORMULA(K19)),"✎ Use a formula",IFERROR(IF(SUMPRODUCT(--(ABS($K$19:$L$24-$O$19:$P$24)&lt;0.01))=12,"✓ Correct","✗ "&amp;(12-SUMPRODUCT(--(ABS($K$19:$L$24-$O$19:$P$24)&lt;0.01)))&amp;" cells differ"),"✗ Check the grid")))</f>
        <v>◯ Not attempted</v>
      </c>
      <c r="M9" s="36" t="s">
        <v>137</v>
      </c>
    </row>
    <row r="10" customFormat="false" ht="33.75" hidden="false" customHeight="true" outlineLevel="0" collapsed="false">
      <c r="A10" s="37" t="n">
        <v>45749</v>
      </c>
      <c r="B10" s="38" t="s">
        <v>52</v>
      </c>
      <c r="C10" s="38" t="s">
        <v>53</v>
      </c>
      <c r="D10" s="38" t="s">
        <v>54</v>
      </c>
      <c r="E10" s="39" t="n">
        <v>21</v>
      </c>
      <c r="F10" s="40" t="n">
        <v>15200</v>
      </c>
      <c r="G10" s="40" t="n">
        <v>319200</v>
      </c>
      <c r="I10" s="66" t="n">
        <v>2</v>
      </c>
      <c r="J10" s="33" t="s">
        <v>138</v>
      </c>
      <c r="K10" s="58"/>
      <c r="L10" s="35" t="str">
        <f aca="false">IF(ISBLANK(K10),"◯ Not attempted",IF(NOT(_xlfn.ISFORMULA(K10)),"✎ Use a formula",IF(ISNUMBER(K10),IF(ABS(K10-$N$10)&lt;0.0002,"✓ Correct","✗ Check again"),"✗ Not a number")))</f>
        <v>◯ Not attempted</v>
      </c>
      <c r="M10" s="36" t="s">
        <v>139</v>
      </c>
      <c r="N10" s="59" t="n">
        <f aca="false">1</f>
        <v>1</v>
      </c>
    </row>
    <row r="11" customFormat="false" ht="33.75" hidden="false" customHeight="true" outlineLevel="0" collapsed="false">
      <c r="A11" s="27" t="n">
        <v>45750</v>
      </c>
      <c r="B11" s="28" t="s">
        <v>46</v>
      </c>
      <c r="C11" s="28" t="s">
        <v>57</v>
      </c>
      <c r="D11" s="28" t="s">
        <v>48</v>
      </c>
      <c r="E11" s="29" t="n">
        <v>8</v>
      </c>
      <c r="F11" s="30" t="n">
        <v>5700</v>
      </c>
      <c r="G11" s="30" t="n">
        <v>45600</v>
      </c>
      <c r="I11" s="66" t="n">
        <v>3</v>
      </c>
      <c r="J11" s="33" t="s">
        <v>140</v>
      </c>
      <c r="K11" s="58"/>
      <c r="L11" s="35" t="str">
        <f aca="false">IF(ISBLANK(K11),"◯ Not attempted",IF(NOT(_xlfn.ISFORMULA(K11)),"✎ Use a formula",IF(ISNUMBER(K11),IF(ABS(K11-$N$11)&lt;0.0002,"✓ Correct","✗ Check again"),"✗ Not a number")))</f>
        <v>◯ Not attempted</v>
      </c>
      <c r="M11" s="36" t="s">
        <v>141</v>
      </c>
      <c r="N11" s="59" t="n">
        <f aca="false">0.580489</f>
        <v>0.580489</v>
      </c>
    </row>
    <row r="12" customFormat="false" ht="33.75" hidden="false" customHeight="true" outlineLevel="0" collapsed="false">
      <c r="A12" s="37" t="n">
        <v>45751</v>
      </c>
      <c r="B12" s="38" t="s">
        <v>52</v>
      </c>
      <c r="C12" s="38" t="s">
        <v>53</v>
      </c>
      <c r="D12" s="38" t="s">
        <v>60</v>
      </c>
      <c r="E12" s="39" t="n">
        <v>24</v>
      </c>
      <c r="F12" s="40" t="n">
        <v>15300</v>
      </c>
      <c r="G12" s="40" t="n">
        <v>367200</v>
      </c>
      <c r="I12" s="66" t="n">
        <v>4</v>
      </c>
      <c r="J12" s="33" t="s">
        <v>142</v>
      </c>
      <c r="K12" s="58"/>
      <c r="L12" s="35" t="str">
        <f aca="false">IF(ISBLANK(K12),"◯ Not attempted",IF(NOT(_xlfn.ISFORMULA(K12)),"✎ Use a formula",IF(ISNUMBER(K12),IF(ABS(K12-$N$12)&lt;0.0002,"✓ Correct","✗ Check again"),"✗ Not a number")))</f>
        <v>◯ Not attempted</v>
      </c>
      <c r="M12" s="36" t="s">
        <v>143</v>
      </c>
      <c r="N12" s="59" t="n">
        <f aca="false">0.809139</f>
        <v>0.809139</v>
      </c>
    </row>
    <row r="13" customFormat="false" ht="33.75" hidden="false" customHeight="true" outlineLevel="0" collapsed="false">
      <c r="A13" s="27" t="n">
        <v>45752</v>
      </c>
      <c r="B13" s="28" t="s">
        <v>63</v>
      </c>
      <c r="C13" s="28" t="s">
        <v>64</v>
      </c>
      <c r="D13" s="28" t="s">
        <v>65</v>
      </c>
      <c r="E13" s="29" t="n">
        <v>16</v>
      </c>
      <c r="F13" s="30" t="n">
        <v>138700</v>
      </c>
      <c r="G13" s="30" t="n">
        <v>2219200</v>
      </c>
      <c r="I13" s="66" t="n">
        <v>5</v>
      </c>
      <c r="J13" s="33" t="s">
        <v>144</v>
      </c>
      <c r="K13" s="42"/>
      <c r="L13" s="35" t="str">
        <f aca="false">IF(ISBLANK(K13),"◯ Not attempted",IF(NOT(_xlfn.ISFORMULA(K13)),"✎ Use a formula",IF(ISNUMBER(K13),IF(ABS(K13-$N$13)&lt;0.005,"✓ Correct","✗ Check again"),"✗ Not a number")))</f>
        <v>◯ Not attempted</v>
      </c>
      <c r="M13" s="36" t="s">
        <v>145</v>
      </c>
      <c r="N13" s="43" t="n">
        <f aca="false">2</f>
        <v>2</v>
      </c>
    </row>
    <row r="14" customFormat="false" ht="33.75" hidden="false" customHeight="true" outlineLevel="0" collapsed="false">
      <c r="A14" s="37" t="n">
        <v>45753</v>
      </c>
      <c r="B14" s="38" t="s">
        <v>52</v>
      </c>
      <c r="C14" s="38" t="s">
        <v>47</v>
      </c>
      <c r="D14" s="38" t="s">
        <v>60</v>
      </c>
      <c r="E14" s="39" t="n">
        <v>38</v>
      </c>
      <c r="F14" s="40" t="n">
        <v>9000</v>
      </c>
      <c r="G14" s="40" t="n">
        <v>342000</v>
      </c>
      <c r="I14" s="66" t="n">
        <v>6</v>
      </c>
      <c r="J14" s="33" t="s">
        <v>146</v>
      </c>
      <c r="K14" s="41"/>
      <c r="L14" s="35" t="str">
        <f aca="false">IF(ISBLANK(K14),"◯ Not attempted",IF(NOT(_xlfn.ISFORMULA(K14)),"✎ Use a formula",IF(ISNUMBER(K14),IF(ABS(K14-$N$14)&lt;0.005,"✓ Correct","✗ Check again"),"✗ Not a number")))</f>
        <v>◯ Not attempted</v>
      </c>
      <c r="M14" s="36" t="s">
        <v>147</v>
      </c>
      <c r="N14" s="0" t="n">
        <f aca="false">2232100</f>
        <v>2232100</v>
      </c>
    </row>
    <row r="15" customFormat="false" ht="33.75" hidden="false" customHeight="true" outlineLevel="0" collapsed="false">
      <c r="A15" s="27" t="n">
        <v>45755</v>
      </c>
      <c r="B15" s="28" t="s">
        <v>63</v>
      </c>
      <c r="C15" s="28" t="s">
        <v>47</v>
      </c>
      <c r="D15" s="28" t="s">
        <v>70</v>
      </c>
      <c r="E15" s="29" t="n">
        <v>8</v>
      </c>
      <c r="F15" s="30" t="n">
        <v>9800</v>
      </c>
      <c r="G15" s="30" t="n">
        <v>78400</v>
      </c>
      <c r="I15" s="66" t="n">
        <v>7</v>
      </c>
      <c r="J15" s="33" t="s">
        <v>148</v>
      </c>
      <c r="K15" s="42"/>
      <c r="L15" s="35" t="str">
        <f aca="false">IF(ISBLANK(K15),"◯ Not attempted",IF(NOT(_xlfn.ISFORMULA(K15)),"✎ Use a formula",IF(ISNUMBER(K15),IF(ABS(K15-$N$15)&lt;0.005,"✓ Correct","✗ Check again"),"✗ Not a number")))</f>
        <v>◯ Not attempted</v>
      </c>
      <c r="M15" s="36" t="s">
        <v>149</v>
      </c>
      <c r="N15" s="43" t="n">
        <f aca="false">2</f>
        <v>2</v>
      </c>
    </row>
    <row r="16" customFormat="false" ht="15" hidden="false" customHeight="false" outlineLevel="0" collapsed="false">
      <c r="A16" s="37" t="n">
        <v>45759</v>
      </c>
      <c r="B16" s="38" t="s">
        <v>46</v>
      </c>
      <c r="C16" s="38" t="s">
        <v>53</v>
      </c>
      <c r="D16" s="38" t="s">
        <v>70</v>
      </c>
      <c r="E16" s="39" t="n">
        <v>28</v>
      </c>
      <c r="F16" s="40" t="n">
        <v>13900</v>
      </c>
      <c r="G16" s="40" t="n">
        <v>389200</v>
      </c>
    </row>
    <row r="17" customFormat="false" ht="15" hidden="false" customHeight="false" outlineLevel="0" collapsed="false">
      <c r="A17" s="27" t="n">
        <v>45761</v>
      </c>
      <c r="B17" s="28" t="s">
        <v>73</v>
      </c>
      <c r="C17" s="28" t="s">
        <v>74</v>
      </c>
      <c r="D17" s="28" t="s">
        <v>75</v>
      </c>
      <c r="E17" s="29" t="n">
        <v>27</v>
      </c>
      <c r="F17" s="30" t="n">
        <v>58500</v>
      </c>
      <c r="G17" s="30" t="n">
        <v>1579500</v>
      </c>
      <c r="J17" s="67" t="s">
        <v>150</v>
      </c>
    </row>
    <row r="18" customFormat="false" ht="15" hidden="false" customHeight="false" outlineLevel="0" collapsed="false">
      <c r="A18" s="37" t="n">
        <v>45764</v>
      </c>
      <c r="B18" s="38" t="s">
        <v>46</v>
      </c>
      <c r="C18" s="38" t="s">
        <v>76</v>
      </c>
      <c r="D18" s="38" t="s">
        <v>65</v>
      </c>
      <c r="E18" s="39" t="n">
        <v>15</v>
      </c>
      <c r="F18" s="40" t="n">
        <v>26900</v>
      </c>
      <c r="G18" s="40" t="n">
        <v>403500</v>
      </c>
      <c r="J18" s="55"/>
      <c r="K18" s="55" t="s">
        <v>41</v>
      </c>
      <c r="L18" s="55" t="s">
        <v>151</v>
      </c>
    </row>
    <row r="19" customFormat="false" ht="15" hidden="false" customHeight="false" outlineLevel="0" collapsed="false">
      <c r="A19" s="27" t="n">
        <v>45767</v>
      </c>
      <c r="B19" s="28" t="s">
        <v>63</v>
      </c>
      <c r="C19" s="28" t="s">
        <v>64</v>
      </c>
      <c r="D19" s="28" t="s">
        <v>77</v>
      </c>
      <c r="E19" s="29" t="n">
        <v>37</v>
      </c>
      <c r="F19" s="30" t="n">
        <v>160300</v>
      </c>
      <c r="G19" s="30" t="n">
        <v>5931100</v>
      </c>
      <c r="J19" s="56" t="s">
        <v>74</v>
      </c>
      <c r="K19" s="57"/>
      <c r="L19" s="68"/>
      <c r="O19" s="44" t="n">
        <f aca="false">SUMIF($C$9:$C$188,$J19,$G$9:$G$188)</f>
        <v>37698600</v>
      </c>
      <c r="P19" s="44" t="n">
        <f aca="false">SUMIF($C$9:$C$188,$J19,$G$9:$G$188)/SUM($G$9:$G$188)</f>
        <v>0.22865027642237</v>
      </c>
    </row>
    <row r="20" customFormat="false" ht="15" hidden="false" customHeight="false" outlineLevel="0" collapsed="false">
      <c r="A20" s="37" t="n">
        <v>45769</v>
      </c>
      <c r="B20" s="38" t="s">
        <v>63</v>
      </c>
      <c r="C20" s="38" t="s">
        <v>47</v>
      </c>
      <c r="D20" s="38" t="s">
        <v>65</v>
      </c>
      <c r="E20" s="39" t="n">
        <v>13</v>
      </c>
      <c r="F20" s="40" t="n">
        <v>10400</v>
      </c>
      <c r="G20" s="40" t="n">
        <v>135200</v>
      </c>
      <c r="J20" s="56" t="s">
        <v>53</v>
      </c>
      <c r="K20" s="57"/>
      <c r="L20" s="68"/>
      <c r="O20" s="44" t="n">
        <f aca="false">SUMIF($C$9:$C$188,$J20,$G$9:$G$188)</f>
        <v>10703600</v>
      </c>
      <c r="P20" s="44" t="n">
        <f aca="false">SUMIF($C$9:$C$188,$J20,$G$9:$G$188)/SUM($G$9:$G$188)</f>
        <v>0.0649196813333778</v>
      </c>
    </row>
    <row r="21" customFormat="false" ht="15" hidden="false" customHeight="false" outlineLevel="0" collapsed="false">
      <c r="A21" s="27" t="n">
        <v>45772</v>
      </c>
      <c r="B21" s="28" t="s">
        <v>78</v>
      </c>
      <c r="C21" s="28" t="s">
        <v>53</v>
      </c>
      <c r="D21" s="28" t="s">
        <v>79</v>
      </c>
      <c r="E21" s="29" t="n">
        <v>21</v>
      </c>
      <c r="F21" s="30" t="n">
        <v>15700</v>
      </c>
      <c r="G21" s="30" t="n">
        <v>329700</v>
      </c>
      <c r="J21" s="56" t="s">
        <v>47</v>
      </c>
      <c r="K21" s="57"/>
      <c r="L21" s="68"/>
      <c r="O21" s="44" t="n">
        <f aca="false">SUMIF($C$9:$C$188,$J21,$G$9:$G$188)</f>
        <v>5274200</v>
      </c>
      <c r="P21" s="44" t="n">
        <f aca="false">SUMIF($C$9:$C$188,$J21,$G$9:$G$188)/SUM($G$9:$G$188)</f>
        <v>0.0319891796487632</v>
      </c>
    </row>
    <row r="22" customFormat="false" ht="15" hidden="false" customHeight="false" outlineLevel="0" collapsed="false">
      <c r="A22" s="37" t="n">
        <v>45773</v>
      </c>
      <c r="B22" s="38" t="s">
        <v>46</v>
      </c>
      <c r="C22" s="38" t="s">
        <v>53</v>
      </c>
      <c r="D22" s="38" t="s">
        <v>48</v>
      </c>
      <c r="E22" s="39" t="n">
        <v>2</v>
      </c>
      <c r="F22" s="40" t="n">
        <v>15400</v>
      </c>
      <c r="G22" s="40" t="n">
        <v>30800</v>
      </c>
      <c r="J22" s="56" t="s">
        <v>57</v>
      </c>
      <c r="K22" s="57"/>
      <c r="L22" s="68"/>
      <c r="O22" s="44" t="n">
        <f aca="false">SUMIF($C$9:$C$188,$J22,$G$9:$G$188)</f>
        <v>2232100</v>
      </c>
      <c r="P22" s="44" t="n">
        <f aca="false">SUMIF($C$9:$C$188,$J22,$G$9:$G$188)/SUM($G$9:$G$188)</f>
        <v>0.013538176006599</v>
      </c>
    </row>
    <row r="23" customFormat="false" ht="15" hidden="false" customHeight="false" outlineLevel="0" collapsed="false">
      <c r="A23" s="27" t="n">
        <v>45776</v>
      </c>
      <c r="B23" s="28" t="s">
        <v>73</v>
      </c>
      <c r="C23" s="28" t="s">
        <v>76</v>
      </c>
      <c r="D23" s="28" t="s">
        <v>70</v>
      </c>
      <c r="E23" s="29" t="n">
        <v>11</v>
      </c>
      <c r="F23" s="30" t="n">
        <v>22700</v>
      </c>
      <c r="G23" s="30" t="n">
        <v>249700</v>
      </c>
      <c r="J23" s="56" t="s">
        <v>64</v>
      </c>
      <c r="K23" s="57"/>
      <c r="L23" s="68"/>
      <c r="O23" s="44" t="n">
        <f aca="false">SUMIF($C$9:$C$188,$J23,$G$9:$G$188)</f>
        <v>95707800</v>
      </c>
      <c r="P23" s="44" t="n">
        <f aca="false">SUMIF($C$9:$C$188,$J23,$G$9:$G$188)/SUM($G$9:$G$188)</f>
        <v>0.580488796023642</v>
      </c>
    </row>
    <row r="24" customFormat="false" ht="15" hidden="false" customHeight="false" outlineLevel="0" collapsed="false">
      <c r="A24" s="37" t="n">
        <v>45782</v>
      </c>
      <c r="B24" s="38" t="s">
        <v>63</v>
      </c>
      <c r="C24" s="38" t="s">
        <v>74</v>
      </c>
      <c r="D24" s="38" t="s">
        <v>48</v>
      </c>
      <c r="E24" s="39" t="n">
        <v>21</v>
      </c>
      <c r="F24" s="40" t="n">
        <v>66900</v>
      </c>
      <c r="G24" s="40" t="n">
        <v>1404900</v>
      </c>
      <c r="J24" s="56" t="s">
        <v>76</v>
      </c>
      <c r="K24" s="57"/>
      <c r="L24" s="68"/>
      <c r="O24" s="44" t="n">
        <f aca="false">SUMIF($C$9:$C$188,$J24,$G$9:$G$188)</f>
        <v>13258200</v>
      </c>
      <c r="P24" s="44" t="n">
        <f aca="false">SUMIF($C$9:$C$188,$J24,$G$9:$G$188)/SUM($G$9:$G$188)</f>
        <v>0.0804138905652481</v>
      </c>
    </row>
    <row r="25" customFormat="false" ht="15" hidden="false" customHeight="false" outlineLevel="0" collapsed="false">
      <c r="A25" s="27" t="n">
        <v>45782</v>
      </c>
      <c r="B25" s="28" t="s">
        <v>63</v>
      </c>
      <c r="C25" s="28" t="s">
        <v>47</v>
      </c>
      <c r="D25" s="28" t="s">
        <v>75</v>
      </c>
      <c r="E25" s="29" t="n">
        <v>13</v>
      </c>
      <c r="F25" s="30" t="n">
        <v>10300</v>
      </c>
      <c r="G25" s="30" t="n">
        <v>133900</v>
      </c>
    </row>
    <row r="26" customFormat="false" ht="15" hidden="false" customHeight="false" outlineLevel="0" collapsed="false">
      <c r="A26" s="37" t="n">
        <v>45782</v>
      </c>
      <c r="B26" s="38" t="s">
        <v>73</v>
      </c>
      <c r="C26" s="38" t="s">
        <v>74</v>
      </c>
      <c r="D26" s="38" t="s">
        <v>65</v>
      </c>
      <c r="E26" s="39" t="n">
        <v>29</v>
      </c>
      <c r="F26" s="40" t="n">
        <v>67400</v>
      </c>
      <c r="G26" s="40" t="n">
        <v>1954600</v>
      </c>
    </row>
    <row r="27" customFormat="false" ht="15" hidden="false" customHeight="false" outlineLevel="0" collapsed="false">
      <c r="A27" s="27" t="n">
        <v>45786</v>
      </c>
      <c r="B27" s="28" t="s">
        <v>52</v>
      </c>
      <c r="C27" s="28" t="s">
        <v>53</v>
      </c>
      <c r="D27" s="28" t="s">
        <v>80</v>
      </c>
      <c r="E27" s="29" t="n">
        <v>24</v>
      </c>
      <c r="F27" s="30" t="n">
        <v>13400</v>
      </c>
      <c r="G27" s="30" t="n">
        <v>321600</v>
      </c>
    </row>
    <row r="28" customFormat="false" ht="15" hidden="false" customHeight="false" outlineLevel="0" collapsed="false">
      <c r="A28" s="37" t="n">
        <v>45787</v>
      </c>
      <c r="B28" s="38" t="s">
        <v>46</v>
      </c>
      <c r="C28" s="38" t="s">
        <v>47</v>
      </c>
      <c r="D28" s="38" t="s">
        <v>65</v>
      </c>
      <c r="E28" s="39" t="n">
        <v>21</v>
      </c>
      <c r="F28" s="40" t="n">
        <v>9900</v>
      </c>
      <c r="G28" s="40" t="n">
        <v>207900</v>
      </c>
    </row>
    <row r="29" customFormat="false" ht="15" hidden="false" customHeight="false" outlineLevel="0" collapsed="false">
      <c r="A29" s="27" t="n">
        <v>45791</v>
      </c>
      <c r="B29" s="28" t="s">
        <v>78</v>
      </c>
      <c r="C29" s="28" t="s">
        <v>53</v>
      </c>
      <c r="D29" s="28" t="s">
        <v>80</v>
      </c>
      <c r="E29" s="29" t="n">
        <v>21</v>
      </c>
      <c r="F29" s="30" t="n">
        <v>15200</v>
      </c>
      <c r="G29" s="30" t="n">
        <v>319200</v>
      </c>
    </row>
    <row r="30" customFormat="false" ht="15" hidden="false" customHeight="false" outlineLevel="0" collapsed="false">
      <c r="A30" s="37" t="n">
        <v>45794</v>
      </c>
      <c r="B30" s="38" t="s">
        <v>46</v>
      </c>
      <c r="C30" s="38" t="s">
        <v>47</v>
      </c>
      <c r="D30" s="38" t="s">
        <v>60</v>
      </c>
      <c r="E30" s="39" t="n">
        <v>17</v>
      </c>
      <c r="F30" s="40" t="n">
        <v>10200</v>
      </c>
      <c r="G30" s="40" t="n">
        <v>173400</v>
      </c>
    </row>
    <row r="31" customFormat="false" ht="15" hidden="false" customHeight="false" outlineLevel="0" collapsed="false">
      <c r="A31" s="27" t="n">
        <v>45797</v>
      </c>
      <c r="B31" s="28" t="s">
        <v>63</v>
      </c>
      <c r="C31" s="28" t="s">
        <v>64</v>
      </c>
      <c r="D31" s="28" t="s">
        <v>48</v>
      </c>
      <c r="E31" s="29" t="n">
        <v>8</v>
      </c>
      <c r="F31" s="30" t="n">
        <v>136000</v>
      </c>
      <c r="G31" s="30" t="n">
        <v>1088000</v>
      </c>
    </row>
    <row r="32" customFormat="false" ht="15" hidden="false" customHeight="false" outlineLevel="0" collapsed="false">
      <c r="A32" s="37" t="n">
        <v>45797</v>
      </c>
      <c r="B32" s="38" t="s">
        <v>52</v>
      </c>
      <c r="C32" s="38" t="s">
        <v>53</v>
      </c>
      <c r="D32" s="38" t="s">
        <v>80</v>
      </c>
      <c r="E32" s="39" t="n">
        <v>37</v>
      </c>
      <c r="F32" s="40" t="n">
        <v>14000</v>
      </c>
      <c r="G32" s="40" t="n">
        <v>518000</v>
      </c>
    </row>
    <row r="33" customFormat="false" ht="15" hidden="false" customHeight="false" outlineLevel="0" collapsed="false">
      <c r="A33" s="27" t="n">
        <v>45798</v>
      </c>
      <c r="B33" s="28" t="s">
        <v>63</v>
      </c>
      <c r="C33" s="28" t="s">
        <v>57</v>
      </c>
      <c r="D33" s="28" t="s">
        <v>70</v>
      </c>
      <c r="E33" s="29" t="n">
        <v>19</v>
      </c>
      <c r="F33" s="30" t="n">
        <v>5000</v>
      </c>
      <c r="G33" s="30" t="n">
        <v>95000</v>
      </c>
    </row>
    <row r="34" customFormat="false" ht="15" hidden="false" customHeight="false" outlineLevel="0" collapsed="false">
      <c r="A34" s="37" t="n">
        <v>45798</v>
      </c>
      <c r="B34" s="38" t="s">
        <v>52</v>
      </c>
      <c r="C34" s="38" t="s">
        <v>64</v>
      </c>
      <c r="D34" s="38" t="s">
        <v>54</v>
      </c>
      <c r="E34" s="39" t="n">
        <v>18</v>
      </c>
      <c r="F34" s="40" t="n">
        <v>164300</v>
      </c>
      <c r="G34" s="40" t="n">
        <v>2957400</v>
      </c>
    </row>
    <row r="35" customFormat="false" ht="15" hidden="false" customHeight="false" outlineLevel="0" collapsed="false">
      <c r="A35" s="27" t="n">
        <v>45800</v>
      </c>
      <c r="B35" s="28" t="s">
        <v>46</v>
      </c>
      <c r="C35" s="28" t="s">
        <v>47</v>
      </c>
      <c r="D35" s="28" t="s">
        <v>54</v>
      </c>
      <c r="E35" s="29" t="n">
        <v>3</v>
      </c>
      <c r="F35" s="30" t="n">
        <v>8900</v>
      </c>
      <c r="G35" s="30" t="n">
        <v>26700</v>
      </c>
    </row>
    <row r="36" customFormat="false" ht="15" hidden="false" customHeight="false" outlineLevel="0" collapsed="false">
      <c r="A36" s="37" t="n">
        <v>45800</v>
      </c>
      <c r="B36" s="38" t="s">
        <v>63</v>
      </c>
      <c r="C36" s="38" t="s">
        <v>64</v>
      </c>
      <c r="D36" s="38" t="s">
        <v>70</v>
      </c>
      <c r="E36" s="39" t="n">
        <v>38</v>
      </c>
      <c r="F36" s="40" t="n">
        <v>140200</v>
      </c>
      <c r="G36" s="40" t="n">
        <v>5327600</v>
      </c>
    </row>
    <row r="37" customFormat="false" ht="15" hidden="false" customHeight="false" outlineLevel="0" collapsed="false">
      <c r="A37" s="27" t="n">
        <v>45802</v>
      </c>
      <c r="B37" s="28" t="s">
        <v>78</v>
      </c>
      <c r="C37" s="28" t="s">
        <v>64</v>
      </c>
      <c r="D37" s="28" t="s">
        <v>79</v>
      </c>
      <c r="E37" s="29" t="n">
        <v>18</v>
      </c>
      <c r="F37" s="30" t="n">
        <v>168200</v>
      </c>
      <c r="G37" s="30" t="n">
        <v>3027600</v>
      </c>
    </row>
    <row r="38" customFormat="false" ht="15" hidden="false" customHeight="false" outlineLevel="0" collapsed="false">
      <c r="A38" s="37" t="n">
        <v>45803</v>
      </c>
      <c r="B38" s="38" t="s">
        <v>73</v>
      </c>
      <c r="C38" s="38" t="s">
        <v>74</v>
      </c>
      <c r="D38" s="38" t="s">
        <v>65</v>
      </c>
      <c r="E38" s="39" t="n">
        <v>14</v>
      </c>
      <c r="F38" s="40" t="n">
        <v>70700</v>
      </c>
      <c r="G38" s="40" t="n">
        <v>989800</v>
      </c>
    </row>
    <row r="39" customFormat="false" ht="15" hidden="false" customHeight="false" outlineLevel="0" collapsed="false">
      <c r="A39" s="27" t="n">
        <v>45810</v>
      </c>
      <c r="B39" s="28" t="s">
        <v>78</v>
      </c>
      <c r="C39" s="28" t="s">
        <v>74</v>
      </c>
      <c r="D39" s="28" t="s">
        <v>60</v>
      </c>
      <c r="E39" s="29" t="n">
        <v>28</v>
      </c>
      <c r="F39" s="30" t="n">
        <v>62700</v>
      </c>
      <c r="G39" s="30" t="n">
        <v>1755600</v>
      </c>
    </row>
    <row r="40" customFormat="false" ht="15" hidden="false" customHeight="false" outlineLevel="0" collapsed="false">
      <c r="A40" s="37" t="n">
        <v>45813</v>
      </c>
      <c r="B40" s="38" t="s">
        <v>78</v>
      </c>
      <c r="C40" s="38" t="s">
        <v>76</v>
      </c>
      <c r="D40" s="38" t="s">
        <v>60</v>
      </c>
      <c r="E40" s="39" t="n">
        <v>15</v>
      </c>
      <c r="F40" s="40" t="n">
        <v>25700</v>
      </c>
      <c r="G40" s="40" t="n">
        <v>385500</v>
      </c>
    </row>
    <row r="41" customFormat="false" ht="15" hidden="false" customHeight="false" outlineLevel="0" collapsed="false">
      <c r="A41" s="27" t="n">
        <v>45815</v>
      </c>
      <c r="B41" s="28" t="s">
        <v>63</v>
      </c>
      <c r="C41" s="28" t="s">
        <v>74</v>
      </c>
      <c r="D41" s="28" t="s">
        <v>77</v>
      </c>
      <c r="E41" s="29" t="n">
        <v>24</v>
      </c>
      <c r="F41" s="30" t="n">
        <v>68000</v>
      </c>
      <c r="G41" s="30" t="n">
        <v>1632000</v>
      </c>
    </row>
    <row r="42" customFormat="false" ht="15" hidden="false" customHeight="false" outlineLevel="0" collapsed="false">
      <c r="A42" s="37" t="n">
        <v>45818</v>
      </c>
      <c r="B42" s="38" t="s">
        <v>63</v>
      </c>
      <c r="C42" s="38" t="s">
        <v>53</v>
      </c>
      <c r="D42" s="38" t="s">
        <v>79</v>
      </c>
      <c r="E42" s="39" t="n">
        <v>1</v>
      </c>
      <c r="F42" s="40" t="n">
        <v>16600</v>
      </c>
      <c r="G42" s="40" t="n">
        <v>16600</v>
      </c>
    </row>
    <row r="43" customFormat="false" ht="15" hidden="false" customHeight="false" outlineLevel="0" collapsed="false">
      <c r="A43" s="27" t="n">
        <v>45826</v>
      </c>
      <c r="B43" s="28" t="s">
        <v>52</v>
      </c>
      <c r="C43" s="28" t="s">
        <v>76</v>
      </c>
      <c r="D43" s="28" t="s">
        <v>77</v>
      </c>
      <c r="E43" s="29" t="n">
        <v>19</v>
      </c>
      <c r="F43" s="30" t="n">
        <v>25300</v>
      </c>
      <c r="G43" s="30" t="n">
        <v>480700</v>
      </c>
    </row>
    <row r="44" customFormat="false" ht="15" hidden="false" customHeight="false" outlineLevel="0" collapsed="false">
      <c r="A44" s="37" t="n">
        <v>45827</v>
      </c>
      <c r="B44" s="38" t="s">
        <v>73</v>
      </c>
      <c r="C44" s="38" t="s">
        <v>76</v>
      </c>
      <c r="D44" s="38" t="s">
        <v>81</v>
      </c>
      <c r="E44" s="39" t="n">
        <v>25</v>
      </c>
      <c r="F44" s="40" t="n">
        <v>21300</v>
      </c>
      <c r="G44" s="40" t="n">
        <v>532500</v>
      </c>
    </row>
    <row r="45" customFormat="false" ht="15" hidden="false" customHeight="false" outlineLevel="0" collapsed="false">
      <c r="A45" s="27" t="n">
        <v>45827</v>
      </c>
      <c r="B45" s="28" t="s">
        <v>78</v>
      </c>
      <c r="C45" s="28" t="s">
        <v>76</v>
      </c>
      <c r="D45" s="28" t="s">
        <v>77</v>
      </c>
      <c r="E45" s="29" t="n">
        <v>26</v>
      </c>
      <c r="F45" s="30" t="n">
        <v>26200</v>
      </c>
      <c r="G45" s="30" t="n">
        <v>681200</v>
      </c>
    </row>
    <row r="46" customFormat="false" ht="15" hidden="false" customHeight="false" outlineLevel="0" collapsed="false">
      <c r="A46" s="37" t="n">
        <v>45832</v>
      </c>
      <c r="B46" s="38" t="s">
        <v>63</v>
      </c>
      <c r="C46" s="38" t="s">
        <v>47</v>
      </c>
      <c r="D46" s="38" t="s">
        <v>65</v>
      </c>
      <c r="E46" s="39" t="n">
        <v>35</v>
      </c>
      <c r="F46" s="40" t="n">
        <v>9400</v>
      </c>
      <c r="G46" s="40" t="n">
        <v>329000</v>
      </c>
    </row>
    <row r="47" customFormat="false" ht="15" hidden="false" customHeight="false" outlineLevel="0" collapsed="false">
      <c r="A47" s="27" t="n">
        <v>45833</v>
      </c>
      <c r="B47" s="28" t="s">
        <v>73</v>
      </c>
      <c r="C47" s="28" t="s">
        <v>64</v>
      </c>
      <c r="D47" s="28" t="s">
        <v>75</v>
      </c>
      <c r="E47" s="29" t="n">
        <v>9</v>
      </c>
      <c r="F47" s="30" t="n">
        <v>145300</v>
      </c>
      <c r="G47" s="30" t="n">
        <v>1307700</v>
      </c>
    </row>
    <row r="48" customFormat="false" ht="15" hidden="false" customHeight="false" outlineLevel="0" collapsed="false">
      <c r="A48" s="37" t="n">
        <v>45835</v>
      </c>
      <c r="B48" s="38" t="s">
        <v>63</v>
      </c>
      <c r="C48" s="38" t="s">
        <v>74</v>
      </c>
      <c r="D48" s="38" t="s">
        <v>60</v>
      </c>
      <c r="E48" s="39" t="n">
        <v>22</v>
      </c>
      <c r="F48" s="40" t="n">
        <v>56400</v>
      </c>
      <c r="G48" s="40" t="n">
        <v>1240800</v>
      </c>
    </row>
    <row r="49" customFormat="false" ht="15" hidden="false" customHeight="false" outlineLevel="0" collapsed="false">
      <c r="A49" s="27" t="n">
        <v>45839</v>
      </c>
      <c r="B49" s="28" t="s">
        <v>46</v>
      </c>
      <c r="C49" s="28" t="s">
        <v>64</v>
      </c>
      <c r="D49" s="28" t="s">
        <v>65</v>
      </c>
      <c r="E49" s="29" t="n">
        <v>33</v>
      </c>
      <c r="F49" s="30" t="n">
        <v>156300</v>
      </c>
      <c r="G49" s="30" t="n">
        <v>5157900</v>
      </c>
    </row>
    <row r="50" customFormat="false" ht="15" hidden="false" customHeight="false" outlineLevel="0" collapsed="false">
      <c r="A50" s="37" t="n">
        <v>45846</v>
      </c>
      <c r="B50" s="38" t="s">
        <v>73</v>
      </c>
      <c r="C50" s="38" t="s">
        <v>64</v>
      </c>
      <c r="D50" s="38" t="s">
        <v>75</v>
      </c>
      <c r="E50" s="39" t="n">
        <v>23</v>
      </c>
      <c r="F50" s="40" t="n">
        <v>153100</v>
      </c>
      <c r="G50" s="40" t="n">
        <v>3521300</v>
      </c>
    </row>
    <row r="51" customFormat="false" ht="15" hidden="false" customHeight="false" outlineLevel="0" collapsed="false">
      <c r="A51" s="27" t="n">
        <v>45848</v>
      </c>
      <c r="B51" s="28" t="s">
        <v>46</v>
      </c>
      <c r="C51" s="28" t="s">
        <v>53</v>
      </c>
      <c r="D51" s="28" t="s">
        <v>60</v>
      </c>
      <c r="E51" s="29" t="n">
        <v>23</v>
      </c>
      <c r="F51" s="30" t="n">
        <v>14200</v>
      </c>
      <c r="G51" s="30" t="n">
        <v>326600</v>
      </c>
    </row>
    <row r="52" customFormat="false" ht="15" hidden="false" customHeight="false" outlineLevel="0" collapsed="false">
      <c r="A52" s="37" t="n">
        <v>45852</v>
      </c>
      <c r="B52" s="38" t="s">
        <v>63</v>
      </c>
      <c r="C52" s="38" t="s">
        <v>53</v>
      </c>
      <c r="D52" s="38" t="s">
        <v>75</v>
      </c>
      <c r="E52" s="39" t="n">
        <v>8</v>
      </c>
      <c r="F52" s="40" t="n">
        <v>15700</v>
      </c>
      <c r="G52" s="40" t="n">
        <v>125600</v>
      </c>
    </row>
    <row r="53" customFormat="false" ht="15" hidden="false" customHeight="false" outlineLevel="0" collapsed="false">
      <c r="A53" s="27" t="n">
        <v>45854</v>
      </c>
      <c r="B53" s="28" t="s">
        <v>63</v>
      </c>
      <c r="C53" s="28" t="s">
        <v>47</v>
      </c>
      <c r="D53" s="28" t="s">
        <v>75</v>
      </c>
      <c r="E53" s="29" t="n">
        <v>22</v>
      </c>
      <c r="F53" s="30" t="n">
        <v>10600</v>
      </c>
      <c r="G53" s="30" t="n">
        <v>233200</v>
      </c>
    </row>
    <row r="54" customFormat="false" ht="15" hidden="false" customHeight="false" outlineLevel="0" collapsed="false">
      <c r="A54" s="37" t="n">
        <v>45854</v>
      </c>
      <c r="B54" s="38" t="s">
        <v>46</v>
      </c>
      <c r="C54" s="38" t="s">
        <v>74</v>
      </c>
      <c r="D54" s="38" t="s">
        <v>81</v>
      </c>
      <c r="E54" s="39" t="n">
        <v>13</v>
      </c>
      <c r="F54" s="40" t="n">
        <v>57700</v>
      </c>
      <c r="G54" s="40" t="n">
        <v>750100</v>
      </c>
    </row>
    <row r="55" customFormat="false" ht="15" hidden="false" customHeight="false" outlineLevel="0" collapsed="false">
      <c r="A55" s="27" t="n">
        <v>45855</v>
      </c>
      <c r="B55" s="28" t="s">
        <v>78</v>
      </c>
      <c r="C55" s="28" t="s">
        <v>53</v>
      </c>
      <c r="D55" s="28" t="s">
        <v>48</v>
      </c>
      <c r="E55" s="29" t="n">
        <v>4</v>
      </c>
      <c r="F55" s="30" t="n">
        <v>14600</v>
      </c>
      <c r="G55" s="30" t="n">
        <v>58400</v>
      </c>
    </row>
    <row r="56" customFormat="false" ht="15" hidden="false" customHeight="false" outlineLevel="0" collapsed="false">
      <c r="A56" s="37" t="n">
        <v>45862</v>
      </c>
      <c r="B56" s="38" t="s">
        <v>73</v>
      </c>
      <c r="C56" s="38" t="s">
        <v>47</v>
      </c>
      <c r="D56" s="38" t="s">
        <v>80</v>
      </c>
      <c r="E56" s="39" t="n">
        <v>13</v>
      </c>
      <c r="F56" s="40" t="n">
        <v>9700</v>
      </c>
      <c r="G56" s="40" t="n">
        <v>126100</v>
      </c>
    </row>
    <row r="57" customFormat="false" ht="15" hidden="false" customHeight="false" outlineLevel="0" collapsed="false">
      <c r="A57" s="27" t="n">
        <v>45862</v>
      </c>
      <c r="B57" s="28" t="s">
        <v>73</v>
      </c>
      <c r="C57" s="28" t="s">
        <v>64</v>
      </c>
      <c r="D57" s="28" t="s">
        <v>70</v>
      </c>
      <c r="E57" s="29" t="n">
        <v>37</v>
      </c>
      <c r="F57" s="30" t="n">
        <v>145400</v>
      </c>
      <c r="G57" s="30" t="n">
        <v>5379800</v>
      </c>
    </row>
    <row r="58" customFormat="false" ht="15" hidden="false" customHeight="false" outlineLevel="0" collapsed="false">
      <c r="A58" s="37" t="n">
        <v>45863</v>
      </c>
      <c r="B58" s="38" t="s">
        <v>63</v>
      </c>
      <c r="C58" s="38" t="s">
        <v>64</v>
      </c>
      <c r="D58" s="38" t="s">
        <v>81</v>
      </c>
      <c r="E58" s="39" t="n">
        <v>29</v>
      </c>
      <c r="F58" s="40" t="n">
        <v>147200</v>
      </c>
      <c r="G58" s="40" t="n">
        <v>4268800</v>
      </c>
    </row>
    <row r="59" customFormat="false" ht="15" hidden="false" customHeight="false" outlineLevel="0" collapsed="false">
      <c r="A59" s="27" t="n">
        <v>45863</v>
      </c>
      <c r="B59" s="28" t="s">
        <v>46</v>
      </c>
      <c r="C59" s="28" t="s">
        <v>76</v>
      </c>
      <c r="D59" s="28" t="s">
        <v>54</v>
      </c>
      <c r="E59" s="29" t="n">
        <v>10</v>
      </c>
      <c r="F59" s="30" t="n">
        <v>22800</v>
      </c>
      <c r="G59" s="30" t="n">
        <v>228000</v>
      </c>
    </row>
    <row r="60" customFormat="false" ht="15" hidden="false" customHeight="false" outlineLevel="0" collapsed="false">
      <c r="A60" s="37" t="n">
        <v>45864</v>
      </c>
      <c r="B60" s="38" t="s">
        <v>46</v>
      </c>
      <c r="C60" s="38" t="s">
        <v>64</v>
      </c>
      <c r="D60" s="38" t="s">
        <v>65</v>
      </c>
      <c r="E60" s="39" t="n">
        <v>34</v>
      </c>
      <c r="F60" s="40" t="n">
        <v>166100</v>
      </c>
      <c r="G60" s="40" t="n">
        <v>5647400</v>
      </c>
    </row>
    <row r="61" customFormat="false" ht="15" hidden="false" customHeight="false" outlineLevel="0" collapsed="false">
      <c r="A61" s="27" t="n">
        <v>45864</v>
      </c>
      <c r="B61" s="28" t="s">
        <v>46</v>
      </c>
      <c r="C61" s="28" t="s">
        <v>76</v>
      </c>
      <c r="D61" s="28" t="s">
        <v>79</v>
      </c>
      <c r="E61" s="29" t="n">
        <v>36</v>
      </c>
      <c r="F61" s="30" t="n">
        <v>21700</v>
      </c>
      <c r="G61" s="30" t="n">
        <v>781200</v>
      </c>
    </row>
    <row r="62" customFormat="false" ht="15" hidden="false" customHeight="false" outlineLevel="0" collapsed="false">
      <c r="A62" s="37" t="n">
        <v>45866</v>
      </c>
      <c r="B62" s="38" t="s">
        <v>52</v>
      </c>
      <c r="C62" s="38" t="s">
        <v>47</v>
      </c>
      <c r="D62" s="38" t="s">
        <v>81</v>
      </c>
      <c r="E62" s="39" t="n">
        <v>12</v>
      </c>
      <c r="F62" s="40" t="n">
        <v>10200</v>
      </c>
      <c r="G62" s="40" t="n">
        <v>122400</v>
      </c>
    </row>
    <row r="63" customFormat="false" ht="15" hidden="false" customHeight="false" outlineLevel="0" collapsed="false">
      <c r="A63" s="27" t="n">
        <v>45867</v>
      </c>
      <c r="B63" s="28" t="s">
        <v>63</v>
      </c>
      <c r="C63" s="28" t="s">
        <v>53</v>
      </c>
      <c r="D63" s="28" t="s">
        <v>79</v>
      </c>
      <c r="E63" s="29" t="n">
        <v>7</v>
      </c>
      <c r="F63" s="30" t="n">
        <v>15800</v>
      </c>
      <c r="G63" s="30" t="n">
        <v>110600</v>
      </c>
    </row>
    <row r="64" customFormat="false" ht="15" hidden="false" customHeight="false" outlineLevel="0" collapsed="false">
      <c r="A64" s="37" t="n">
        <v>45870</v>
      </c>
      <c r="B64" s="38" t="s">
        <v>52</v>
      </c>
      <c r="C64" s="38" t="s">
        <v>76</v>
      </c>
      <c r="D64" s="38" t="s">
        <v>70</v>
      </c>
      <c r="E64" s="39" t="n">
        <v>22</v>
      </c>
      <c r="F64" s="40" t="n">
        <v>23000</v>
      </c>
      <c r="G64" s="40" t="n">
        <v>506000</v>
      </c>
    </row>
    <row r="65" customFormat="false" ht="15" hidden="false" customHeight="false" outlineLevel="0" collapsed="false">
      <c r="A65" s="27" t="n">
        <v>45871</v>
      </c>
      <c r="B65" s="28" t="s">
        <v>52</v>
      </c>
      <c r="C65" s="28" t="s">
        <v>74</v>
      </c>
      <c r="D65" s="28" t="s">
        <v>81</v>
      </c>
      <c r="E65" s="29" t="n">
        <v>4</v>
      </c>
      <c r="F65" s="30" t="n">
        <v>66100</v>
      </c>
      <c r="G65" s="30" t="n">
        <v>264400</v>
      </c>
    </row>
    <row r="66" customFormat="false" ht="15" hidden="false" customHeight="false" outlineLevel="0" collapsed="false">
      <c r="A66" s="37" t="n">
        <v>45871</v>
      </c>
      <c r="B66" s="38" t="s">
        <v>73</v>
      </c>
      <c r="C66" s="38" t="s">
        <v>64</v>
      </c>
      <c r="D66" s="38" t="s">
        <v>77</v>
      </c>
      <c r="E66" s="39" t="n">
        <v>29</v>
      </c>
      <c r="F66" s="40" t="n">
        <v>133700</v>
      </c>
      <c r="G66" s="40" t="n">
        <v>3877300</v>
      </c>
    </row>
    <row r="67" customFormat="false" ht="15" hidden="false" customHeight="false" outlineLevel="0" collapsed="false">
      <c r="A67" s="27" t="n">
        <v>45873</v>
      </c>
      <c r="B67" s="28" t="s">
        <v>73</v>
      </c>
      <c r="C67" s="28" t="s">
        <v>47</v>
      </c>
      <c r="D67" s="28" t="s">
        <v>65</v>
      </c>
      <c r="E67" s="29" t="n">
        <v>30</v>
      </c>
      <c r="F67" s="30" t="n">
        <v>10400</v>
      </c>
      <c r="G67" s="30" t="n">
        <v>312000</v>
      </c>
    </row>
    <row r="68" customFormat="false" ht="15" hidden="false" customHeight="false" outlineLevel="0" collapsed="false">
      <c r="A68" s="37" t="n">
        <v>45875</v>
      </c>
      <c r="B68" s="38" t="s">
        <v>46</v>
      </c>
      <c r="C68" s="38" t="s">
        <v>53</v>
      </c>
      <c r="D68" s="38" t="s">
        <v>60</v>
      </c>
      <c r="E68" s="39" t="n">
        <v>2</v>
      </c>
      <c r="F68" s="40" t="n">
        <v>13500</v>
      </c>
      <c r="G68" s="40" t="n">
        <v>27000</v>
      </c>
    </row>
    <row r="69" customFormat="false" ht="15" hidden="false" customHeight="false" outlineLevel="0" collapsed="false">
      <c r="A69" s="27" t="n">
        <v>45878</v>
      </c>
      <c r="B69" s="28" t="s">
        <v>73</v>
      </c>
      <c r="C69" s="28" t="s">
        <v>64</v>
      </c>
      <c r="D69" s="28" t="s">
        <v>77</v>
      </c>
      <c r="E69" s="29" t="n">
        <v>31</v>
      </c>
      <c r="F69" s="30" t="n">
        <v>155500</v>
      </c>
      <c r="G69" s="30" t="n">
        <v>4820500</v>
      </c>
    </row>
    <row r="70" customFormat="false" ht="15" hidden="false" customHeight="false" outlineLevel="0" collapsed="false">
      <c r="A70" s="37" t="n">
        <v>45879</v>
      </c>
      <c r="B70" s="38" t="s">
        <v>78</v>
      </c>
      <c r="C70" s="38" t="s">
        <v>74</v>
      </c>
      <c r="D70" s="38" t="s">
        <v>80</v>
      </c>
      <c r="E70" s="39" t="n">
        <v>21</v>
      </c>
      <c r="F70" s="40" t="n">
        <v>69200</v>
      </c>
      <c r="G70" s="40" t="n">
        <v>1453200</v>
      </c>
    </row>
    <row r="71" customFormat="false" ht="15" hidden="false" customHeight="false" outlineLevel="0" collapsed="false">
      <c r="A71" s="27" t="n">
        <v>45880</v>
      </c>
      <c r="B71" s="28" t="s">
        <v>63</v>
      </c>
      <c r="C71" s="28" t="s">
        <v>47</v>
      </c>
      <c r="D71" s="28" t="s">
        <v>70</v>
      </c>
      <c r="E71" s="29" t="n">
        <v>19</v>
      </c>
      <c r="F71" s="30" t="n">
        <v>10400</v>
      </c>
      <c r="G71" s="30" t="n">
        <v>197600</v>
      </c>
    </row>
    <row r="72" customFormat="false" ht="15" hidden="false" customHeight="false" outlineLevel="0" collapsed="false">
      <c r="A72" s="37" t="n">
        <v>45883</v>
      </c>
      <c r="B72" s="38" t="s">
        <v>52</v>
      </c>
      <c r="C72" s="38" t="s">
        <v>74</v>
      </c>
      <c r="D72" s="38" t="s">
        <v>65</v>
      </c>
      <c r="E72" s="39" t="n">
        <v>5</v>
      </c>
      <c r="F72" s="40" t="n">
        <v>56000</v>
      </c>
      <c r="G72" s="40" t="n">
        <v>280000</v>
      </c>
    </row>
    <row r="73" customFormat="false" ht="15" hidden="false" customHeight="false" outlineLevel="0" collapsed="false">
      <c r="A73" s="27" t="n">
        <v>45884</v>
      </c>
      <c r="B73" s="28" t="s">
        <v>52</v>
      </c>
      <c r="C73" s="28" t="s">
        <v>64</v>
      </c>
      <c r="D73" s="28" t="s">
        <v>65</v>
      </c>
      <c r="E73" s="29" t="n">
        <v>16</v>
      </c>
      <c r="F73" s="30" t="n">
        <v>146000</v>
      </c>
      <c r="G73" s="30" t="n">
        <v>2336000</v>
      </c>
    </row>
    <row r="74" customFormat="false" ht="15" hidden="false" customHeight="false" outlineLevel="0" collapsed="false">
      <c r="A74" s="37" t="n">
        <v>45884</v>
      </c>
      <c r="B74" s="38" t="s">
        <v>78</v>
      </c>
      <c r="C74" s="38" t="s">
        <v>64</v>
      </c>
      <c r="D74" s="38" t="s">
        <v>80</v>
      </c>
      <c r="E74" s="39" t="n">
        <v>16</v>
      </c>
      <c r="F74" s="40" t="n">
        <v>157400</v>
      </c>
      <c r="G74" s="40" t="n">
        <v>2518400</v>
      </c>
    </row>
    <row r="75" customFormat="false" ht="15" hidden="false" customHeight="false" outlineLevel="0" collapsed="false">
      <c r="A75" s="27" t="n">
        <v>45884</v>
      </c>
      <c r="B75" s="28" t="s">
        <v>52</v>
      </c>
      <c r="C75" s="28" t="s">
        <v>74</v>
      </c>
      <c r="D75" s="28" t="s">
        <v>75</v>
      </c>
      <c r="E75" s="29" t="n">
        <v>5</v>
      </c>
      <c r="F75" s="30" t="n">
        <v>60700</v>
      </c>
      <c r="G75" s="30" t="n">
        <v>303500</v>
      </c>
    </row>
    <row r="76" customFormat="false" ht="15" hidden="false" customHeight="false" outlineLevel="0" collapsed="false">
      <c r="A76" s="37" t="n">
        <v>45885</v>
      </c>
      <c r="B76" s="38" t="s">
        <v>73</v>
      </c>
      <c r="C76" s="38" t="s">
        <v>47</v>
      </c>
      <c r="D76" s="38" t="s">
        <v>75</v>
      </c>
      <c r="E76" s="39" t="n">
        <v>14</v>
      </c>
      <c r="F76" s="40" t="n">
        <v>9300</v>
      </c>
      <c r="G76" s="40" t="n">
        <v>130200</v>
      </c>
    </row>
    <row r="77" customFormat="false" ht="15" hidden="false" customHeight="false" outlineLevel="0" collapsed="false">
      <c r="A77" s="27" t="n">
        <v>45890</v>
      </c>
      <c r="B77" s="28" t="s">
        <v>52</v>
      </c>
      <c r="C77" s="28" t="s">
        <v>64</v>
      </c>
      <c r="D77" s="28" t="s">
        <v>77</v>
      </c>
      <c r="E77" s="29" t="n">
        <v>36</v>
      </c>
      <c r="F77" s="30" t="n">
        <v>144500</v>
      </c>
      <c r="G77" s="30" t="n">
        <v>5202000</v>
      </c>
    </row>
    <row r="78" customFormat="false" ht="15" hidden="false" customHeight="false" outlineLevel="0" collapsed="false">
      <c r="A78" s="37" t="n">
        <v>45891</v>
      </c>
      <c r="B78" s="38" t="s">
        <v>52</v>
      </c>
      <c r="C78" s="38" t="s">
        <v>64</v>
      </c>
      <c r="D78" s="38" t="s">
        <v>79</v>
      </c>
      <c r="E78" s="39" t="n">
        <v>18</v>
      </c>
      <c r="F78" s="40" t="n">
        <v>168500</v>
      </c>
      <c r="G78" s="40" t="n">
        <v>3033000</v>
      </c>
    </row>
    <row r="79" customFormat="false" ht="15" hidden="false" customHeight="false" outlineLevel="0" collapsed="false">
      <c r="A79" s="27" t="n">
        <v>45891</v>
      </c>
      <c r="B79" s="28" t="s">
        <v>46</v>
      </c>
      <c r="C79" s="28" t="s">
        <v>53</v>
      </c>
      <c r="D79" s="28" t="s">
        <v>60</v>
      </c>
      <c r="E79" s="29" t="n">
        <v>9</v>
      </c>
      <c r="F79" s="30" t="n">
        <v>15800</v>
      </c>
      <c r="G79" s="30" t="n">
        <v>142200</v>
      </c>
    </row>
    <row r="80" customFormat="false" ht="15" hidden="false" customHeight="false" outlineLevel="0" collapsed="false">
      <c r="A80" s="37" t="n">
        <v>45893</v>
      </c>
      <c r="B80" s="38" t="s">
        <v>46</v>
      </c>
      <c r="C80" s="38" t="s">
        <v>53</v>
      </c>
      <c r="D80" s="38" t="s">
        <v>77</v>
      </c>
      <c r="E80" s="39" t="n">
        <v>24</v>
      </c>
      <c r="F80" s="40" t="n">
        <v>13500</v>
      </c>
      <c r="G80" s="40" t="n">
        <v>324000</v>
      </c>
    </row>
    <row r="81" customFormat="false" ht="15" hidden="false" customHeight="false" outlineLevel="0" collapsed="false">
      <c r="A81" s="27" t="n">
        <v>45901</v>
      </c>
      <c r="B81" s="28" t="s">
        <v>46</v>
      </c>
      <c r="C81" s="28" t="s">
        <v>57</v>
      </c>
      <c r="D81" s="28" t="s">
        <v>80</v>
      </c>
      <c r="E81" s="29" t="n">
        <v>10</v>
      </c>
      <c r="F81" s="30" t="n">
        <v>5600</v>
      </c>
      <c r="G81" s="30" t="n">
        <v>56000</v>
      </c>
    </row>
    <row r="82" customFormat="false" ht="15" hidden="false" customHeight="false" outlineLevel="0" collapsed="false">
      <c r="A82" s="37" t="n">
        <v>45905</v>
      </c>
      <c r="B82" s="38" t="s">
        <v>73</v>
      </c>
      <c r="C82" s="38" t="s">
        <v>76</v>
      </c>
      <c r="D82" s="38" t="s">
        <v>54</v>
      </c>
      <c r="E82" s="39" t="n">
        <v>32</v>
      </c>
      <c r="F82" s="40" t="n">
        <v>21700</v>
      </c>
      <c r="G82" s="40" t="n">
        <v>694400</v>
      </c>
    </row>
    <row r="83" customFormat="false" ht="15" hidden="false" customHeight="false" outlineLevel="0" collapsed="false">
      <c r="A83" s="27" t="n">
        <v>45905</v>
      </c>
      <c r="B83" s="28" t="s">
        <v>73</v>
      </c>
      <c r="C83" s="28" t="s">
        <v>53</v>
      </c>
      <c r="D83" s="28" t="s">
        <v>75</v>
      </c>
      <c r="E83" s="29" t="n">
        <v>6</v>
      </c>
      <c r="F83" s="30" t="n">
        <v>15500</v>
      </c>
      <c r="G83" s="30" t="n">
        <v>93000</v>
      </c>
    </row>
    <row r="84" customFormat="false" ht="15" hidden="false" customHeight="false" outlineLevel="0" collapsed="false">
      <c r="A84" s="37" t="n">
        <v>45906</v>
      </c>
      <c r="B84" s="38" t="s">
        <v>52</v>
      </c>
      <c r="C84" s="38" t="s">
        <v>76</v>
      </c>
      <c r="D84" s="38" t="s">
        <v>60</v>
      </c>
      <c r="E84" s="39" t="n">
        <v>2</v>
      </c>
      <c r="F84" s="40" t="n">
        <v>24700</v>
      </c>
      <c r="G84" s="40" t="n">
        <v>49400</v>
      </c>
    </row>
    <row r="85" customFormat="false" ht="15" hidden="false" customHeight="false" outlineLevel="0" collapsed="false">
      <c r="A85" s="27" t="n">
        <v>45906</v>
      </c>
      <c r="B85" s="28" t="s">
        <v>63</v>
      </c>
      <c r="C85" s="28" t="s">
        <v>47</v>
      </c>
      <c r="D85" s="28" t="s">
        <v>65</v>
      </c>
      <c r="E85" s="29" t="n">
        <v>32</v>
      </c>
      <c r="F85" s="30" t="n">
        <v>8900</v>
      </c>
      <c r="G85" s="30" t="n">
        <v>284800</v>
      </c>
    </row>
    <row r="86" customFormat="false" ht="15" hidden="false" customHeight="false" outlineLevel="0" collapsed="false">
      <c r="A86" s="37" t="n">
        <v>45907</v>
      </c>
      <c r="B86" s="38" t="s">
        <v>78</v>
      </c>
      <c r="C86" s="38" t="s">
        <v>74</v>
      </c>
      <c r="D86" s="38" t="s">
        <v>65</v>
      </c>
      <c r="E86" s="39" t="n">
        <v>12</v>
      </c>
      <c r="F86" s="40" t="n">
        <v>68600</v>
      </c>
      <c r="G86" s="40" t="n">
        <v>823200</v>
      </c>
    </row>
    <row r="87" customFormat="false" ht="15" hidden="false" customHeight="false" outlineLevel="0" collapsed="false">
      <c r="A87" s="27" t="n">
        <v>45907</v>
      </c>
      <c r="B87" s="28" t="s">
        <v>73</v>
      </c>
      <c r="C87" s="28" t="s">
        <v>53</v>
      </c>
      <c r="D87" s="28" t="s">
        <v>80</v>
      </c>
      <c r="E87" s="29" t="n">
        <v>35</v>
      </c>
      <c r="F87" s="30" t="n">
        <v>15600</v>
      </c>
      <c r="G87" s="30" t="n">
        <v>546000</v>
      </c>
    </row>
    <row r="88" customFormat="false" ht="15" hidden="false" customHeight="false" outlineLevel="0" collapsed="false">
      <c r="A88" s="37" t="n">
        <v>45908</v>
      </c>
      <c r="B88" s="38" t="s">
        <v>73</v>
      </c>
      <c r="C88" s="38" t="s">
        <v>74</v>
      </c>
      <c r="D88" s="38" t="s">
        <v>65</v>
      </c>
      <c r="E88" s="39" t="n">
        <v>9</v>
      </c>
      <c r="F88" s="40" t="n">
        <v>69300</v>
      </c>
      <c r="G88" s="40" t="n">
        <v>623700</v>
      </c>
    </row>
    <row r="89" customFormat="false" ht="15" hidden="false" customHeight="false" outlineLevel="0" collapsed="false">
      <c r="A89" s="27" t="n">
        <v>45908</v>
      </c>
      <c r="B89" s="28" t="s">
        <v>73</v>
      </c>
      <c r="C89" s="28" t="s">
        <v>57</v>
      </c>
      <c r="D89" s="28" t="s">
        <v>79</v>
      </c>
      <c r="E89" s="29" t="n">
        <v>35</v>
      </c>
      <c r="F89" s="30" t="n">
        <v>5800</v>
      </c>
      <c r="G89" s="30" t="n">
        <v>203000</v>
      </c>
    </row>
    <row r="90" customFormat="false" ht="15" hidden="false" customHeight="false" outlineLevel="0" collapsed="false">
      <c r="A90" s="37" t="n">
        <v>45910</v>
      </c>
      <c r="B90" s="38" t="s">
        <v>46</v>
      </c>
      <c r="C90" s="38" t="s">
        <v>74</v>
      </c>
      <c r="D90" s="38" t="s">
        <v>60</v>
      </c>
      <c r="E90" s="39" t="n">
        <v>11</v>
      </c>
      <c r="F90" s="40" t="n">
        <v>64300</v>
      </c>
      <c r="G90" s="40" t="n">
        <v>707300</v>
      </c>
    </row>
    <row r="91" customFormat="false" ht="15" hidden="false" customHeight="false" outlineLevel="0" collapsed="false">
      <c r="A91" s="27" t="n">
        <v>45911</v>
      </c>
      <c r="B91" s="28" t="s">
        <v>78</v>
      </c>
      <c r="C91" s="28" t="s">
        <v>53</v>
      </c>
      <c r="D91" s="28" t="s">
        <v>75</v>
      </c>
      <c r="E91" s="29" t="n">
        <v>38</v>
      </c>
      <c r="F91" s="30" t="n">
        <v>14700</v>
      </c>
      <c r="G91" s="30" t="n">
        <v>558600</v>
      </c>
    </row>
    <row r="92" customFormat="false" ht="15" hidden="false" customHeight="false" outlineLevel="0" collapsed="false">
      <c r="A92" s="37" t="n">
        <v>45913</v>
      </c>
      <c r="B92" s="38" t="s">
        <v>63</v>
      </c>
      <c r="C92" s="38" t="s">
        <v>74</v>
      </c>
      <c r="D92" s="38" t="s">
        <v>60</v>
      </c>
      <c r="E92" s="39" t="n">
        <v>10</v>
      </c>
      <c r="F92" s="40" t="n">
        <v>56600</v>
      </c>
      <c r="G92" s="40" t="n">
        <v>566000</v>
      </c>
    </row>
    <row r="93" customFormat="false" ht="15" hidden="false" customHeight="false" outlineLevel="0" collapsed="false">
      <c r="A93" s="27" t="n">
        <v>45915</v>
      </c>
      <c r="B93" s="28" t="s">
        <v>63</v>
      </c>
      <c r="C93" s="28" t="s">
        <v>74</v>
      </c>
      <c r="D93" s="28" t="s">
        <v>77</v>
      </c>
      <c r="E93" s="29" t="n">
        <v>15</v>
      </c>
      <c r="F93" s="30" t="n">
        <v>59500</v>
      </c>
      <c r="G93" s="30" t="n">
        <v>892500</v>
      </c>
    </row>
    <row r="94" customFormat="false" ht="15" hidden="false" customHeight="false" outlineLevel="0" collapsed="false">
      <c r="A94" s="37" t="n">
        <v>45917</v>
      </c>
      <c r="B94" s="38" t="s">
        <v>52</v>
      </c>
      <c r="C94" s="38" t="s">
        <v>64</v>
      </c>
      <c r="D94" s="38" t="s">
        <v>81</v>
      </c>
      <c r="E94" s="39" t="n">
        <v>25</v>
      </c>
      <c r="F94" s="40" t="n">
        <v>162700</v>
      </c>
      <c r="G94" s="40" t="n">
        <v>4067500</v>
      </c>
    </row>
    <row r="95" customFormat="false" ht="15" hidden="false" customHeight="false" outlineLevel="0" collapsed="false">
      <c r="A95" s="27" t="n">
        <v>45917</v>
      </c>
      <c r="B95" s="28" t="s">
        <v>63</v>
      </c>
      <c r="C95" s="28" t="s">
        <v>53</v>
      </c>
      <c r="D95" s="28" t="s">
        <v>81</v>
      </c>
      <c r="E95" s="29" t="n">
        <v>19</v>
      </c>
      <c r="F95" s="30" t="n">
        <v>14700</v>
      </c>
      <c r="G95" s="30" t="n">
        <v>279300</v>
      </c>
    </row>
    <row r="96" customFormat="false" ht="15" hidden="false" customHeight="false" outlineLevel="0" collapsed="false">
      <c r="A96" s="37" t="n">
        <v>45918</v>
      </c>
      <c r="B96" s="38" t="s">
        <v>46</v>
      </c>
      <c r="C96" s="38" t="s">
        <v>64</v>
      </c>
      <c r="D96" s="38" t="s">
        <v>48</v>
      </c>
      <c r="E96" s="39" t="n">
        <v>3</v>
      </c>
      <c r="F96" s="40" t="n">
        <v>145500</v>
      </c>
      <c r="G96" s="40" t="n">
        <v>436500</v>
      </c>
    </row>
    <row r="97" customFormat="false" ht="15" hidden="false" customHeight="false" outlineLevel="0" collapsed="false">
      <c r="A97" s="27" t="n">
        <v>45919</v>
      </c>
      <c r="B97" s="28" t="s">
        <v>63</v>
      </c>
      <c r="C97" s="28" t="s">
        <v>57</v>
      </c>
      <c r="D97" s="28" t="s">
        <v>81</v>
      </c>
      <c r="E97" s="29" t="n">
        <v>33</v>
      </c>
      <c r="F97" s="30" t="n">
        <v>4900</v>
      </c>
      <c r="G97" s="30" t="n">
        <v>161700</v>
      </c>
    </row>
    <row r="98" customFormat="false" ht="15" hidden="false" customHeight="false" outlineLevel="0" collapsed="false">
      <c r="A98" s="37" t="n">
        <v>45922</v>
      </c>
      <c r="B98" s="38" t="s">
        <v>52</v>
      </c>
      <c r="C98" s="38" t="s">
        <v>74</v>
      </c>
      <c r="D98" s="38" t="s">
        <v>80</v>
      </c>
      <c r="E98" s="39" t="n">
        <v>19</v>
      </c>
      <c r="F98" s="40" t="n">
        <v>59400</v>
      </c>
      <c r="G98" s="40" t="n">
        <v>1128600</v>
      </c>
    </row>
    <row r="99" customFormat="false" ht="15" hidden="false" customHeight="false" outlineLevel="0" collapsed="false">
      <c r="A99" s="27" t="n">
        <v>45924</v>
      </c>
      <c r="B99" s="28" t="s">
        <v>46</v>
      </c>
      <c r="C99" s="28" t="s">
        <v>74</v>
      </c>
      <c r="D99" s="28" t="s">
        <v>60</v>
      </c>
      <c r="E99" s="29" t="n">
        <v>18</v>
      </c>
      <c r="F99" s="30" t="n">
        <v>63100</v>
      </c>
      <c r="G99" s="30" t="n">
        <v>1135800</v>
      </c>
    </row>
    <row r="100" customFormat="false" ht="15" hidden="false" customHeight="false" outlineLevel="0" collapsed="false">
      <c r="A100" s="37" t="n">
        <v>45927</v>
      </c>
      <c r="B100" s="38" t="s">
        <v>78</v>
      </c>
      <c r="C100" s="38" t="s">
        <v>57</v>
      </c>
      <c r="D100" s="38" t="s">
        <v>79</v>
      </c>
      <c r="E100" s="39" t="n">
        <v>12</v>
      </c>
      <c r="F100" s="40" t="n">
        <v>5300</v>
      </c>
      <c r="G100" s="40" t="n">
        <v>63600</v>
      </c>
    </row>
    <row r="101" customFormat="false" ht="15" hidden="false" customHeight="false" outlineLevel="0" collapsed="false">
      <c r="A101" s="27" t="n">
        <v>45928</v>
      </c>
      <c r="B101" s="28" t="s">
        <v>73</v>
      </c>
      <c r="C101" s="28" t="s">
        <v>76</v>
      </c>
      <c r="D101" s="28" t="s">
        <v>60</v>
      </c>
      <c r="E101" s="29" t="n">
        <v>16</v>
      </c>
      <c r="F101" s="30" t="n">
        <v>23000</v>
      </c>
      <c r="G101" s="30" t="n">
        <v>368000</v>
      </c>
    </row>
    <row r="102" customFormat="false" ht="15" hidden="false" customHeight="false" outlineLevel="0" collapsed="false">
      <c r="A102" s="37" t="n">
        <v>45930</v>
      </c>
      <c r="B102" s="38" t="s">
        <v>78</v>
      </c>
      <c r="C102" s="38" t="s">
        <v>57</v>
      </c>
      <c r="D102" s="38" t="s">
        <v>54</v>
      </c>
      <c r="E102" s="39" t="n">
        <v>4</v>
      </c>
      <c r="F102" s="40" t="n">
        <v>5700</v>
      </c>
      <c r="G102" s="40" t="n">
        <v>22800</v>
      </c>
    </row>
    <row r="103" customFormat="false" ht="15" hidden="false" customHeight="false" outlineLevel="0" collapsed="false">
      <c r="A103" s="27" t="n">
        <v>45934</v>
      </c>
      <c r="B103" s="28" t="s">
        <v>78</v>
      </c>
      <c r="C103" s="28" t="s">
        <v>57</v>
      </c>
      <c r="D103" s="28" t="s">
        <v>70</v>
      </c>
      <c r="E103" s="29" t="n">
        <v>16</v>
      </c>
      <c r="F103" s="30" t="n">
        <v>5500</v>
      </c>
      <c r="G103" s="30" t="n">
        <v>88000</v>
      </c>
    </row>
    <row r="104" customFormat="false" ht="15" hidden="false" customHeight="false" outlineLevel="0" collapsed="false">
      <c r="A104" s="37" t="n">
        <v>45934</v>
      </c>
      <c r="B104" s="38" t="s">
        <v>63</v>
      </c>
      <c r="C104" s="38" t="s">
        <v>64</v>
      </c>
      <c r="D104" s="38" t="s">
        <v>48</v>
      </c>
      <c r="E104" s="39" t="n">
        <v>19</v>
      </c>
      <c r="F104" s="40" t="n">
        <v>160900</v>
      </c>
      <c r="G104" s="40" t="n">
        <v>3057100</v>
      </c>
    </row>
    <row r="105" customFormat="false" ht="15" hidden="false" customHeight="false" outlineLevel="0" collapsed="false">
      <c r="A105" s="27" t="n">
        <v>45935</v>
      </c>
      <c r="B105" s="28" t="s">
        <v>46</v>
      </c>
      <c r="C105" s="28" t="s">
        <v>47</v>
      </c>
      <c r="D105" s="28" t="s">
        <v>48</v>
      </c>
      <c r="E105" s="29" t="n">
        <v>27</v>
      </c>
      <c r="F105" s="30" t="n">
        <v>10600</v>
      </c>
      <c r="G105" s="30" t="n">
        <v>286200</v>
      </c>
    </row>
    <row r="106" customFormat="false" ht="15" hidden="false" customHeight="false" outlineLevel="0" collapsed="false">
      <c r="A106" s="37" t="n">
        <v>45935</v>
      </c>
      <c r="B106" s="38" t="s">
        <v>78</v>
      </c>
      <c r="C106" s="38" t="s">
        <v>64</v>
      </c>
      <c r="D106" s="38" t="s">
        <v>81</v>
      </c>
      <c r="E106" s="39" t="n">
        <v>36</v>
      </c>
      <c r="F106" s="40" t="n">
        <v>156900</v>
      </c>
      <c r="G106" s="40" t="n">
        <v>5648400</v>
      </c>
    </row>
    <row r="107" customFormat="false" ht="15" hidden="false" customHeight="false" outlineLevel="0" collapsed="false">
      <c r="A107" s="27" t="n">
        <v>45938</v>
      </c>
      <c r="B107" s="28" t="s">
        <v>63</v>
      </c>
      <c r="C107" s="28" t="s">
        <v>74</v>
      </c>
      <c r="D107" s="28" t="s">
        <v>81</v>
      </c>
      <c r="E107" s="29" t="n">
        <v>24</v>
      </c>
      <c r="F107" s="30" t="n">
        <v>70200</v>
      </c>
      <c r="G107" s="30" t="n">
        <v>1684800</v>
      </c>
    </row>
    <row r="108" customFormat="false" ht="15" hidden="false" customHeight="false" outlineLevel="0" collapsed="false">
      <c r="A108" s="37" t="n">
        <v>45941</v>
      </c>
      <c r="B108" s="38" t="s">
        <v>78</v>
      </c>
      <c r="C108" s="38" t="s">
        <v>53</v>
      </c>
      <c r="D108" s="38" t="s">
        <v>70</v>
      </c>
      <c r="E108" s="39" t="n">
        <v>24</v>
      </c>
      <c r="F108" s="40" t="n">
        <v>13800</v>
      </c>
      <c r="G108" s="40" t="n">
        <v>331200</v>
      </c>
    </row>
    <row r="109" customFormat="false" ht="15" hidden="false" customHeight="false" outlineLevel="0" collapsed="false">
      <c r="A109" s="27" t="n">
        <v>45944</v>
      </c>
      <c r="B109" s="28" t="s">
        <v>63</v>
      </c>
      <c r="C109" s="28" t="s">
        <v>76</v>
      </c>
      <c r="D109" s="28" t="s">
        <v>70</v>
      </c>
      <c r="E109" s="29" t="n">
        <v>17</v>
      </c>
      <c r="F109" s="30" t="n">
        <v>22000</v>
      </c>
      <c r="G109" s="30" t="n">
        <v>374000</v>
      </c>
    </row>
    <row r="110" customFormat="false" ht="15" hidden="false" customHeight="false" outlineLevel="0" collapsed="false">
      <c r="A110" s="37" t="n">
        <v>45946</v>
      </c>
      <c r="B110" s="38" t="s">
        <v>52</v>
      </c>
      <c r="C110" s="38" t="s">
        <v>53</v>
      </c>
      <c r="D110" s="38" t="s">
        <v>54</v>
      </c>
      <c r="E110" s="39" t="n">
        <v>37</v>
      </c>
      <c r="F110" s="40" t="n">
        <v>14700</v>
      </c>
      <c r="G110" s="40" t="n">
        <v>543900</v>
      </c>
    </row>
    <row r="111" customFormat="false" ht="15" hidden="false" customHeight="false" outlineLevel="0" collapsed="false">
      <c r="A111" s="27" t="n">
        <v>45958</v>
      </c>
      <c r="B111" s="28" t="s">
        <v>63</v>
      </c>
      <c r="C111" s="28" t="s">
        <v>76</v>
      </c>
      <c r="D111" s="28" t="s">
        <v>75</v>
      </c>
      <c r="E111" s="29" t="n">
        <v>16</v>
      </c>
      <c r="F111" s="30" t="n">
        <v>24600</v>
      </c>
      <c r="G111" s="30" t="n">
        <v>393600</v>
      </c>
    </row>
    <row r="112" customFormat="false" ht="15" hidden="false" customHeight="false" outlineLevel="0" collapsed="false">
      <c r="A112" s="37" t="n">
        <v>45959</v>
      </c>
      <c r="B112" s="38" t="s">
        <v>63</v>
      </c>
      <c r="C112" s="38" t="s">
        <v>57</v>
      </c>
      <c r="D112" s="38" t="s">
        <v>80</v>
      </c>
      <c r="E112" s="39" t="n">
        <v>2</v>
      </c>
      <c r="F112" s="40" t="n">
        <v>5700</v>
      </c>
      <c r="G112" s="40" t="n">
        <v>11400</v>
      </c>
    </row>
    <row r="113" customFormat="false" ht="15" hidden="false" customHeight="false" outlineLevel="0" collapsed="false">
      <c r="A113" s="27" t="n">
        <v>45961</v>
      </c>
      <c r="B113" s="28" t="s">
        <v>46</v>
      </c>
      <c r="C113" s="28" t="s">
        <v>53</v>
      </c>
      <c r="D113" s="28" t="s">
        <v>79</v>
      </c>
      <c r="E113" s="29" t="n">
        <v>3</v>
      </c>
      <c r="F113" s="30" t="n">
        <v>14000</v>
      </c>
      <c r="G113" s="30" t="n">
        <v>42000</v>
      </c>
    </row>
    <row r="114" customFormat="false" ht="15" hidden="false" customHeight="false" outlineLevel="0" collapsed="false">
      <c r="A114" s="37" t="n">
        <v>45967</v>
      </c>
      <c r="B114" s="38" t="s">
        <v>46</v>
      </c>
      <c r="C114" s="38" t="s">
        <v>74</v>
      </c>
      <c r="D114" s="38" t="s">
        <v>80</v>
      </c>
      <c r="E114" s="39" t="n">
        <v>27</v>
      </c>
      <c r="F114" s="40" t="n">
        <v>56800</v>
      </c>
      <c r="G114" s="40" t="n">
        <v>1533600</v>
      </c>
    </row>
    <row r="115" customFormat="false" ht="15" hidden="false" customHeight="false" outlineLevel="0" collapsed="false">
      <c r="A115" s="27" t="n">
        <v>45968</v>
      </c>
      <c r="B115" s="28" t="s">
        <v>46</v>
      </c>
      <c r="C115" s="28" t="s">
        <v>76</v>
      </c>
      <c r="D115" s="28" t="s">
        <v>81</v>
      </c>
      <c r="E115" s="29" t="n">
        <v>3</v>
      </c>
      <c r="F115" s="30" t="n">
        <v>26800</v>
      </c>
      <c r="G115" s="30" t="n">
        <v>80400</v>
      </c>
    </row>
    <row r="116" customFormat="false" ht="15" hidden="false" customHeight="false" outlineLevel="0" collapsed="false">
      <c r="A116" s="37" t="n">
        <v>45969</v>
      </c>
      <c r="B116" s="38" t="s">
        <v>46</v>
      </c>
      <c r="C116" s="38" t="s">
        <v>57</v>
      </c>
      <c r="D116" s="38" t="s">
        <v>54</v>
      </c>
      <c r="E116" s="39" t="n">
        <v>8</v>
      </c>
      <c r="F116" s="40" t="n">
        <v>6000</v>
      </c>
      <c r="G116" s="40" t="n">
        <v>48000</v>
      </c>
    </row>
    <row r="117" customFormat="false" ht="15" hidden="false" customHeight="false" outlineLevel="0" collapsed="false">
      <c r="A117" s="27" t="n">
        <v>45977</v>
      </c>
      <c r="B117" s="28" t="s">
        <v>78</v>
      </c>
      <c r="C117" s="28" t="s">
        <v>53</v>
      </c>
      <c r="D117" s="28" t="s">
        <v>60</v>
      </c>
      <c r="E117" s="29" t="n">
        <v>19</v>
      </c>
      <c r="F117" s="30" t="n">
        <v>15000</v>
      </c>
      <c r="G117" s="30" t="n">
        <v>285000</v>
      </c>
    </row>
    <row r="118" customFormat="false" ht="15" hidden="false" customHeight="false" outlineLevel="0" collapsed="false">
      <c r="A118" s="37" t="n">
        <v>45980</v>
      </c>
      <c r="B118" s="38" t="s">
        <v>78</v>
      </c>
      <c r="C118" s="38" t="s">
        <v>57</v>
      </c>
      <c r="D118" s="38" t="s">
        <v>54</v>
      </c>
      <c r="E118" s="39" t="n">
        <v>11</v>
      </c>
      <c r="F118" s="40" t="n">
        <v>5700</v>
      </c>
      <c r="G118" s="40" t="n">
        <v>62700</v>
      </c>
    </row>
    <row r="119" customFormat="false" ht="15" hidden="false" customHeight="false" outlineLevel="0" collapsed="false">
      <c r="A119" s="27" t="n">
        <v>45983</v>
      </c>
      <c r="B119" s="28" t="s">
        <v>46</v>
      </c>
      <c r="C119" s="28" t="s">
        <v>74</v>
      </c>
      <c r="D119" s="28" t="s">
        <v>79</v>
      </c>
      <c r="E119" s="29" t="n">
        <v>19</v>
      </c>
      <c r="F119" s="30" t="n">
        <v>60200</v>
      </c>
      <c r="G119" s="30" t="n">
        <v>1143800</v>
      </c>
    </row>
    <row r="120" customFormat="false" ht="15" hidden="false" customHeight="false" outlineLevel="0" collapsed="false">
      <c r="A120" s="37" t="n">
        <v>45984</v>
      </c>
      <c r="B120" s="38" t="s">
        <v>73</v>
      </c>
      <c r="C120" s="38" t="s">
        <v>53</v>
      </c>
      <c r="D120" s="38" t="s">
        <v>54</v>
      </c>
      <c r="E120" s="39" t="n">
        <v>37</v>
      </c>
      <c r="F120" s="40" t="n">
        <v>13500</v>
      </c>
      <c r="G120" s="40" t="n">
        <v>499500</v>
      </c>
    </row>
    <row r="121" customFormat="false" ht="15" hidden="false" customHeight="false" outlineLevel="0" collapsed="false">
      <c r="A121" s="27" t="n">
        <v>45990</v>
      </c>
      <c r="B121" s="28" t="s">
        <v>52</v>
      </c>
      <c r="C121" s="28" t="s">
        <v>53</v>
      </c>
      <c r="D121" s="28" t="s">
        <v>81</v>
      </c>
      <c r="E121" s="29" t="n">
        <v>12</v>
      </c>
      <c r="F121" s="30" t="n">
        <v>16300</v>
      </c>
      <c r="G121" s="30" t="n">
        <v>195600</v>
      </c>
    </row>
    <row r="122" customFormat="false" ht="15" hidden="false" customHeight="false" outlineLevel="0" collapsed="false">
      <c r="A122" s="37" t="n">
        <v>45992</v>
      </c>
      <c r="B122" s="38" t="s">
        <v>78</v>
      </c>
      <c r="C122" s="38" t="s">
        <v>47</v>
      </c>
      <c r="D122" s="38" t="s">
        <v>65</v>
      </c>
      <c r="E122" s="39" t="n">
        <v>5</v>
      </c>
      <c r="F122" s="40" t="n">
        <v>9000</v>
      </c>
      <c r="G122" s="40" t="n">
        <v>45000</v>
      </c>
    </row>
    <row r="123" customFormat="false" ht="15" hidden="false" customHeight="false" outlineLevel="0" collapsed="false">
      <c r="A123" s="27" t="n">
        <v>45993</v>
      </c>
      <c r="B123" s="28" t="s">
        <v>46</v>
      </c>
      <c r="C123" s="28" t="s">
        <v>64</v>
      </c>
      <c r="D123" s="28" t="s">
        <v>77</v>
      </c>
      <c r="E123" s="29" t="n">
        <v>16</v>
      </c>
      <c r="F123" s="30" t="n">
        <v>153900</v>
      </c>
      <c r="G123" s="30" t="n">
        <v>2462400</v>
      </c>
    </row>
    <row r="124" customFormat="false" ht="15" hidden="false" customHeight="false" outlineLevel="0" collapsed="false">
      <c r="A124" s="37" t="n">
        <v>45994</v>
      </c>
      <c r="B124" s="38" t="s">
        <v>63</v>
      </c>
      <c r="C124" s="38" t="s">
        <v>57</v>
      </c>
      <c r="D124" s="38" t="s">
        <v>65</v>
      </c>
      <c r="E124" s="39" t="n">
        <v>17</v>
      </c>
      <c r="F124" s="40" t="n">
        <v>5700</v>
      </c>
      <c r="G124" s="40" t="n">
        <v>96900</v>
      </c>
    </row>
    <row r="125" customFormat="false" ht="15" hidden="false" customHeight="false" outlineLevel="0" collapsed="false">
      <c r="A125" s="27" t="n">
        <v>45994</v>
      </c>
      <c r="B125" s="28" t="s">
        <v>46</v>
      </c>
      <c r="C125" s="28" t="s">
        <v>76</v>
      </c>
      <c r="D125" s="28" t="s">
        <v>65</v>
      </c>
      <c r="E125" s="29" t="n">
        <v>33</v>
      </c>
      <c r="F125" s="30" t="n">
        <v>25100</v>
      </c>
      <c r="G125" s="30" t="n">
        <v>828300</v>
      </c>
    </row>
    <row r="126" customFormat="false" ht="15" hidden="false" customHeight="false" outlineLevel="0" collapsed="false">
      <c r="A126" s="37" t="n">
        <v>45996</v>
      </c>
      <c r="B126" s="38" t="s">
        <v>78</v>
      </c>
      <c r="C126" s="38" t="s">
        <v>53</v>
      </c>
      <c r="D126" s="38" t="s">
        <v>65</v>
      </c>
      <c r="E126" s="39" t="n">
        <v>10</v>
      </c>
      <c r="F126" s="40" t="n">
        <v>13500</v>
      </c>
      <c r="G126" s="40" t="n">
        <v>135000</v>
      </c>
    </row>
    <row r="127" customFormat="false" ht="15" hidden="false" customHeight="false" outlineLevel="0" collapsed="false">
      <c r="A127" s="27" t="n">
        <v>45998</v>
      </c>
      <c r="B127" s="28" t="s">
        <v>78</v>
      </c>
      <c r="C127" s="28" t="s">
        <v>47</v>
      </c>
      <c r="D127" s="28" t="s">
        <v>60</v>
      </c>
      <c r="E127" s="29" t="n">
        <v>37</v>
      </c>
      <c r="F127" s="30" t="n">
        <v>10200</v>
      </c>
      <c r="G127" s="30" t="n">
        <v>377400</v>
      </c>
    </row>
    <row r="128" customFormat="false" ht="15" hidden="false" customHeight="false" outlineLevel="0" collapsed="false">
      <c r="A128" s="37" t="n">
        <v>45999</v>
      </c>
      <c r="B128" s="38" t="s">
        <v>52</v>
      </c>
      <c r="C128" s="38" t="s">
        <v>76</v>
      </c>
      <c r="D128" s="38" t="s">
        <v>54</v>
      </c>
      <c r="E128" s="39" t="n">
        <v>31</v>
      </c>
      <c r="F128" s="40" t="n">
        <v>26900</v>
      </c>
      <c r="G128" s="40" t="n">
        <v>833900</v>
      </c>
    </row>
    <row r="129" customFormat="false" ht="15" hidden="false" customHeight="false" outlineLevel="0" collapsed="false">
      <c r="A129" s="27" t="n">
        <v>46001</v>
      </c>
      <c r="B129" s="28" t="s">
        <v>63</v>
      </c>
      <c r="C129" s="28" t="s">
        <v>76</v>
      </c>
      <c r="D129" s="28" t="s">
        <v>70</v>
      </c>
      <c r="E129" s="29" t="n">
        <v>25</v>
      </c>
      <c r="F129" s="30" t="n">
        <v>26100</v>
      </c>
      <c r="G129" s="30" t="n">
        <v>652500</v>
      </c>
    </row>
    <row r="130" customFormat="false" ht="15" hidden="false" customHeight="false" outlineLevel="0" collapsed="false">
      <c r="A130" s="37" t="n">
        <v>46006</v>
      </c>
      <c r="B130" s="38" t="s">
        <v>78</v>
      </c>
      <c r="C130" s="38" t="s">
        <v>53</v>
      </c>
      <c r="D130" s="38" t="s">
        <v>75</v>
      </c>
      <c r="E130" s="39" t="n">
        <v>18</v>
      </c>
      <c r="F130" s="40" t="n">
        <v>15900</v>
      </c>
      <c r="G130" s="40" t="n">
        <v>286200</v>
      </c>
    </row>
    <row r="131" customFormat="false" ht="15" hidden="false" customHeight="false" outlineLevel="0" collapsed="false">
      <c r="A131" s="27" t="n">
        <v>46006</v>
      </c>
      <c r="B131" s="28" t="s">
        <v>78</v>
      </c>
      <c r="C131" s="28" t="s">
        <v>57</v>
      </c>
      <c r="D131" s="28" t="s">
        <v>81</v>
      </c>
      <c r="E131" s="29" t="n">
        <v>12</v>
      </c>
      <c r="F131" s="30" t="n">
        <v>5200</v>
      </c>
      <c r="G131" s="30" t="n">
        <v>62400</v>
      </c>
    </row>
    <row r="132" customFormat="false" ht="15" hidden="false" customHeight="false" outlineLevel="0" collapsed="false">
      <c r="A132" s="37" t="n">
        <v>46007</v>
      </c>
      <c r="B132" s="38" t="s">
        <v>63</v>
      </c>
      <c r="C132" s="38" t="s">
        <v>53</v>
      </c>
      <c r="D132" s="38" t="s">
        <v>70</v>
      </c>
      <c r="E132" s="39" t="n">
        <v>1</v>
      </c>
      <c r="F132" s="40" t="n">
        <v>16400</v>
      </c>
      <c r="G132" s="40" t="n">
        <v>16400</v>
      </c>
    </row>
    <row r="133" customFormat="false" ht="15" hidden="false" customHeight="false" outlineLevel="0" collapsed="false">
      <c r="A133" s="27" t="n">
        <v>46009</v>
      </c>
      <c r="B133" s="28" t="s">
        <v>73</v>
      </c>
      <c r="C133" s="28" t="s">
        <v>53</v>
      </c>
      <c r="D133" s="28" t="s">
        <v>70</v>
      </c>
      <c r="E133" s="29" t="n">
        <v>8</v>
      </c>
      <c r="F133" s="30" t="n">
        <v>13500</v>
      </c>
      <c r="G133" s="30" t="n">
        <v>108000</v>
      </c>
    </row>
    <row r="134" customFormat="false" ht="15" hidden="false" customHeight="false" outlineLevel="0" collapsed="false">
      <c r="A134" s="37" t="n">
        <v>46010</v>
      </c>
      <c r="B134" s="38" t="s">
        <v>52</v>
      </c>
      <c r="C134" s="38" t="s">
        <v>74</v>
      </c>
      <c r="D134" s="38" t="s">
        <v>77</v>
      </c>
      <c r="E134" s="39" t="n">
        <v>6</v>
      </c>
      <c r="F134" s="40" t="n">
        <v>57100</v>
      </c>
      <c r="G134" s="40" t="n">
        <v>342600</v>
      </c>
    </row>
    <row r="135" customFormat="false" ht="15" hidden="false" customHeight="false" outlineLevel="0" collapsed="false">
      <c r="A135" s="27" t="n">
        <v>46012</v>
      </c>
      <c r="B135" s="28" t="s">
        <v>63</v>
      </c>
      <c r="C135" s="28" t="s">
        <v>64</v>
      </c>
      <c r="D135" s="28" t="s">
        <v>48</v>
      </c>
      <c r="E135" s="29" t="n">
        <v>3</v>
      </c>
      <c r="F135" s="30" t="n">
        <v>146200</v>
      </c>
      <c r="G135" s="30" t="n">
        <v>438600</v>
      </c>
    </row>
    <row r="136" customFormat="false" ht="15" hidden="false" customHeight="false" outlineLevel="0" collapsed="false">
      <c r="A136" s="37" t="n">
        <v>46013</v>
      </c>
      <c r="B136" s="38" t="s">
        <v>73</v>
      </c>
      <c r="C136" s="38" t="s">
        <v>57</v>
      </c>
      <c r="D136" s="38" t="s">
        <v>77</v>
      </c>
      <c r="E136" s="39" t="n">
        <v>31</v>
      </c>
      <c r="F136" s="40" t="n">
        <v>4800</v>
      </c>
      <c r="G136" s="40" t="n">
        <v>148800</v>
      </c>
    </row>
    <row r="137" customFormat="false" ht="15" hidden="false" customHeight="false" outlineLevel="0" collapsed="false">
      <c r="A137" s="27" t="n">
        <v>46015</v>
      </c>
      <c r="B137" s="28" t="s">
        <v>63</v>
      </c>
      <c r="C137" s="28" t="s">
        <v>64</v>
      </c>
      <c r="D137" s="28" t="s">
        <v>77</v>
      </c>
      <c r="E137" s="29" t="n">
        <v>33</v>
      </c>
      <c r="F137" s="30" t="n">
        <v>153800</v>
      </c>
      <c r="G137" s="30" t="n">
        <v>5075400</v>
      </c>
    </row>
    <row r="138" customFormat="false" ht="15" hidden="false" customHeight="false" outlineLevel="0" collapsed="false">
      <c r="A138" s="37" t="n">
        <v>46015</v>
      </c>
      <c r="B138" s="38" t="s">
        <v>46</v>
      </c>
      <c r="C138" s="38" t="s">
        <v>53</v>
      </c>
      <c r="D138" s="38" t="s">
        <v>77</v>
      </c>
      <c r="E138" s="39" t="n">
        <v>31</v>
      </c>
      <c r="F138" s="40" t="n">
        <v>15900</v>
      </c>
      <c r="G138" s="40" t="n">
        <v>492900</v>
      </c>
    </row>
    <row r="139" customFormat="false" ht="15" hidden="false" customHeight="false" outlineLevel="0" collapsed="false">
      <c r="A139" s="27" t="n">
        <v>46016</v>
      </c>
      <c r="B139" s="28" t="s">
        <v>46</v>
      </c>
      <c r="C139" s="28" t="s">
        <v>47</v>
      </c>
      <c r="D139" s="28" t="s">
        <v>70</v>
      </c>
      <c r="E139" s="29" t="n">
        <v>13</v>
      </c>
      <c r="F139" s="30" t="n">
        <v>8900</v>
      </c>
      <c r="G139" s="30" t="n">
        <v>115700</v>
      </c>
    </row>
    <row r="140" customFormat="false" ht="15" hidden="false" customHeight="false" outlineLevel="0" collapsed="false">
      <c r="A140" s="37" t="n">
        <v>46017</v>
      </c>
      <c r="B140" s="38" t="s">
        <v>73</v>
      </c>
      <c r="C140" s="38" t="s">
        <v>53</v>
      </c>
      <c r="D140" s="38" t="s">
        <v>75</v>
      </c>
      <c r="E140" s="39" t="n">
        <v>35</v>
      </c>
      <c r="F140" s="40" t="n">
        <v>16200</v>
      </c>
      <c r="G140" s="40" t="n">
        <v>567000</v>
      </c>
    </row>
    <row r="141" customFormat="false" ht="15" hidden="false" customHeight="false" outlineLevel="0" collapsed="false">
      <c r="A141" s="27" t="n">
        <v>46017</v>
      </c>
      <c r="B141" s="28" t="s">
        <v>73</v>
      </c>
      <c r="C141" s="28" t="s">
        <v>57</v>
      </c>
      <c r="D141" s="28" t="s">
        <v>81</v>
      </c>
      <c r="E141" s="29" t="n">
        <v>21</v>
      </c>
      <c r="F141" s="30" t="n">
        <v>5200</v>
      </c>
      <c r="G141" s="30" t="n">
        <v>109200</v>
      </c>
    </row>
    <row r="142" customFormat="false" ht="15" hidden="false" customHeight="false" outlineLevel="0" collapsed="false">
      <c r="A142" s="37" t="n">
        <v>46025</v>
      </c>
      <c r="B142" s="38" t="s">
        <v>52</v>
      </c>
      <c r="C142" s="38" t="s">
        <v>53</v>
      </c>
      <c r="D142" s="38" t="s">
        <v>77</v>
      </c>
      <c r="E142" s="39" t="n">
        <v>29</v>
      </c>
      <c r="F142" s="40" t="n">
        <v>15500</v>
      </c>
      <c r="G142" s="40" t="n">
        <v>449500</v>
      </c>
    </row>
    <row r="143" customFormat="false" ht="15" hidden="false" customHeight="false" outlineLevel="0" collapsed="false">
      <c r="A143" s="27" t="n">
        <v>46028</v>
      </c>
      <c r="B143" s="28" t="s">
        <v>63</v>
      </c>
      <c r="C143" s="28" t="s">
        <v>47</v>
      </c>
      <c r="D143" s="28" t="s">
        <v>77</v>
      </c>
      <c r="E143" s="29" t="n">
        <v>2</v>
      </c>
      <c r="F143" s="30" t="n">
        <v>8800</v>
      </c>
      <c r="G143" s="30" t="n">
        <v>17600</v>
      </c>
    </row>
    <row r="144" customFormat="false" ht="15" hidden="false" customHeight="false" outlineLevel="0" collapsed="false">
      <c r="A144" s="37" t="n">
        <v>46028</v>
      </c>
      <c r="B144" s="38" t="s">
        <v>46</v>
      </c>
      <c r="C144" s="38" t="s">
        <v>53</v>
      </c>
      <c r="D144" s="38" t="s">
        <v>81</v>
      </c>
      <c r="E144" s="39" t="n">
        <v>20</v>
      </c>
      <c r="F144" s="40" t="n">
        <v>15200</v>
      </c>
      <c r="G144" s="40" t="n">
        <v>304000</v>
      </c>
    </row>
    <row r="145" customFormat="false" ht="15" hidden="false" customHeight="false" outlineLevel="0" collapsed="false">
      <c r="A145" s="27" t="n">
        <v>46028</v>
      </c>
      <c r="B145" s="28" t="s">
        <v>63</v>
      </c>
      <c r="C145" s="28" t="s">
        <v>57</v>
      </c>
      <c r="D145" s="28" t="s">
        <v>77</v>
      </c>
      <c r="E145" s="29" t="n">
        <v>31</v>
      </c>
      <c r="F145" s="30" t="n">
        <v>5500</v>
      </c>
      <c r="G145" s="30" t="n">
        <v>170500</v>
      </c>
    </row>
    <row r="146" customFormat="false" ht="15" hidden="false" customHeight="false" outlineLevel="0" collapsed="false">
      <c r="A146" s="37" t="n">
        <v>46031</v>
      </c>
      <c r="B146" s="38" t="s">
        <v>73</v>
      </c>
      <c r="C146" s="38" t="s">
        <v>53</v>
      </c>
      <c r="D146" s="38" t="s">
        <v>81</v>
      </c>
      <c r="E146" s="39" t="n">
        <v>15</v>
      </c>
      <c r="F146" s="40" t="n">
        <v>13900</v>
      </c>
      <c r="G146" s="40" t="n">
        <v>208500</v>
      </c>
    </row>
    <row r="147" customFormat="false" ht="15" hidden="false" customHeight="false" outlineLevel="0" collapsed="false">
      <c r="A147" s="27" t="n">
        <v>46032</v>
      </c>
      <c r="B147" s="28" t="s">
        <v>78</v>
      </c>
      <c r="C147" s="28" t="s">
        <v>76</v>
      </c>
      <c r="D147" s="28" t="s">
        <v>48</v>
      </c>
      <c r="E147" s="29" t="n">
        <v>26</v>
      </c>
      <c r="F147" s="30" t="n">
        <v>23200</v>
      </c>
      <c r="G147" s="30" t="n">
        <v>603200</v>
      </c>
    </row>
    <row r="148" customFormat="false" ht="15" hidden="false" customHeight="false" outlineLevel="0" collapsed="false">
      <c r="A148" s="37" t="n">
        <v>46033</v>
      </c>
      <c r="B148" s="38" t="s">
        <v>78</v>
      </c>
      <c r="C148" s="38" t="s">
        <v>57</v>
      </c>
      <c r="D148" s="38" t="s">
        <v>65</v>
      </c>
      <c r="E148" s="39" t="n">
        <v>34</v>
      </c>
      <c r="F148" s="40" t="n">
        <v>5600</v>
      </c>
      <c r="G148" s="40" t="n">
        <v>190400</v>
      </c>
    </row>
    <row r="149" customFormat="false" ht="15" hidden="false" customHeight="false" outlineLevel="0" collapsed="false">
      <c r="A149" s="27" t="n">
        <v>46034</v>
      </c>
      <c r="B149" s="28" t="s">
        <v>52</v>
      </c>
      <c r="C149" s="28" t="s">
        <v>74</v>
      </c>
      <c r="D149" s="28" t="s">
        <v>54</v>
      </c>
      <c r="E149" s="29" t="n">
        <v>36</v>
      </c>
      <c r="F149" s="30" t="n">
        <v>57200</v>
      </c>
      <c r="G149" s="30" t="n">
        <v>2059200</v>
      </c>
    </row>
    <row r="150" customFormat="false" ht="15" hidden="false" customHeight="false" outlineLevel="0" collapsed="false">
      <c r="A150" s="37" t="n">
        <v>46034</v>
      </c>
      <c r="B150" s="38" t="s">
        <v>73</v>
      </c>
      <c r="C150" s="38" t="s">
        <v>74</v>
      </c>
      <c r="D150" s="38" t="s">
        <v>79</v>
      </c>
      <c r="E150" s="39" t="n">
        <v>8</v>
      </c>
      <c r="F150" s="40" t="n">
        <v>66300</v>
      </c>
      <c r="G150" s="40" t="n">
        <v>530400</v>
      </c>
    </row>
    <row r="151" customFormat="false" ht="15" hidden="false" customHeight="false" outlineLevel="0" collapsed="false">
      <c r="A151" s="27" t="n">
        <v>46034</v>
      </c>
      <c r="B151" s="28" t="s">
        <v>73</v>
      </c>
      <c r="C151" s="28" t="s">
        <v>76</v>
      </c>
      <c r="D151" s="28" t="s">
        <v>80</v>
      </c>
      <c r="E151" s="29" t="n">
        <v>23</v>
      </c>
      <c r="F151" s="30" t="n">
        <v>24600</v>
      </c>
      <c r="G151" s="30" t="n">
        <v>565800</v>
      </c>
    </row>
    <row r="152" customFormat="false" ht="15" hidden="false" customHeight="false" outlineLevel="0" collapsed="false">
      <c r="A152" s="37" t="n">
        <v>46036</v>
      </c>
      <c r="B152" s="38" t="s">
        <v>52</v>
      </c>
      <c r="C152" s="38" t="s">
        <v>74</v>
      </c>
      <c r="D152" s="38" t="s">
        <v>65</v>
      </c>
      <c r="E152" s="39" t="n">
        <v>2</v>
      </c>
      <c r="F152" s="40" t="n">
        <v>57600</v>
      </c>
      <c r="G152" s="40" t="n">
        <v>115200</v>
      </c>
    </row>
    <row r="153" customFormat="false" ht="15" hidden="false" customHeight="false" outlineLevel="0" collapsed="false">
      <c r="A153" s="27" t="n">
        <v>46037</v>
      </c>
      <c r="B153" s="28" t="s">
        <v>63</v>
      </c>
      <c r="C153" s="28" t="s">
        <v>76</v>
      </c>
      <c r="D153" s="28" t="s">
        <v>79</v>
      </c>
      <c r="E153" s="29" t="n">
        <v>3</v>
      </c>
      <c r="F153" s="30" t="n">
        <v>21600</v>
      </c>
      <c r="G153" s="30" t="n">
        <v>64800</v>
      </c>
    </row>
    <row r="154" customFormat="false" ht="15" hidden="false" customHeight="false" outlineLevel="0" collapsed="false">
      <c r="A154" s="37" t="n">
        <v>46038</v>
      </c>
      <c r="B154" s="38" t="s">
        <v>73</v>
      </c>
      <c r="C154" s="38" t="s">
        <v>76</v>
      </c>
      <c r="D154" s="38" t="s">
        <v>79</v>
      </c>
      <c r="E154" s="39" t="n">
        <v>28</v>
      </c>
      <c r="F154" s="40" t="n">
        <v>23200</v>
      </c>
      <c r="G154" s="40" t="n">
        <v>649600</v>
      </c>
    </row>
    <row r="155" customFormat="false" ht="15" hidden="false" customHeight="false" outlineLevel="0" collapsed="false">
      <c r="A155" s="27" t="n">
        <v>46038</v>
      </c>
      <c r="B155" s="28" t="s">
        <v>63</v>
      </c>
      <c r="C155" s="28" t="s">
        <v>53</v>
      </c>
      <c r="D155" s="28" t="s">
        <v>70</v>
      </c>
      <c r="E155" s="29" t="n">
        <v>22</v>
      </c>
      <c r="F155" s="30" t="n">
        <v>14300</v>
      </c>
      <c r="G155" s="30" t="n">
        <v>314600</v>
      </c>
    </row>
    <row r="156" customFormat="false" ht="15" hidden="false" customHeight="false" outlineLevel="0" collapsed="false">
      <c r="A156" s="37" t="n">
        <v>46038</v>
      </c>
      <c r="B156" s="38" t="s">
        <v>73</v>
      </c>
      <c r="C156" s="38" t="s">
        <v>64</v>
      </c>
      <c r="D156" s="38" t="s">
        <v>54</v>
      </c>
      <c r="E156" s="39" t="n">
        <v>15</v>
      </c>
      <c r="F156" s="40" t="n">
        <v>160300</v>
      </c>
      <c r="G156" s="40" t="n">
        <v>2404500</v>
      </c>
    </row>
    <row r="157" customFormat="false" ht="15" hidden="false" customHeight="false" outlineLevel="0" collapsed="false">
      <c r="A157" s="27" t="n">
        <v>46041</v>
      </c>
      <c r="B157" s="28" t="s">
        <v>78</v>
      </c>
      <c r="C157" s="28" t="s">
        <v>57</v>
      </c>
      <c r="D157" s="28" t="s">
        <v>77</v>
      </c>
      <c r="E157" s="29" t="n">
        <v>7</v>
      </c>
      <c r="F157" s="30" t="n">
        <v>4800</v>
      </c>
      <c r="G157" s="30" t="n">
        <v>33600</v>
      </c>
    </row>
    <row r="158" customFormat="false" ht="15" hidden="false" customHeight="false" outlineLevel="0" collapsed="false">
      <c r="A158" s="37" t="n">
        <v>46041</v>
      </c>
      <c r="B158" s="38" t="s">
        <v>52</v>
      </c>
      <c r="C158" s="38" t="s">
        <v>74</v>
      </c>
      <c r="D158" s="38" t="s">
        <v>77</v>
      </c>
      <c r="E158" s="39" t="n">
        <v>30</v>
      </c>
      <c r="F158" s="40" t="n">
        <v>60700</v>
      </c>
      <c r="G158" s="40" t="n">
        <v>1821000</v>
      </c>
    </row>
    <row r="159" customFormat="false" ht="15" hidden="false" customHeight="false" outlineLevel="0" collapsed="false">
      <c r="A159" s="27" t="n">
        <v>46043</v>
      </c>
      <c r="B159" s="28" t="s">
        <v>52</v>
      </c>
      <c r="C159" s="28" t="s">
        <v>76</v>
      </c>
      <c r="D159" s="28" t="s">
        <v>65</v>
      </c>
      <c r="E159" s="29" t="n">
        <v>10</v>
      </c>
      <c r="F159" s="30" t="n">
        <v>26200</v>
      </c>
      <c r="G159" s="30" t="n">
        <v>262000</v>
      </c>
    </row>
    <row r="160" customFormat="false" ht="15" hidden="false" customHeight="false" outlineLevel="0" collapsed="false">
      <c r="A160" s="37" t="n">
        <v>46044</v>
      </c>
      <c r="B160" s="38" t="s">
        <v>78</v>
      </c>
      <c r="C160" s="38" t="s">
        <v>47</v>
      </c>
      <c r="D160" s="38" t="s">
        <v>81</v>
      </c>
      <c r="E160" s="39" t="n">
        <v>2</v>
      </c>
      <c r="F160" s="40" t="n">
        <v>9400</v>
      </c>
      <c r="G160" s="40" t="n">
        <v>18800</v>
      </c>
    </row>
    <row r="161" customFormat="false" ht="15" hidden="false" customHeight="false" outlineLevel="0" collapsed="false">
      <c r="A161" s="27" t="n">
        <v>46049</v>
      </c>
      <c r="B161" s="28" t="s">
        <v>52</v>
      </c>
      <c r="C161" s="28" t="s">
        <v>74</v>
      </c>
      <c r="D161" s="28" t="s">
        <v>75</v>
      </c>
      <c r="E161" s="29" t="n">
        <v>1</v>
      </c>
      <c r="F161" s="30" t="n">
        <v>57100</v>
      </c>
      <c r="G161" s="30" t="n">
        <v>57100</v>
      </c>
    </row>
    <row r="162" customFormat="false" ht="15" hidden="false" customHeight="false" outlineLevel="0" collapsed="false">
      <c r="A162" s="37" t="n">
        <v>46049</v>
      </c>
      <c r="B162" s="38" t="s">
        <v>63</v>
      </c>
      <c r="C162" s="38" t="s">
        <v>57</v>
      </c>
      <c r="D162" s="38" t="s">
        <v>48</v>
      </c>
      <c r="E162" s="39" t="n">
        <v>28</v>
      </c>
      <c r="F162" s="40" t="n">
        <v>5300</v>
      </c>
      <c r="G162" s="40" t="n">
        <v>148400</v>
      </c>
    </row>
    <row r="163" customFormat="false" ht="15" hidden="false" customHeight="false" outlineLevel="0" collapsed="false">
      <c r="A163" s="27" t="n">
        <v>46050</v>
      </c>
      <c r="B163" s="28" t="s">
        <v>52</v>
      </c>
      <c r="C163" s="28" t="s">
        <v>47</v>
      </c>
      <c r="D163" s="28" t="s">
        <v>80</v>
      </c>
      <c r="E163" s="29" t="n">
        <v>2</v>
      </c>
      <c r="F163" s="30" t="n">
        <v>10500</v>
      </c>
      <c r="G163" s="30" t="n">
        <v>21000</v>
      </c>
    </row>
    <row r="164" customFormat="false" ht="15" hidden="false" customHeight="false" outlineLevel="0" collapsed="false">
      <c r="A164" s="37" t="n">
        <v>46051</v>
      </c>
      <c r="B164" s="38" t="s">
        <v>46</v>
      </c>
      <c r="C164" s="38" t="s">
        <v>57</v>
      </c>
      <c r="D164" s="38" t="s">
        <v>80</v>
      </c>
      <c r="E164" s="39" t="n">
        <v>9</v>
      </c>
      <c r="F164" s="40" t="n">
        <v>4700</v>
      </c>
      <c r="G164" s="40" t="n">
        <v>42300</v>
      </c>
    </row>
    <row r="165" customFormat="false" ht="15" hidden="false" customHeight="false" outlineLevel="0" collapsed="false">
      <c r="A165" s="27" t="n">
        <v>46056</v>
      </c>
      <c r="B165" s="28" t="s">
        <v>73</v>
      </c>
      <c r="C165" s="28" t="s">
        <v>47</v>
      </c>
      <c r="D165" s="28" t="s">
        <v>65</v>
      </c>
      <c r="E165" s="29" t="n">
        <v>35</v>
      </c>
      <c r="F165" s="30" t="n">
        <v>9600</v>
      </c>
      <c r="G165" s="30" t="n">
        <v>336000</v>
      </c>
    </row>
    <row r="166" customFormat="false" ht="15" hidden="false" customHeight="false" outlineLevel="0" collapsed="false">
      <c r="A166" s="37" t="n">
        <v>46059</v>
      </c>
      <c r="B166" s="38" t="s">
        <v>46</v>
      </c>
      <c r="C166" s="38" t="s">
        <v>74</v>
      </c>
      <c r="D166" s="38" t="s">
        <v>65</v>
      </c>
      <c r="E166" s="39" t="n">
        <v>36</v>
      </c>
      <c r="F166" s="40" t="n">
        <v>69500</v>
      </c>
      <c r="G166" s="40" t="n">
        <v>2502000</v>
      </c>
    </row>
    <row r="167" customFormat="false" ht="15" hidden="false" customHeight="false" outlineLevel="0" collapsed="false">
      <c r="A167" s="27" t="n">
        <v>46060</v>
      </c>
      <c r="B167" s="28" t="s">
        <v>52</v>
      </c>
      <c r="C167" s="28" t="s">
        <v>47</v>
      </c>
      <c r="D167" s="28" t="s">
        <v>54</v>
      </c>
      <c r="E167" s="29" t="n">
        <v>28</v>
      </c>
      <c r="F167" s="30" t="n">
        <v>10300</v>
      </c>
      <c r="G167" s="30" t="n">
        <v>288400</v>
      </c>
    </row>
    <row r="168" customFormat="false" ht="15" hidden="false" customHeight="false" outlineLevel="0" collapsed="false">
      <c r="A168" s="37" t="n">
        <v>46062</v>
      </c>
      <c r="B168" s="38" t="s">
        <v>63</v>
      </c>
      <c r="C168" s="38" t="s">
        <v>74</v>
      </c>
      <c r="D168" s="38" t="s">
        <v>75</v>
      </c>
      <c r="E168" s="39" t="n">
        <v>29</v>
      </c>
      <c r="F168" s="40" t="n">
        <v>65800</v>
      </c>
      <c r="G168" s="40" t="n">
        <v>1908200</v>
      </c>
    </row>
    <row r="169" customFormat="false" ht="15" hidden="false" customHeight="false" outlineLevel="0" collapsed="false">
      <c r="A169" s="27" t="n">
        <v>46063</v>
      </c>
      <c r="B169" s="28" t="s">
        <v>63</v>
      </c>
      <c r="C169" s="28" t="s">
        <v>53</v>
      </c>
      <c r="D169" s="28" t="s">
        <v>80</v>
      </c>
      <c r="E169" s="29" t="n">
        <v>15</v>
      </c>
      <c r="F169" s="30" t="n">
        <v>15700</v>
      </c>
      <c r="G169" s="30" t="n">
        <v>235500</v>
      </c>
    </row>
    <row r="170" customFormat="false" ht="15" hidden="false" customHeight="false" outlineLevel="0" collapsed="false">
      <c r="A170" s="37" t="n">
        <v>46064</v>
      </c>
      <c r="B170" s="38" t="s">
        <v>73</v>
      </c>
      <c r="C170" s="38" t="s">
        <v>57</v>
      </c>
      <c r="D170" s="38" t="s">
        <v>60</v>
      </c>
      <c r="E170" s="39" t="n">
        <v>36</v>
      </c>
      <c r="F170" s="40" t="n">
        <v>5800</v>
      </c>
      <c r="G170" s="40" t="n">
        <v>208800</v>
      </c>
    </row>
    <row r="171" customFormat="false" ht="15" hidden="false" customHeight="false" outlineLevel="0" collapsed="false">
      <c r="A171" s="27" t="n">
        <v>46066</v>
      </c>
      <c r="B171" s="28" t="s">
        <v>73</v>
      </c>
      <c r="C171" s="28" t="s">
        <v>74</v>
      </c>
      <c r="D171" s="28" t="s">
        <v>79</v>
      </c>
      <c r="E171" s="29" t="n">
        <v>17</v>
      </c>
      <c r="F171" s="30" t="n">
        <v>64800</v>
      </c>
      <c r="G171" s="30" t="n">
        <v>1101600</v>
      </c>
    </row>
    <row r="172" customFormat="false" ht="15" hidden="false" customHeight="false" outlineLevel="0" collapsed="false">
      <c r="A172" s="37" t="n">
        <v>46069</v>
      </c>
      <c r="B172" s="38" t="s">
        <v>63</v>
      </c>
      <c r="C172" s="38" t="s">
        <v>74</v>
      </c>
      <c r="D172" s="38" t="s">
        <v>65</v>
      </c>
      <c r="E172" s="39" t="n">
        <v>10</v>
      </c>
      <c r="F172" s="40" t="n">
        <v>57200</v>
      </c>
      <c r="G172" s="40" t="n">
        <v>572000</v>
      </c>
    </row>
    <row r="173" customFormat="false" ht="15" hidden="false" customHeight="false" outlineLevel="0" collapsed="false">
      <c r="A173" s="27" t="n">
        <v>46069</v>
      </c>
      <c r="B173" s="28" t="s">
        <v>63</v>
      </c>
      <c r="C173" s="28" t="s">
        <v>76</v>
      </c>
      <c r="D173" s="28" t="s">
        <v>60</v>
      </c>
      <c r="E173" s="29" t="n">
        <v>36</v>
      </c>
      <c r="F173" s="30" t="n">
        <v>22200</v>
      </c>
      <c r="G173" s="30" t="n">
        <v>799200</v>
      </c>
    </row>
    <row r="174" customFormat="false" ht="15" hidden="false" customHeight="false" outlineLevel="0" collapsed="false">
      <c r="A174" s="37" t="n">
        <v>46070</v>
      </c>
      <c r="B174" s="38" t="s">
        <v>78</v>
      </c>
      <c r="C174" s="38" t="s">
        <v>76</v>
      </c>
      <c r="D174" s="38" t="s">
        <v>70</v>
      </c>
      <c r="E174" s="39" t="n">
        <v>23</v>
      </c>
      <c r="F174" s="40" t="n">
        <v>23500</v>
      </c>
      <c r="G174" s="40" t="n">
        <v>540500</v>
      </c>
    </row>
    <row r="175" customFormat="false" ht="15" hidden="false" customHeight="false" outlineLevel="0" collapsed="false">
      <c r="A175" s="27" t="n">
        <v>46071</v>
      </c>
      <c r="B175" s="28" t="s">
        <v>52</v>
      </c>
      <c r="C175" s="28" t="s">
        <v>47</v>
      </c>
      <c r="D175" s="28" t="s">
        <v>77</v>
      </c>
      <c r="E175" s="29" t="n">
        <v>25</v>
      </c>
      <c r="F175" s="30" t="n">
        <v>10200</v>
      </c>
      <c r="G175" s="30" t="n">
        <v>255000</v>
      </c>
    </row>
    <row r="176" customFormat="false" ht="15" hidden="false" customHeight="false" outlineLevel="0" collapsed="false">
      <c r="A176" s="37" t="n">
        <v>46073</v>
      </c>
      <c r="B176" s="38" t="s">
        <v>78</v>
      </c>
      <c r="C176" s="38" t="s">
        <v>76</v>
      </c>
      <c r="D176" s="38" t="s">
        <v>77</v>
      </c>
      <c r="E176" s="39" t="n">
        <v>21</v>
      </c>
      <c r="F176" s="40" t="n">
        <v>22300</v>
      </c>
      <c r="G176" s="40" t="n">
        <v>468300</v>
      </c>
    </row>
    <row r="177" customFormat="false" ht="15" hidden="false" customHeight="false" outlineLevel="0" collapsed="false">
      <c r="A177" s="27" t="n">
        <v>46073</v>
      </c>
      <c r="B177" s="28" t="s">
        <v>63</v>
      </c>
      <c r="C177" s="28" t="s">
        <v>74</v>
      </c>
      <c r="D177" s="28" t="s">
        <v>75</v>
      </c>
      <c r="E177" s="29" t="n">
        <v>8</v>
      </c>
      <c r="F177" s="30" t="n">
        <v>70400</v>
      </c>
      <c r="G177" s="30" t="n">
        <v>563200</v>
      </c>
    </row>
    <row r="178" customFormat="false" ht="15" hidden="false" customHeight="false" outlineLevel="0" collapsed="false">
      <c r="A178" s="37" t="n">
        <v>46079</v>
      </c>
      <c r="B178" s="38" t="s">
        <v>73</v>
      </c>
      <c r="C178" s="38" t="s">
        <v>47</v>
      </c>
      <c r="D178" s="38" t="s">
        <v>60</v>
      </c>
      <c r="E178" s="39" t="n">
        <v>8</v>
      </c>
      <c r="F178" s="40" t="n">
        <v>9300</v>
      </c>
      <c r="G178" s="40" t="n">
        <v>74400</v>
      </c>
    </row>
    <row r="179" customFormat="false" ht="15" hidden="false" customHeight="false" outlineLevel="0" collapsed="false">
      <c r="A179" s="27" t="n">
        <v>46080</v>
      </c>
      <c r="B179" s="28" t="s">
        <v>63</v>
      </c>
      <c r="C179" s="28" t="s">
        <v>47</v>
      </c>
      <c r="D179" s="28" t="s">
        <v>75</v>
      </c>
      <c r="E179" s="29" t="n">
        <v>3</v>
      </c>
      <c r="F179" s="30" t="n">
        <v>9000</v>
      </c>
      <c r="G179" s="30" t="n">
        <v>27000</v>
      </c>
    </row>
    <row r="180" customFormat="false" ht="15" hidden="false" customHeight="false" outlineLevel="0" collapsed="false">
      <c r="A180" s="37" t="n">
        <v>46081</v>
      </c>
      <c r="B180" s="38" t="s">
        <v>73</v>
      </c>
      <c r="C180" s="38" t="s">
        <v>74</v>
      </c>
      <c r="D180" s="38" t="s">
        <v>48</v>
      </c>
      <c r="E180" s="39" t="n">
        <v>32</v>
      </c>
      <c r="F180" s="40" t="n">
        <v>71200</v>
      </c>
      <c r="G180" s="40" t="n">
        <v>2278400</v>
      </c>
    </row>
    <row r="181" customFormat="false" ht="15" hidden="false" customHeight="false" outlineLevel="0" collapsed="false">
      <c r="A181" s="27" t="n">
        <v>46082</v>
      </c>
      <c r="B181" s="28" t="s">
        <v>52</v>
      </c>
      <c r="C181" s="28" t="s">
        <v>53</v>
      </c>
      <c r="D181" s="28" t="s">
        <v>54</v>
      </c>
      <c r="E181" s="29" t="n">
        <v>36</v>
      </c>
      <c r="F181" s="30" t="n">
        <v>13500</v>
      </c>
      <c r="G181" s="30" t="n">
        <v>486000</v>
      </c>
    </row>
    <row r="182" customFormat="false" ht="15" hidden="false" customHeight="false" outlineLevel="0" collapsed="false">
      <c r="A182" s="37" t="n">
        <v>46085</v>
      </c>
      <c r="B182" s="38" t="s">
        <v>78</v>
      </c>
      <c r="C182" s="38" t="s">
        <v>47</v>
      </c>
      <c r="D182" s="38" t="s">
        <v>60</v>
      </c>
      <c r="E182" s="39" t="n">
        <v>35</v>
      </c>
      <c r="F182" s="40" t="n">
        <v>10100</v>
      </c>
      <c r="G182" s="40" t="n">
        <v>353500</v>
      </c>
    </row>
    <row r="183" customFormat="false" ht="15" hidden="false" customHeight="false" outlineLevel="0" collapsed="false">
      <c r="A183" s="27" t="n">
        <v>46087</v>
      </c>
      <c r="B183" s="28" t="s">
        <v>46</v>
      </c>
      <c r="C183" s="28" t="s">
        <v>64</v>
      </c>
      <c r="D183" s="28" t="s">
        <v>70</v>
      </c>
      <c r="E183" s="29" t="n">
        <v>3</v>
      </c>
      <c r="F183" s="30" t="n">
        <v>153800</v>
      </c>
      <c r="G183" s="30" t="n">
        <v>461400</v>
      </c>
    </row>
    <row r="184" customFormat="false" ht="15" hidden="false" customHeight="false" outlineLevel="0" collapsed="false">
      <c r="A184" s="37" t="n">
        <v>46094</v>
      </c>
      <c r="B184" s="38" t="s">
        <v>78</v>
      </c>
      <c r="C184" s="38" t="s">
        <v>57</v>
      </c>
      <c r="D184" s="38" t="s">
        <v>65</v>
      </c>
      <c r="E184" s="39" t="n">
        <v>6</v>
      </c>
      <c r="F184" s="40" t="n">
        <v>5500</v>
      </c>
      <c r="G184" s="40" t="n">
        <v>33000</v>
      </c>
    </row>
    <row r="185" customFormat="false" ht="15" hidden="false" customHeight="false" outlineLevel="0" collapsed="false">
      <c r="A185" s="27" t="n">
        <v>46097</v>
      </c>
      <c r="B185" s="28" t="s">
        <v>52</v>
      </c>
      <c r="C185" s="28" t="s">
        <v>47</v>
      </c>
      <c r="D185" s="28" t="s">
        <v>70</v>
      </c>
      <c r="E185" s="29" t="n">
        <v>11</v>
      </c>
      <c r="F185" s="30" t="n">
        <v>9800</v>
      </c>
      <c r="G185" s="30" t="n">
        <v>107800</v>
      </c>
    </row>
    <row r="186" customFormat="false" ht="15" hidden="false" customHeight="false" outlineLevel="0" collapsed="false">
      <c r="A186" s="37" t="n">
        <v>46099</v>
      </c>
      <c r="B186" s="38" t="s">
        <v>52</v>
      </c>
      <c r="C186" s="38" t="s">
        <v>76</v>
      </c>
      <c r="D186" s="38" t="s">
        <v>75</v>
      </c>
      <c r="E186" s="39" t="n">
        <v>34</v>
      </c>
      <c r="F186" s="40" t="n">
        <v>23000</v>
      </c>
      <c r="G186" s="40" t="n">
        <v>782000</v>
      </c>
    </row>
    <row r="187" customFormat="false" ht="15" hidden="false" customHeight="false" outlineLevel="0" collapsed="false">
      <c r="A187" s="27" t="n">
        <v>46112</v>
      </c>
      <c r="B187" s="28" t="s">
        <v>73</v>
      </c>
      <c r="C187" s="28" t="s">
        <v>57</v>
      </c>
      <c r="D187" s="28" t="s">
        <v>77</v>
      </c>
      <c r="E187" s="29" t="n">
        <v>25</v>
      </c>
      <c r="F187" s="30" t="n">
        <v>5200</v>
      </c>
      <c r="G187" s="30" t="n">
        <v>130000</v>
      </c>
    </row>
    <row r="188" customFormat="false" ht="15" hidden="false" customHeight="false" outlineLevel="0" collapsed="false">
      <c r="A188" s="37" t="n">
        <v>46112</v>
      </c>
      <c r="B188" s="38" t="s">
        <v>52</v>
      </c>
      <c r="C188" s="38" t="s">
        <v>64</v>
      </c>
      <c r="D188" s="38" t="s">
        <v>75</v>
      </c>
      <c r="E188" s="39" t="n">
        <v>25</v>
      </c>
      <c r="F188" s="40" t="n">
        <v>161400</v>
      </c>
      <c r="G188" s="40" t="n">
        <v>4035000</v>
      </c>
    </row>
  </sheetData>
  <mergeCells count="3">
    <mergeCell ref="A1:M1"/>
    <mergeCell ref="A2:M2"/>
    <mergeCell ref="A3:M5"/>
  </mergeCells>
  <conditionalFormatting sqref="L9:L15">
    <cfRule type="expression" priority="2" aboveAverage="0" equalAverage="0" bottom="0" percent="0" rank="0" text="" dxfId="0">
      <formula>LEFT(L9,1)="✓"</formula>
    </cfRule>
    <cfRule type="expression" priority="3" aboveAverage="0" equalAverage="0" bottom="0" percent="0" rank="0" text="" dxfId="1">
      <formula>LEFT(L9,1)="✗"</formula>
    </cfRule>
    <cfRule type="expression" priority="4" aboveAverage="0" equalAverage="0" bottom="0" percent="0" rank="0" text="" dxfId="2">
      <formula>LEFT(L9,1)="✎"</formula>
    </cfRule>
    <cfRule type="expression" priority="5" aboveAverage="0" equalAverage="0" bottom="0" percent="0" rank="0" text="" dxfId="3">
      <formula>LEFT(L9,1)="◯"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true"/>
  </sheetPr>
  <dimension ref="A1:O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6"/>
    <col collapsed="false" customWidth="true" hidden="false" outlineLevel="0" max="5" min="5" style="0" width="12"/>
    <col collapsed="false" customWidth="true" hidden="false" outlineLevel="0" max="6" min="6" style="0" width="3"/>
    <col collapsed="false" customWidth="true" hidden="false" outlineLevel="0" max="7" min="7" style="0" width="5"/>
    <col collapsed="false" customWidth="true" hidden="false" outlineLevel="0" max="8" min="8" style="0" width="46"/>
    <col collapsed="false" customWidth="true" hidden="false" outlineLevel="0" max="9" min="9" style="0" width="18"/>
    <col collapsed="false" customWidth="true" hidden="false" outlineLevel="0" max="10" min="10" style="0" width="17"/>
    <col collapsed="false" customWidth="true" hidden="false" outlineLevel="0" max="11" min="11" style="0" width="38"/>
    <col collapsed="false" customWidth="true" hidden="true" outlineLevel="0" max="16" min="12" style="0" width="13"/>
  </cols>
  <sheetData>
    <row r="1" customFormat="false" ht="31.5" hidden="false" customHeight="true" outlineLevel="0" collapsed="false">
      <c r="A1" s="62" t="s">
        <v>152</v>
      </c>
      <c r="B1" s="62"/>
      <c r="C1" s="62"/>
      <c r="D1" s="62"/>
      <c r="E1" s="62"/>
      <c r="F1" s="62"/>
      <c r="G1" s="62"/>
      <c r="H1" s="62"/>
      <c r="I1" s="62"/>
      <c r="J1" s="62"/>
      <c r="K1" s="62"/>
    </row>
    <row r="2" customFormat="false" ht="19.5" hidden="false" customHeight="true" outlineLevel="0" collapsed="false">
      <c r="A2" s="63" t="s">
        <v>153</v>
      </c>
      <c r="B2" s="63"/>
      <c r="C2" s="63"/>
      <c r="D2" s="63"/>
      <c r="E2" s="63"/>
      <c r="F2" s="63"/>
      <c r="G2" s="63"/>
      <c r="H2" s="63"/>
      <c r="I2" s="63"/>
      <c r="J2" s="63"/>
      <c r="K2" s="63"/>
    </row>
    <row r="3" customFormat="false" ht="18.75" hidden="false" customHeight="true" outlineLevel="0" collapsed="false">
      <c r="A3" s="64" t="s">
        <v>154</v>
      </c>
      <c r="B3" s="64"/>
      <c r="C3" s="64"/>
      <c r="D3" s="64"/>
      <c r="E3" s="64"/>
      <c r="F3" s="64"/>
      <c r="G3" s="64"/>
      <c r="H3" s="64"/>
      <c r="I3" s="64"/>
      <c r="J3" s="64"/>
      <c r="K3" s="64"/>
    </row>
    <row r="4" customFormat="false" ht="18.75" hidden="false" customHeight="true" outlineLevel="0" collapsed="false">
      <c r="A4" s="64"/>
      <c r="B4" s="64"/>
      <c r="C4" s="64"/>
      <c r="D4" s="64"/>
      <c r="E4" s="64"/>
      <c r="F4" s="64"/>
      <c r="G4" s="64"/>
      <c r="H4" s="64"/>
      <c r="I4" s="64"/>
      <c r="J4" s="64"/>
      <c r="K4" s="64"/>
    </row>
    <row r="5" customFormat="false" ht="18.75" hidden="false" customHeight="true" outlineLevel="0" collapsed="false">
      <c r="A5" s="64"/>
      <c r="B5" s="64"/>
      <c r="C5" s="64"/>
      <c r="D5" s="64"/>
      <c r="E5" s="64"/>
      <c r="F5" s="64"/>
      <c r="G5" s="64"/>
      <c r="H5" s="64"/>
      <c r="I5" s="64"/>
      <c r="J5" s="64"/>
      <c r="K5" s="64"/>
    </row>
    <row r="6" customFormat="false" ht="19.5" hidden="false" customHeight="true" outlineLevel="0" collapsed="false"/>
    <row r="8" customFormat="false" ht="24" hidden="false" customHeight="true" outlineLevel="0" collapsed="false">
      <c r="A8" s="24" t="s">
        <v>85</v>
      </c>
      <c r="B8" s="24" t="s">
        <v>41</v>
      </c>
      <c r="C8" s="25" t="s">
        <v>155</v>
      </c>
      <c r="D8" s="25" t="s">
        <v>156</v>
      </c>
      <c r="E8" s="25" t="s">
        <v>157</v>
      </c>
      <c r="G8" s="65" t="s">
        <v>14</v>
      </c>
      <c r="H8" s="65" t="s">
        <v>42</v>
      </c>
      <c r="I8" s="65" t="s">
        <v>43</v>
      </c>
      <c r="J8" s="65" t="s">
        <v>44</v>
      </c>
      <c r="K8" s="65" t="s">
        <v>45</v>
      </c>
    </row>
    <row r="9" customFormat="false" ht="33.75" hidden="false" customHeight="true" outlineLevel="0" collapsed="false">
      <c r="A9" s="28" t="s">
        <v>101</v>
      </c>
      <c r="B9" s="30" t="n">
        <v>12537900</v>
      </c>
      <c r="C9" s="31"/>
      <c r="D9" s="69"/>
      <c r="E9" s="70"/>
      <c r="G9" s="66" t="n">
        <v>1</v>
      </c>
      <c r="H9" s="33" t="s">
        <v>158</v>
      </c>
      <c r="I9" s="34" t="s">
        <v>159</v>
      </c>
      <c r="J9" s="35" t="str">
        <f aca="false">IF(COUNTA($C$9:$C$20)=0,"◯ Not attempted",IF(NOT(_xlfn.ISFORMULA(C9)),"✎ Use a formula",IFERROR(IF(SUMPRODUCT(--(ABS($C$9:$C$20-$M$9:$M$20)&lt;0.05))=ROWS($C$9:$C$20),"✓ Correct","✗ "&amp;(ROWS($C$9:$C$20)-SUMPRODUCT(--(ABS($C$9:$C$20-$M$9:$M$20)&lt;0.05)))&amp;" rows differ"),"✗ Check the column")))</f>
        <v>◯ Not attempted</v>
      </c>
      <c r="K9" s="36" t="s">
        <v>160</v>
      </c>
      <c r="M9" s="0" t="n">
        <f aca="false">SUM($B$9:B9)</f>
        <v>12537900</v>
      </c>
      <c r="N9" s="0" t="n">
        <f aca="false">B9/$B$9*100</f>
        <v>100</v>
      </c>
      <c r="O9" s="0" t="n">
        <f aca="false">B9/SUM($B$9:$B$20)</f>
        <v>0.076045113101177</v>
      </c>
    </row>
    <row r="10" customFormat="false" ht="33.75" hidden="false" customHeight="true" outlineLevel="0" collapsed="false">
      <c r="A10" s="38" t="s">
        <v>102</v>
      </c>
      <c r="B10" s="40" t="n">
        <v>18545600</v>
      </c>
      <c r="C10" s="31"/>
      <c r="D10" s="69"/>
      <c r="E10" s="70"/>
      <c r="G10" s="66" t="n">
        <v>2</v>
      </c>
      <c r="H10" s="33" t="s">
        <v>161</v>
      </c>
      <c r="I10" s="34" t="s">
        <v>162</v>
      </c>
      <c r="J10" s="35" t="str">
        <f aca="false">IF(COUNTA($D$9:$D$20)=0,"◯ Not attempted",IF(NOT(_xlfn.ISFORMULA(D9)),"✎ Use a formula",IFERROR(IF(SUMPRODUCT(--(ABS($D$9:$D$20-$N$9:$N$20)&lt;0.02))=ROWS($D$9:$D$20),"✓ Correct","✗ "&amp;(ROWS($D$9:$D$20)-SUMPRODUCT(--(ABS($D$9:$D$20-$N$9:$N$20)&lt;0.02)))&amp;" rows differ"),"✗ Check the column")))</f>
        <v>◯ Not attempted</v>
      </c>
      <c r="K10" s="36" t="s">
        <v>163</v>
      </c>
      <c r="M10" s="0" t="n">
        <f aca="false">SUM($B$9:B10)</f>
        <v>31083500</v>
      </c>
      <c r="N10" s="0" t="n">
        <f aca="false">B10/$B$9*100</f>
        <v>147.916317724659</v>
      </c>
      <c r="O10" s="0" t="n">
        <f aca="false">B10/SUM($B$9:$B$20)</f>
        <v>0.112483131108813</v>
      </c>
    </row>
    <row r="11" customFormat="false" ht="33.75" hidden="false" customHeight="true" outlineLevel="0" collapsed="false">
      <c r="A11" s="28" t="s">
        <v>103</v>
      </c>
      <c r="B11" s="30" t="n">
        <v>8361600</v>
      </c>
      <c r="C11" s="31"/>
      <c r="D11" s="69"/>
      <c r="E11" s="70"/>
      <c r="G11" s="66" t="n">
        <v>3</v>
      </c>
      <c r="H11" s="33" t="s">
        <v>164</v>
      </c>
      <c r="I11" s="34" t="s">
        <v>165</v>
      </c>
      <c r="J11" s="35" t="str">
        <f aca="false">IF(COUNTA($E$9:$E$20)=0,"◯ Not attempted",IF(NOT(_xlfn.ISFORMULA(E9)),"✎ Use a formula",IFERROR(IF(SUMPRODUCT(--(ABS($E$9:$E$20-$O$9:$O$20)&lt;0.00005))=ROWS($E$9:$E$20),"✓ Correct","✗ "&amp;(ROWS($E$9:$E$20)-SUMPRODUCT(--(ABS($E$9:$E$20-$O$9:$O$20)&lt;0.00005)))&amp;" rows differ"),"✗ Check the column")))</f>
        <v>◯ Not attempted</v>
      </c>
      <c r="K11" s="36" t="s">
        <v>166</v>
      </c>
      <c r="M11" s="0" t="n">
        <f aca="false">SUM($B$9:B11)</f>
        <v>39445100</v>
      </c>
      <c r="N11" s="0" t="n">
        <f aca="false">B11/$B$9*100</f>
        <v>66.6905941186323</v>
      </c>
      <c r="O11" s="0" t="n">
        <f aca="false">B11/SUM($B$9:$B$20)</f>
        <v>0.0507149377253608</v>
      </c>
    </row>
    <row r="12" customFormat="false" ht="33.75" hidden="false" customHeight="true" outlineLevel="0" collapsed="false">
      <c r="A12" s="38" t="s">
        <v>104</v>
      </c>
      <c r="B12" s="40" t="n">
        <v>26837400</v>
      </c>
      <c r="C12" s="31"/>
      <c r="D12" s="69"/>
      <c r="E12" s="70"/>
      <c r="G12" s="66" t="n">
        <v>4</v>
      </c>
      <c r="H12" s="33" t="s">
        <v>167</v>
      </c>
      <c r="I12" s="58"/>
      <c r="J12" s="35" t="str">
        <f aca="false">IF(ISBLANK(I12),"◯ Not attempted",IF(NOT(_xlfn.ISFORMULA(I12)),"✎ Use a formula",IF(ISNUMBER(I12),IF(ABS(I12-$L$12)&lt;0.0002,"✓ Correct","✗ Check again"),"✗ Not a number")))</f>
        <v>◯ Not attempted</v>
      </c>
      <c r="K12" s="36" t="s">
        <v>168</v>
      </c>
      <c r="L12" s="59" t="n">
        <f aca="false">0.479163</f>
        <v>0.479163</v>
      </c>
      <c r="M12" s="44" t="n">
        <f aca="false">SUM($B$9:B12)</f>
        <v>66282500</v>
      </c>
      <c r="N12" s="44" t="n">
        <f aca="false">B12/$B$9*100</f>
        <v>214.050199794224</v>
      </c>
      <c r="O12" s="44" t="n">
        <f aca="false">B12/SUM($B$9:$B$20)</f>
        <v>0.162774716526813</v>
      </c>
    </row>
    <row r="13" customFormat="false" ht="33.75" hidden="false" customHeight="true" outlineLevel="0" collapsed="false">
      <c r="A13" s="28" t="s">
        <v>105</v>
      </c>
      <c r="B13" s="30" t="n">
        <v>25727300</v>
      </c>
      <c r="C13" s="31"/>
      <c r="D13" s="69"/>
      <c r="E13" s="70"/>
      <c r="G13" s="66" t="n">
        <v>5</v>
      </c>
      <c r="H13" s="33" t="s">
        <v>169</v>
      </c>
      <c r="I13" s="53"/>
      <c r="J13" s="35" t="str">
        <f aca="false">IF(ISBLANK(I13),"◯ Not attempted",IF(NOT(_xlfn.ISFORMULA(I13)),"✎ Use a formula",IF(UPPER(TRIM(I13&amp;""))=UPPER(TRIM($L$13&amp;"")),"✓ Correct","✗ Check again")))</f>
        <v>◯ Not attempted</v>
      </c>
      <c r="K13" s="36" t="s">
        <v>170</v>
      </c>
      <c r="L13" s="0" t="str">
        <f aca="false">"Jul-25"</f>
        <v>Jul-25</v>
      </c>
      <c r="M13" s="0" t="n">
        <f aca="false">SUM($B$9:B13)</f>
        <v>92009800</v>
      </c>
      <c r="N13" s="0" t="n">
        <f aca="false">B13/$B$9*100</f>
        <v>205.196244985205</v>
      </c>
      <c r="O13" s="0" t="n">
        <f aca="false">B13/SUM($B$9:$B$20)</f>
        <v>0.156041716578367</v>
      </c>
    </row>
    <row r="14" customFormat="false" ht="33.75" hidden="false" customHeight="true" outlineLevel="0" collapsed="false">
      <c r="A14" s="38" t="s">
        <v>106</v>
      </c>
      <c r="B14" s="40" t="n">
        <v>13761700</v>
      </c>
      <c r="C14" s="31"/>
      <c r="D14" s="69"/>
      <c r="E14" s="70"/>
      <c r="G14" s="66" t="n">
        <v>6</v>
      </c>
      <c r="H14" s="33" t="s">
        <v>171</v>
      </c>
      <c r="I14" s="58"/>
      <c r="J14" s="35" t="str">
        <f aca="false">IF(ISBLANK(I14),"◯ Not attempted",IF(NOT(_xlfn.ISFORMULA(I14)),"✎ Use a formula",IF(ISNUMBER(I14),IF(ABS(I14-$L$14)&lt;0.0002,"✓ Correct","✗ Check again"),"✗ Not a number")))</f>
        <v>◯ Not attempted</v>
      </c>
      <c r="K14" s="36" t="s">
        <v>172</v>
      </c>
      <c r="L14" s="59" t="n">
        <f aca="false">-0.059453</f>
        <v>-0.059453</v>
      </c>
      <c r="M14" s="44" t="n">
        <f aca="false">SUM($B$9:B14)</f>
        <v>105771500</v>
      </c>
      <c r="N14" s="44" t="n">
        <f aca="false">B14/$B$9*100</f>
        <v>109.760805238517</v>
      </c>
      <c r="O14" s="44" t="n">
        <f aca="false">B14/SUM($B$9:$B$20)</f>
        <v>0.0834677284843927</v>
      </c>
    </row>
    <row r="15" customFormat="false" ht="33.75" hidden="false" customHeight="true" outlineLevel="0" collapsed="false">
      <c r="A15" s="28" t="s">
        <v>107</v>
      </c>
      <c r="B15" s="30" t="n">
        <v>12460600</v>
      </c>
      <c r="C15" s="31"/>
      <c r="D15" s="69"/>
      <c r="E15" s="70"/>
      <c r="G15" s="66" t="n">
        <v>7</v>
      </c>
      <c r="H15" s="33" t="s">
        <v>173</v>
      </c>
      <c r="I15" s="42"/>
      <c r="J15" s="35" t="str">
        <f aca="false">IF(ISBLANK(I15),"◯ Not attempted",IF(NOT(_xlfn.ISFORMULA(I15)),"✎ Use a formula",IF(ISNUMBER(I15),IF(ABS(I15-$L$15)&lt;0.005,"✓ Correct","✗ Check again"),"✗ Not a number")))</f>
        <v>◯ Not attempted</v>
      </c>
      <c r="K15" s="36" t="s">
        <v>174</v>
      </c>
      <c r="L15" s="43" t="n">
        <f aca="false">5</f>
        <v>5</v>
      </c>
      <c r="M15" s="44" t="n">
        <f aca="false">SUM($B$9:B15)</f>
        <v>118232100</v>
      </c>
      <c r="N15" s="44" t="n">
        <f aca="false">B15/$B$9*100</f>
        <v>99.3834693210187</v>
      </c>
      <c r="O15" s="44" t="n">
        <f aca="false">B15/SUM($B$9:$B$20)</f>
        <v>0.0755762716490422</v>
      </c>
    </row>
    <row r="16" customFormat="false" ht="33.75" hidden="false" customHeight="true" outlineLevel="0" collapsed="false">
      <c r="A16" s="38" t="s">
        <v>108</v>
      </c>
      <c r="B16" s="40" t="n">
        <v>3848600</v>
      </c>
      <c r="C16" s="31"/>
      <c r="D16" s="69"/>
      <c r="E16" s="70"/>
      <c r="G16" s="66" t="n">
        <v>8</v>
      </c>
      <c r="H16" s="33" t="s">
        <v>175</v>
      </c>
      <c r="I16" s="42"/>
      <c r="J16" s="35" t="str">
        <f aca="false">IF(ISBLANK(I16),"◯ Not attempted",IF(NOT(_xlfn.ISFORMULA(I16)),"✎ Use a formula",IF(ISNUMBER(I16),IF(ABS(I16-$L$16)&lt;0.005,"✓ Correct","✗ Check again"),"✗ Not a number")))</f>
        <v>◯ Not attempted</v>
      </c>
      <c r="K16" s="36" t="s">
        <v>176</v>
      </c>
      <c r="L16" s="43" t="n">
        <f aca="false">4</f>
        <v>4</v>
      </c>
      <c r="M16" s="44" t="n">
        <f aca="false">SUM($B$9:B16)</f>
        <v>122080700</v>
      </c>
      <c r="N16" s="44" t="n">
        <f aca="false">B16/$B$9*100</f>
        <v>30.6957305449876</v>
      </c>
      <c r="O16" s="44" t="n">
        <f aca="false">B16/SUM($B$9:$B$20)</f>
        <v>0.0233426030101683</v>
      </c>
    </row>
    <row r="17" customFormat="false" ht="15" hidden="false" customHeight="false" outlineLevel="0" collapsed="false">
      <c r="A17" s="28" t="s">
        <v>109</v>
      </c>
      <c r="B17" s="30" t="n">
        <v>13194600</v>
      </c>
      <c r="C17" s="31"/>
      <c r="D17" s="69"/>
      <c r="E17" s="70"/>
      <c r="M17" s="44" t="n">
        <f aca="false">SUM($B$9:B17)</f>
        <v>135275300</v>
      </c>
      <c r="N17" s="44" t="n">
        <f aca="false">B17/$B$9*100</f>
        <v>105.237719235279</v>
      </c>
      <c r="O17" s="44" t="n">
        <f aca="false">B17/SUM($B$9:$B$20)</f>
        <v>0.0800281426175667</v>
      </c>
    </row>
    <row r="18" customFormat="false" ht="15" hidden="false" customHeight="false" outlineLevel="0" collapsed="false">
      <c r="A18" s="38" t="s">
        <v>110</v>
      </c>
      <c r="B18" s="40" t="n">
        <v>11052000</v>
      </c>
      <c r="C18" s="31"/>
      <c r="D18" s="69"/>
      <c r="E18" s="70"/>
      <c r="M18" s="44" t="n">
        <f aca="false">SUM($B$9:B18)</f>
        <v>146327300</v>
      </c>
      <c r="N18" s="44" t="n">
        <f aca="false">B18/$B$9*100</f>
        <v>88.1487330414184</v>
      </c>
      <c r="O18" s="44" t="n">
        <f aca="false">B18/SUM($B$9:$B$20)</f>
        <v>0.0670328037386012</v>
      </c>
    </row>
    <row r="19" customFormat="false" ht="15" hidden="false" customHeight="false" outlineLevel="0" collapsed="false">
      <c r="A19" s="28" t="s">
        <v>111</v>
      </c>
      <c r="B19" s="30" t="n">
        <v>12158500</v>
      </c>
      <c r="C19" s="31"/>
      <c r="D19" s="69"/>
      <c r="E19" s="70"/>
      <c r="M19" s="44" t="n">
        <f aca="false">SUM($B$9:B19)</f>
        <v>158485800</v>
      </c>
      <c r="N19" s="44" t="n">
        <f aca="false">B19/$B$9*100</f>
        <v>96.9739749080787</v>
      </c>
      <c r="O19" s="44" t="n">
        <f aca="false">B19/SUM($B$9:$B$20)</f>
        <v>0.0737439688975554</v>
      </c>
    </row>
    <row r="20" customFormat="false" ht="15" hidden="false" customHeight="false" outlineLevel="0" collapsed="false">
      <c r="A20" s="38" t="s">
        <v>112</v>
      </c>
      <c r="B20" s="40" t="n">
        <v>6388700</v>
      </c>
      <c r="C20" s="31"/>
      <c r="D20" s="69"/>
      <c r="E20" s="70"/>
      <c r="M20" s="44" t="n">
        <f aca="false">SUM($B$9:B20)</f>
        <v>164874500</v>
      </c>
      <c r="N20" s="44" t="n">
        <f aca="false">B20/$B$9*100</f>
        <v>50.9551041242951</v>
      </c>
      <c r="O20" s="44" t="n">
        <f aca="false">B20/SUM($B$9:$B$20)</f>
        <v>0.0387488665621427</v>
      </c>
    </row>
  </sheetData>
  <mergeCells count="3">
    <mergeCell ref="A1:K1"/>
    <mergeCell ref="A2:K2"/>
    <mergeCell ref="A3:K5"/>
  </mergeCells>
  <conditionalFormatting sqref="J9:J16">
    <cfRule type="expression" priority="2" aboveAverage="0" equalAverage="0" bottom="0" percent="0" rank="0" text="" dxfId="0">
      <formula>LEFT(J9,1)="✓"</formula>
    </cfRule>
    <cfRule type="expression" priority="3" aboveAverage="0" equalAverage="0" bottom="0" percent="0" rank="0" text="" dxfId="1">
      <formula>LEFT(J9,1)="✗"</formula>
    </cfRule>
    <cfRule type="expression" priority="4" aboveAverage="0" equalAverage="0" bottom="0" percent="0" rank="0" text="" dxfId="2">
      <formula>LEFT(J9,1)="✎"</formula>
    </cfRule>
    <cfRule type="expression" priority="5" aboveAverage="0" equalAverage="0" bottom="0" percent="0" rank="0" text="" dxfId="3">
      <formula>LEFT(J9,1)="◯"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11D48"/>
    <pageSetUpPr fitToPage="true"/>
  </sheetPr>
  <dimension ref="A1:N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6"/>
    <col collapsed="false" customWidth="true" hidden="false" outlineLevel="0" max="5" min="5" style="0" width="9"/>
    <col collapsed="false" customWidth="true" hidden="false" outlineLevel="0" max="6" min="6" style="0" width="11"/>
    <col collapsed="false" customWidth="true" hidden="false" outlineLevel="0" max="7" min="7" style="0" width="15"/>
    <col collapsed="false" customWidth="true" hidden="false" outlineLevel="0" max="8" min="8" style="0" width="3"/>
    <col collapsed="false" customWidth="true" hidden="false" outlineLevel="0" max="9" min="9" style="0" width="5"/>
    <col collapsed="false" customWidth="true" hidden="false" outlineLevel="0" max="10" min="10" style="0" width="46"/>
    <col collapsed="false" customWidth="true" hidden="false" outlineLevel="0" max="11" min="11" style="0" width="18"/>
    <col collapsed="false" customWidth="true" hidden="false" outlineLevel="0" max="12" min="12" style="0" width="17"/>
    <col collapsed="false" customWidth="true" hidden="false" outlineLevel="0" max="13" min="13" style="0" width="38"/>
    <col collapsed="false" customWidth="true" hidden="true" outlineLevel="0" max="15" min="14" style="0" width="13"/>
  </cols>
  <sheetData>
    <row r="1" customFormat="false" ht="31.5" hidden="false" customHeight="true" outlineLevel="0" collapsed="false">
      <c r="A1" s="71" t="s">
        <v>177</v>
      </c>
      <c r="B1" s="71"/>
      <c r="C1" s="71"/>
      <c r="D1" s="71"/>
      <c r="E1" s="71"/>
      <c r="F1" s="71"/>
      <c r="G1" s="71"/>
      <c r="H1" s="71"/>
      <c r="I1" s="71"/>
      <c r="J1" s="71"/>
      <c r="K1" s="71"/>
      <c r="L1" s="71"/>
      <c r="M1" s="71"/>
    </row>
    <row r="2" customFormat="false" ht="19.5" hidden="false" customHeight="true" outlineLevel="0" collapsed="false">
      <c r="A2" s="72" t="s">
        <v>178</v>
      </c>
      <c r="B2" s="72"/>
      <c r="C2" s="72"/>
      <c r="D2" s="72"/>
      <c r="E2" s="72"/>
      <c r="F2" s="72"/>
      <c r="G2" s="72"/>
      <c r="H2" s="72"/>
      <c r="I2" s="72"/>
      <c r="J2" s="72"/>
      <c r="K2" s="72"/>
      <c r="L2" s="72"/>
      <c r="M2" s="72"/>
    </row>
    <row r="3" customFormat="false" ht="18.75" hidden="false" customHeight="true" outlineLevel="0" collapsed="false">
      <c r="A3" s="73" t="s">
        <v>179</v>
      </c>
      <c r="B3" s="73"/>
      <c r="C3" s="73"/>
      <c r="D3" s="73"/>
      <c r="E3" s="73"/>
      <c r="F3" s="73"/>
      <c r="G3" s="73"/>
      <c r="H3" s="73"/>
      <c r="I3" s="73"/>
      <c r="J3" s="73"/>
      <c r="K3" s="73"/>
      <c r="L3" s="73"/>
      <c r="M3" s="73"/>
    </row>
    <row r="4" customFormat="false" ht="18.75" hidden="false" customHeight="true" outlineLevel="0" collapsed="false">
      <c r="A4" s="73"/>
      <c r="B4" s="73"/>
      <c r="C4" s="73"/>
      <c r="D4" s="73"/>
      <c r="E4" s="73"/>
      <c r="F4" s="73"/>
      <c r="G4" s="73"/>
      <c r="H4" s="73"/>
      <c r="I4" s="73"/>
      <c r="J4" s="73"/>
      <c r="K4" s="73"/>
      <c r="L4" s="73"/>
      <c r="M4" s="73"/>
    </row>
    <row r="5" customFormat="false" ht="18.75" hidden="false" customHeight="true" outlineLevel="0" collapsed="false">
      <c r="A5" s="73"/>
      <c r="B5" s="73"/>
      <c r="C5" s="73"/>
      <c r="D5" s="73"/>
      <c r="E5" s="73"/>
      <c r="F5" s="73"/>
      <c r="G5" s="73"/>
      <c r="H5" s="73"/>
      <c r="I5" s="73"/>
      <c r="J5" s="73"/>
      <c r="K5" s="73"/>
      <c r="L5" s="73"/>
      <c r="M5" s="73"/>
    </row>
    <row r="6" customFormat="false" ht="19.5" hidden="false" customHeight="true" outlineLevel="0" collapsed="false"/>
    <row r="8" customFormat="false" ht="24" hidden="false" customHeight="true" outlineLevel="0" collapsed="false">
      <c r="A8" s="24" t="s">
        <v>35</v>
      </c>
      <c r="B8" s="24" t="s">
        <v>36</v>
      </c>
      <c r="C8" s="24" t="s">
        <v>37</v>
      </c>
      <c r="D8" s="24" t="s">
        <v>38</v>
      </c>
      <c r="E8" s="24" t="s">
        <v>39</v>
      </c>
      <c r="F8" s="24" t="s">
        <v>40</v>
      </c>
      <c r="G8" s="24" t="s">
        <v>41</v>
      </c>
      <c r="I8" s="12" t="s">
        <v>14</v>
      </c>
      <c r="J8" s="12" t="s">
        <v>42</v>
      </c>
      <c r="K8" s="12" t="s">
        <v>43</v>
      </c>
      <c r="L8" s="12" t="s">
        <v>44</v>
      </c>
      <c r="M8" s="12" t="s">
        <v>45</v>
      </c>
    </row>
    <row r="9" customFormat="false" ht="33.75" hidden="false" customHeight="true" outlineLevel="0" collapsed="false">
      <c r="A9" s="27" t="n">
        <v>45749</v>
      </c>
      <c r="B9" s="28" t="s">
        <v>46</v>
      </c>
      <c r="C9" s="28" t="s">
        <v>47</v>
      </c>
      <c r="D9" s="28" t="s">
        <v>48</v>
      </c>
      <c r="E9" s="29" t="n">
        <v>12</v>
      </c>
      <c r="F9" s="30" t="n">
        <v>9800</v>
      </c>
      <c r="G9" s="30" t="n">
        <v>117600</v>
      </c>
      <c r="I9" s="74" t="n">
        <v>1</v>
      </c>
      <c r="J9" s="33" t="s">
        <v>180</v>
      </c>
      <c r="K9" s="42"/>
      <c r="L9" s="35" t="str">
        <f aca="false">IF(ISBLANK(K9),"◯ Not attempted",IF(NOT(_xlfn.ISFORMULA(K9)),"✎ Use a formula",IF(ISNUMBER(K9),IF(ABS(K9-$N$9)&lt;0.005,"✓ Correct","✗ Check again"),"✗ Not a number")))</f>
        <v>◯ Not attempted</v>
      </c>
      <c r="M9" s="36" t="s">
        <v>181</v>
      </c>
      <c r="N9" s="43" t="n">
        <f aca="false">39</f>
        <v>39</v>
      </c>
    </row>
    <row r="10" customFormat="false" ht="33.75" hidden="false" customHeight="true" outlineLevel="0" collapsed="false">
      <c r="A10" s="37" t="n">
        <v>45749</v>
      </c>
      <c r="B10" s="38" t="s">
        <v>52</v>
      </c>
      <c r="C10" s="38" t="s">
        <v>53</v>
      </c>
      <c r="D10" s="38" t="s">
        <v>54</v>
      </c>
      <c r="E10" s="39" t="n">
        <v>21</v>
      </c>
      <c r="F10" s="40" t="n">
        <v>15200</v>
      </c>
      <c r="G10" s="40" t="n">
        <v>319200</v>
      </c>
      <c r="I10" s="74" t="n">
        <v>2</v>
      </c>
      <c r="J10" s="33" t="s">
        <v>182</v>
      </c>
      <c r="K10" s="41"/>
      <c r="L10" s="35" t="str">
        <f aca="false">IF(ISBLANK(K10),"◯ Not attempted",IF(NOT(_xlfn.ISFORMULA(K10)),"✎ Use a formula",IF(ISNUMBER(K10),IF(ABS(K10-$N$10)&lt;0.005,"✓ Correct","✗ Check again"),"✗ Not a number")))</f>
        <v>◯ Not attempted</v>
      </c>
      <c r="M10" s="36" t="s">
        <v>183</v>
      </c>
      <c r="N10" s="0" t="n">
        <f aca="false">5931100</f>
        <v>5931100</v>
      </c>
    </row>
    <row r="11" customFormat="false" ht="33.75" hidden="false" customHeight="true" outlineLevel="0" collapsed="false">
      <c r="A11" s="27" t="n">
        <v>45750</v>
      </c>
      <c r="B11" s="28" t="s">
        <v>46</v>
      </c>
      <c r="C11" s="28" t="s">
        <v>57</v>
      </c>
      <c r="D11" s="28" t="s">
        <v>48</v>
      </c>
      <c r="E11" s="29" t="n">
        <v>8</v>
      </c>
      <c r="F11" s="30" t="n">
        <v>5700</v>
      </c>
      <c r="G11" s="30" t="n">
        <v>45600</v>
      </c>
      <c r="I11" s="74" t="n">
        <v>3</v>
      </c>
      <c r="J11" s="33" t="s">
        <v>184</v>
      </c>
      <c r="K11" s="53"/>
      <c r="L11" s="35" t="str">
        <f aca="false">IF(ISBLANK(K11),"◯ Not attempted",IF(NOT(_xlfn.ISFORMULA(K11)),"✎ Use a formula",IF(UPPER(TRIM(K11&amp;""))=UPPER(TRIM($N$11&amp;"")),"✓ Correct","✗ Check again")))</f>
        <v>◯ Not attempted</v>
      </c>
      <c r="M11" s="36" t="s">
        <v>185</v>
      </c>
      <c r="N11" s="0" t="str">
        <f aca="false">"Server"</f>
        <v>Server</v>
      </c>
    </row>
    <row r="12" customFormat="false" ht="33.75" hidden="false" customHeight="true" outlineLevel="0" collapsed="false">
      <c r="A12" s="37" t="n">
        <v>45751</v>
      </c>
      <c r="B12" s="38" t="s">
        <v>52</v>
      </c>
      <c r="C12" s="38" t="s">
        <v>53</v>
      </c>
      <c r="D12" s="38" t="s">
        <v>60</v>
      </c>
      <c r="E12" s="39" t="n">
        <v>24</v>
      </c>
      <c r="F12" s="40" t="n">
        <v>15300</v>
      </c>
      <c r="G12" s="40" t="n">
        <v>367200</v>
      </c>
      <c r="I12" s="74" t="n">
        <v>4</v>
      </c>
      <c r="J12" s="33" t="s">
        <v>186</v>
      </c>
      <c r="K12" s="45"/>
      <c r="L12" s="35" t="str">
        <f aca="false">IF(ISBLANK(K12),"◯ Not attempted",IF(NOT(_xlfn.ISFORMULA(K12)),"✎ Use a formula",IF(ISNUMBER(K12),IF(ABS(K12-$N$12)&lt;0.05,"✓ Correct","✗ Check again"),"✗ Not a number")))</f>
        <v>◯ Not attempted</v>
      </c>
      <c r="M12" s="36" t="s">
        <v>187</v>
      </c>
      <c r="N12" s="46" t="n">
        <f aca="false">1376857.142857</f>
        <v>1376857.142857</v>
      </c>
    </row>
    <row r="13" customFormat="false" ht="33.75" hidden="false" customHeight="true" outlineLevel="0" collapsed="false">
      <c r="A13" s="27" t="n">
        <v>45752</v>
      </c>
      <c r="B13" s="28" t="s">
        <v>63</v>
      </c>
      <c r="C13" s="28" t="s">
        <v>64</v>
      </c>
      <c r="D13" s="28" t="s">
        <v>65</v>
      </c>
      <c r="E13" s="29" t="n">
        <v>16</v>
      </c>
      <c r="F13" s="30" t="n">
        <v>138700</v>
      </c>
      <c r="G13" s="30" t="n">
        <v>2219200</v>
      </c>
      <c r="I13" s="74" t="n">
        <v>5</v>
      </c>
      <c r="J13" s="33" t="s">
        <v>71</v>
      </c>
      <c r="K13" s="45"/>
      <c r="L13" s="35" t="str">
        <f aca="false">IF(ISBLANK(K13),"◯ Not attempted",IF(NOT(_xlfn.ISFORMULA(K13)),"✎ Use a formula",IF(ISNUMBER(K13),IF(ABS(K13-$N$13)&lt;0.05,"✓ Correct","✗ Check again"),"✗ Not a number")))</f>
        <v>◯ Not attempted</v>
      </c>
      <c r="M13" s="36" t="s">
        <v>72</v>
      </c>
      <c r="N13" s="46" t="n">
        <f aca="false">47789.710145</f>
        <v>47789.710145</v>
      </c>
    </row>
    <row r="14" customFormat="false" ht="33.75" hidden="false" customHeight="true" outlineLevel="0" collapsed="false">
      <c r="A14" s="37" t="n">
        <v>45753</v>
      </c>
      <c r="B14" s="38" t="s">
        <v>52</v>
      </c>
      <c r="C14" s="38" t="s">
        <v>47</v>
      </c>
      <c r="D14" s="38" t="s">
        <v>60</v>
      </c>
      <c r="E14" s="39" t="n">
        <v>38</v>
      </c>
      <c r="F14" s="40" t="n">
        <v>9000</v>
      </c>
      <c r="G14" s="40" t="n">
        <v>342000</v>
      </c>
      <c r="I14" s="74" t="n">
        <v>6</v>
      </c>
      <c r="J14" s="33" t="s">
        <v>188</v>
      </c>
      <c r="K14" s="41"/>
      <c r="L14" s="35" t="str">
        <f aca="false">IF(ISBLANK(K14),"◯ Not attempted",IF(NOT(_xlfn.ISFORMULA(K14)),"✎ Use a formula",IF(ISNUMBER(K14),IF(ABS(K14-$N$14)&lt;0.005,"✓ Correct","✗ Check again"),"✗ Not a number")))</f>
        <v>◯ Not attempted</v>
      </c>
      <c r="M14" s="36" t="s">
        <v>189</v>
      </c>
      <c r="N14" s="0" t="n">
        <f aca="false">5931100</f>
        <v>5931100</v>
      </c>
    </row>
    <row r="15" customFormat="false" ht="33.75" hidden="false" customHeight="true" outlineLevel="0" collapsed="false">
      <c r="A15" s="27" t="n">
        <v>45755</v>
      </c>
      <c r="B15" s="28" t="s">
        <v>63</v>
      </c>
      <c r="C15" s="28" t="s">
        <v>47</v>
      </c>
      <c r="D15" s="28" t="s">
        <v>70</v>
      </c>
      <c r="E15" s="29" t="n">
        <v>8</v>
      </c>
      <c r="F15" s="30" t="n">
        <v>9800</v>
      </c>
      <c r="G15" s="30" t="n">
        <v>78400</v>
      </c>
      <c r="I15" s="74" t="n">
        <v>7</v>
      </c>
      <c r="J15" s="33" t="s">
        <v>190</v>
      </c>
      <c r="K15" s="41"/>
      <c r="L15" s="35" t="str">
        <f aca="false">IF(ISBLANK(K15),"◯ Not attempted",IF(NOT(_xlfn.ISFORMULA(K15)),"✎ Use a formula",IF(ISNUMBER(K15),IF(ABS(K15-$N$15)&lt;0.005,"✓ Correct","✗ Check again"),"✗ Not a number")))</f>
        <v>◯ Not attempted</v>
      </c>
      <c r="M15" s="36" t="s">
        <v>191</v>
      </c>
      <c r="N15" s="0" t="n">
        <f aca="false">124678700</f>
        <v>124678700</v>
      </c>
    </row>
    <row r="16" customFormat="false" ht="33.75" hidden="false" customHeight="true" outlineLevel="0" collapsed="false">
      <c r="A16" s="37" t="n">
        <v>45759</v>
      </c>
      <c r="B16" s="38" t="s">
        <v>46</v>
      </c>
      <c r="C16" s="38" t="s">
        <v>53</v>
      </c>
      <c r="D16" s="38" t="s">
        <v>70</v>
      </c>
      <c r="E16" s="39" t="n">
        <v>28</v>
      </c>
      <c r="F16" s="40" t="n">
        <v>13900</v>
      </c>
      <c r="G16" s="40" t="n">
        <v>389200</v>
      </c>
      <c r="I16" s="74" t="n">
        <v>8</v>
      </c>
      <c r="J16" s="33" t="s">
        <v>192</v>
      </c>
      <c r="K16" s="41"/>
      <c r="L16" s="35" t="str">
        <f aca="false">IF(ISBLANK(K16),"◯ Not attempted",IF(NOT(_xlfn.ISFORMULA(K16)),"✎ Use a formula",IF(ISNUMBER(K16),IF(ABS(K16-$N$16)&lt;0.005,"✓ Correct","✗ Check again"),"✗ Not a number")))</f>
        <v>◯ Not attempted</v>
      </c>
      <c r="M16" s="36" t="s">
        <v>193</v>
      </c>
      <c r="N16" s="0" t="n">
        <f aca="false">80035100</f>
        <v>80035100</v>
      </c>
    </row>
    <row r="17" customFormat="false" ht="33.75" hidden="false" customHeight="true" outlineLevel="0" collapsed="false">
      <c r="A17" s="27" t="n">
        <v>45761</v>
      </c>
      <c r="B17" s="28" t="s">
        <v>73</v>
      </c>
      <c r="C17" s="28" t="s">
        <v>74</v>
      </c>
      <c r="D17" s="28" t="s">
        <v>75</v>
      </c>
      <c r="E17" s="29" t="n">
        <v>27</v>
      </c>
      <c r="F17" s="30" t="n">
        <v>58500</v>
      </c>
      <c r="G17" s="30" t="n">
        <v>1579500</v>
      </c>
      <c r="I17" s="74" t="n">
        <v>9</v>
      </c>
      <c r="J17" s="33" t="s">
        <v>194</v>
      </c>
      <c r="K17" s="58"/>
      <c r="L17" s="35" t="str">
        <f aca="false">IF(ISBLANK(K17),"◯ Not attempted",IF(NOT(_xlfn.ISFORMULA(K17)),"✎ Use a formula",IF(ISNUMBER(K17),IF(ABS(K17-$N$17)&lt;0.0002,"✓ Correct","✗ Check again"),"✗ Not a number")))</f>
        <v>◯ Not attempted</v>
      </c>
      <c r="M17" s="36" t="s">
        <v>195</v>
      </c>
      <c r="N17" s="59" t="n">
        <f aca="false">0.48543</f>
        <v>0.48543</v>
      </c>
    </row>
    <row r="18" customFormat="false" ht="15" hidden="false" customHeight="false" outlineLevel="0" collapsed="false">
      <c r="A18" s="37" t="n">
        <v>45764</v>
      </c>
      <c r="B18" s="38" t="s">
        <v>46</v>
      </c>
      <c r="C18" s="38" t="s">
        <v>76</v>
      </c>
      <c r="D18" s="38" t="s">
        <v>65</v>
      </c>
      <c r="E18" s="39" t="n">
        <v>15</v>
      </c>
      <c r="F18" s="40" t="n">
        <v>26900</v>
      </c>
      <c r="G18" s="40" t="n">
        <v>403500</v>
      </c>
    </row>
    <row r="19" customFormat="false" ht="15" hidden="false" customHeight="false" outlineLevel="0" collapsed="false">
      <c r="A19" s="27" t="n">
        <v>45767</v>
      </c>
      <c r="B19" s="28" t="s">
        <v>63</v>
      </c>
      <c r="C19" s="28" t="s">
        <v>64</v>
      </c>
      <c r="D19" s="28" t="s">
        <v>77</v>
      </c>
      <c r="E19" s="29" t="n">
        <v>37</v>
      </c>
      <c r="F19" s="30" t="n">
        <v>160300</v>
      </c>
      <c r="G19" s="30" t="n">
        <v>5931100</v>
      </c>
    </row>
    <row r="20" customFormat="false" ht="15" hidden="false" customHeight="false" outlineLevel="0" collapsed="false">
      <c r="A20" s="37" t="n">
        <v>45769</v>
      </c>
      <c r="B20" s="38" t="s">
        <v>63</v>
      </c>
      <c r="C20" s="38" t="s">
        <v>47</v>
      </c>
      <c r="D20" s="38" t="s">
        <v>65</v>
      </c>
      <c r="E20" s="39" t="n">
        <v>13</v>
      </c>
      <c r="F20" s="40" t="n">
        <v>10400</v>
      </c>
      <c r="G20" s="40" t="n">
        <v>135200</v>
      </c>
    </row>
    <row r="21" customFormat="false" ht="15" hidden="false" customHeight="false" outlineLevel="0" collapsed="false">
      <c r="A21" s="27" t="n">
        <v>45772</v>
      </c>
      <c r="B21" s="28" t="s">
        <v>78</v>
      </c>
      <c r="C21" s="28" t="s">
        <v>53</v>
      </c>
      <c r="D21" s="28" t="s">
        <v>79</v>
      </c>
      <c r="E21" s="29" t="n">
        <v>21</v>
      </c>
      <c r="F21" s="30" t="n">
        <v>15700</v>
      </c>
      <c r="G21" s="30" t="n">
        <v>329700</v>
      </c>
    </row>
    <row r="22" customFormat="false" ht="15" hidden="false" customHeight="false" outlineLevel="0" collapsed="false">
      <c r="A22" s="37" t="n">
        <v>45773</v>
      </c>
      <c r="B22" s="38" t="s">
        <v>46</v>
      </c>
      <c r="C22" s="38" t="s">
        <v>53</v>
      </c>
      <c r="D22" s="38" t="s">
        <v>48</v>
      </c>
      <c r="E22" s="39" t="n">
        <v>2</v>
      </c>
      <c r="F22" s="40" t="n">
        <v>15400</v>
      </c>
      <c r="G22" s="40" t="n">
        <v>30800</v>
      </c>
    </row>
    <row r="23" customFormat="false" ht="15" hidden="false" customHeight="false" outlineLevel="0" collapsed="false">
      <c r="A23" s="27" t="n">
        <v>45776</v>
      </c>
      <c r="B23" s="28" t="s">
        <v>73</v>
      </c>
      <c r="C23" s="28" t="s">
        <v>76</v>
      </c>
      <c r="D23" s="28" t="s">
        <v>70</v>
      </c>
      <c r="E23" s="29" t="n">
        <v>11</v>
      </c>
      <c r="F23" s="30" t="n">
        <v>22700</v>
      </c>
      <c r="G23" s="30" t="n">
        <v>249700</v>
      </c>
    </row>
    <row r="24" customFormat="false" ht="15" hidden="false" customHeight="false" outlineLevel="0" collapsed="false">
      <c r="A24" s="37" t="n">
        <v>45782</v>
      </c>
      <c r="B24" s="38" t="s">
        <v>63</v>
      </c>
      <c r="C24" s="38" t="s">
        <v>74</v>
      </c>
      <c r="D24" s="38" t="s">
        <v>48</v>
      </c>
      <c r="E24" s="39" t="n">
        <v>21</v>
      </c>
      <c r="F24" s="40" t="n">
        <v>66900</v>
      </c>
      <c r="G24" s="40" t="n">
        <v>1404900</v>
      </c>
    </row>
    <row r="25" customFormat="false" ht="15" hidden="false" customHeight="false" outlineLevel="0" collapsed="false">
      <c r="A25" s="27" t="n">
        <v>45782</v>
      </c>
      <c r="B25" s="28" t="s">
        <v>63</v>
      </c>
      <c r="C25" s="28" t="s">
        <v>47</v>
      </c>
      <c r="D25" s="28" t="s">
        <v>75</v>
      </c>
      <c r="E25" s="29" t="n">
        <v>13</v>
      </c>
      <c r="F25" s="30" t="n">
        <v>10300</v>
      </c>
      <c r="G25" s="30" t="n">
        <v>133900</v>
      </c>
    </row>
    <row r="26" customFormat="false" ht="15" hidden="false" customHeight="false" outlineLevel="0" collapsed="false">
      <c r="A26" s="37" t="n">
        <v>45782</v>
      </c>
      <c r="B26" s="38" t="s">
        <v>73</v>
      </c>
      <c r="C26" s="38" t="s">
        <v>74</v>
      </c>
      <c r="D26" s="38" t="s">
        <v>65</v>
      </c>
      <c r="E26" s="39" t="n">
        <v>29</v>
      </c>
      <c r="F26" s="40" t="n">
        <v>67400</v>
      </c>
      <c r="G26" s="40" t="n">
        <v>1954600</v>
      </c>
    </row>
    <row r="27" customFormat="false" ht="15" hidden="false" customHeight="false" outlineLevel="0" collapsed="false">
      <c r="A27" s="27" t="n">
        <v>45786</v>
      </c>
      <c r="B27" s="28" t="s">
        <v>52</v>
      </c>
      <c r="C27" s="28" t="s">
        <v>53</v>
      </c>
      <c r="D27" s="28" t="s">
        <v>80</v>
      </c>
      <c r="E27" s="29" t="n">
        <v>24</v>
      </c>
      <c r="F27" s="30" t="n">
        <v>13400</v>
      </c>
      <c r="G27" s="30" t="n">
        <v>321600</v>
      </c>
    </row>
    <row r="28" customFormat="false" ht="15" hidden="false" customHeight="false" outlineLevel="0" collapsed="false">
      <c r="A28" s="37" t="n">
        <v>45787</v>
      </c>
      <c r="B28" s="38" t="s">
        <v>46</v>
      </c>
      <c r="C28" s="38" t="s">
        <v>47</v>
      </c>
      <c r="D28" s="38" t="s">
        <v>65</v>
      </c>
      <c r="E28" s="39" t="n">
        <v>21</v>
      </c>
      <c r="F28" s="40" t="n">
        <v>9900</v>
      </c>
      <c r="G28" s="40" t="n">
        <v>207900</v>
      </c>
    </row>
    <row r="29" customFormat="false" ht="15" hidden="false" customHeight="false" outlineLevel="0" collapsed="false">
      <c r="A29" s="27" t="n">
        <v>45791</v>
      </c>
      <c r="B29" s="28" t="s">
        <v>78</v>
      </c>
      <c r="C29" s="28" t="s">
        <v>53</v>
      </c>
      <c r="D29" s="28" t="s">
        <v>80</v>
      </c>
      <c r="E29" s="29" t="n">
        <v>21</v>
      </c>
      <c r="F29" s="30" t="n">
        <v>15200</v>
      </c>
      <c r="G29" s="30" t="n">
        <v>319200</v>
      </c>
    </row>
    <row r="30" customFormat="false" ht="15" hidden="false" customHeight="false" outlineLevel="0" collapsed="false">
      <c r="A30" s="37" t="n">
        <v>45794</v>
      </c>
      <c r="B30" s="38" t="s">
        <v>46</v>
      </c>
      <c r="C30" s="38" t="s">
        <v>47</v>
      </c>
      <c r="D30" s="38" t="s">
        <v>60</v>
      </c>
      <c r="E30" s="39" t="n">
        <v>17</v>
      </c>
      <c r="F30" s="40" t="n">
        <v>10200</v>
      </c>
      <c r="G30" s="40" t="n">
        <v>173400</v>
      </c>
    </row>
    <row r="31" customFormat="false" ht="15" hidden="false" customHeight="false" outlineLevel="0" collapsed="false">
      <c r="A31" s="27" t="n">
        <v>45797</v>
      </c>
      <c r="B31" s="28" t="s">
        <v>63</v>
      </c>
      <c r="C31" s="28" t="s">
        <v>64</v>
      </c>
      <c r="D31" s="28" t="s">
        <v>48</v>
      </c>
      <c r="E31" s="29" t="n">
        <v>8</v>
      </c>
      <c r="F31" s="30" t="n">
        <v>136000</v>
      </c>
      <c r="G31" s="30" t="n">
        <v>1088000</v>
      </c>
    </row>
    <row r="32" customFormat="false" ht="15" hidden="false" customHeight="false" outlineLevel="0" collapsed="false">
      <c r="A32" s="37" t="n">
        <v>45797</v>
      </c>
      <c r="B32" s="38" t="s">
        <v>52</v>
      </c>
      <c r="C32" s="38" t="s">
        <v>53</v>
      </c>
      <c r="D32" s="38" t="s">
        <v>80</v>
      </c>
      <c r="E32" s="39" t="n">
        <v>37</v>
      </c>
      <c r="F32" s="40" t="n">
        <v>14000</v>
      </c>
      <c r="G32" s="40" t="n">
        <v>518000</v>
      </c>
    </row>
    <row r="33" customFormat="false" ht="15" hidden="false" customHeight="false" outlineLevel="0" collapsed="false">
      <c r="A33" s="27" t="n">
        <v>45798</v>
      </c>
      <c r="B33" s="28" t="s">
        <v>63</v>
      </c>
      <c r="C33" s="28" t="s">
        <v>57</v>
      </c>
      <c r="D33" s="28" t="s">
        <v>70</v>
      </c>
      <c r="E33" s="29" t="n">
        <v>19</v>
      </c>
      <c r="F33" s="30" t="n">
        <v>5000</v>
      </c>
      <c r="G33" s="30" t="n">
        <v>95000</v>
      </c>
    </row>
    <row r="34" customFormat="false" ht="15" hidden="false" customHeight="false" outlineLevel="0" collapsed="false">
      <c r="A34" s="37" t="n">
        <v>45798</v>
      </c>
      <c r="B34" s="38" t="s">
        <v>52</v>
      </c>
      <c r="C34" s="38" t="s">
        <v>64</v>
      </c>
      <c r="D34" s="38" t="s">
        <v>54</v>
      </c>
      <c r="E34" s="39" t="n">
        <v>18</v>
      </c>
      <c r="F34" s="40" t="n">
        <v>164300</v>
      </c>
      <c r="G34" s="40" t="n">
        <v>2957400</v>
      </c>
    </row>
    <row r="35" customFormat="false" ht="15" hidden="false" customHeight="false" outlineLevel="0" collapsed="false">
      <c r="A35" s="27" t="n">
        <v>45800</v>
      </c>
      <c r="B35" s="28" t="s">
        <v>46</v>
      </c>
      <c r="C35" s="28" t="s">
        <v>47</v>
      </c>
      <c r="D35" s="28" t="s">
        <v>54</v>
      </c>
      <c r="E35" s="29" t="n">
        <v>3</v>
      </c>
      <c r="F35" s="30" t="n">
        <v>8900</v>
      </c>
      <c r="G35" s="30" t="n">
        <v>26700</v>
      </c>
    </row>
    <row r="36" customFormat="false" ht="15" hidden="false" customHeight="false" outlineLevel="0" collapsed="false">
      <c r="A36" s="37" t="n">
        <v>45800</v>
      </c>
      <c r="B36" s="38" t="s">
        <v>63</v>
      </c>
      <c r="C36" s="38" t="s">
        <v>64</v>
      </c>
      <c r="D36" s="38" t="s">
        <v>70</v>
      </c>
      <c r="E36" s="39" t="n">
        <v>38</v>
      </c>
      <c r="F36" s="40" t="n">
        <v>140200</v>
      </c>
      <c r="G36" s="40" t="n">
        <v>5327600</v>
      </c>
    </row>
    <row r="37" customFormat="false" ht="15" hidden="false" customHeight="false" outlineLevel="0" collapsed="false">
      <c r="A37" s="27" t="n">
        <v>45802</v>
      </c>
      <c r="B37" s="28" t="s">
        <v>78</v>
      </c>
      <c r="C37" s="28" t="s">
        <v>64</v>
      </c>
      <c r="D37" s="28" t="s">
        <v>79</v>
      </c>
      <c r="E37" s="29" t="n">
        <v>18</v>
      </c>
      <c r="F37" s="30" t="n">
        <v>168200</v>
      </c>
      <c r="G37" s="30" t="n">
        <v>3027600</v>
      </c>
    </row>
    <row r="38" customFormat="false" ht="15" hidden="false" customHeight="false" outlineLevel="0" collapsed="false">
      <c r="A38" s="37" t="n">
        <v>45803</v>
      </c>
      <c r="B38" s="38" t="s">
        <v>73</v>
      </c>
      <c r="C38" s="38" t="s">
        <v>74</v>
      </c>
      <c r="D38" s="38" t="s">
        <v>65</v>
      </c>
      <c r="E38" s="39" t="n">
        <v>14</v>
      </c>
      <c r="F38" s="40" t="n">
        <v>70700</v>
      </c>
      <c r="G38" s="40" t="n">
        <v>989800</v>
      </c>
    </row>
    <row r="39" customFormat="false" ht="15" hidden="false" customHeight="false" outlineLevel="0" collapsed="false">
      <c r="A39" s="27" t="n">
        <v>45810</v>
      </c>
      <c r="B39" s="28" t="s">
        <v>78</v>
      </c>
      <c r="C39" s="28" t="s">
        <v>74</v>
      </c>
      <c r="D39" s="28" t="s">
        <v>60</v>
      </c>
      <c r="E39" s="29" t="n">
        <v>28</v>
      </c>
      <c r="F39" s="30" t="n">
        <v>62700</v>
      </c>
      <c r="G39" s="30" t="n">
        <v>1755600</v>
      </c>
    </row>
    <row r="40" customFormat="false" ht="15" hidden="false" customHeight="false" outlineLevel="0" collapsed="false">
      <c r="A40" s="37" t="n">
        <v>45813</v>
      </c>
      <c r="B40" s="38" t="s">
        <v>78</v>
      </c>
      <c r="C40" s="38" t="s">
        <v>76</v>
      </c>
      <c r="D40" s="38" t="s">
        <v>60</v>
      </c>
      <c r="E40" s="39" t="n">
        <v>15</v>
      </c>
      <c r="F40" s="40" t="n">
        <v>25700</v>
      </c>
      <c r="G40" s="40" t="n">
        <v>385500</v>
      </c>
    </row>
    <row r="41" customFormat="false" ht="15" hidden="false" customHeight="false" outlineLevel="0" collapsed="false">
      <c r="A41" s="27" t="n">
        <v>45815</v>
      </c>
      <c r="B41" s="28" t="s">
        <v>63</v>
      </c>
      <c r="C41" s="28" t="s">
        <v>74</v>
      </c>
      <c r="D41" s="28" t="s">
        <v>77</v>
      </c>
      <c r="E41" s="29" t="n">
        <v>24</v>
      </c>
      <c r="F41" s="30" t="n">
        <v>68000</v>
      </c>
      <c r="G41" s="30" t="n">
        <v>1632000</v>
      </c>
    </row>
    <row r="42" customFormat="false" ht="15" hidden="false" customHeight="false" outlineLevel="0" collapsed="false">
      <c r="A42" s="37" t="n">
        <v>45818</v>
      </c>
      <c r="B42" s="38" t="s">
        <v>63</v>
      </c>
      <c r="C42" s="38" t="s">
        <v>53</v>
      </c>
      <c r="D42" s="38" t="s">
        <v>79</v>
      </c>
      <c r="E42" s="39" t="n">
        <v>1</v>
      </c>
      <c r="F42" s="40" t="n">
        <v>16600</v>
      </c>
      <c r="G42" s="40" t="n">
        <v>16600</v>
      </c>
    </row>
    <row r="43" customFormat="false" ht="15" hidden="false" customHeight="false" outlineLevel="0" collapsed="false">
      <c r="A43" s="27" t="n">
        <v>45826</v>
      </c>
      <c r="B43" s="28" t="s">
        <v>52</v>
      </c>
      <c r="C43" s="28" t="s">
        <v>76</v>
      </c>
      <c r="D43" s="28" t="s">
        <v>77</v>
      </c>
      <c r="E43" s="29" t="n">
        <v>19</v>
      </c>
      <c r="F43" s="30" t="n">
        <v>25300</v>
      </c>
      <c r="G43" s="30" t="n">
        <v>480700</v>
      </c>
    </row>
    <row r="44" customFormat="false" ht="15" hidden="false" customHeight="false" outlineLevel="0" collapsed="false">
      <c r="A44" s="37" t="n">
        <v>45827</v>
      </c>
      <c r="B44" s="38" t="s">
        <v>73</v>
      </c>
      <c r="C44" s="38" t="s">
        <v>76</v>
      </c>
      <c r="D44" s="38" t="s">
        <v>81</v>
      </c>
      <c r="E44" s="39" t="n">
        <v>25</v>
      </c>
      <c r="F44" s="40" t="n">
        <v>21300</v>
      </c>
      <c r="G44" s="40" t="n">
        <v>532500</v>
      </c>
    </row>
    <row r="45" customFormat="false" ht="15" hidden="false" customHeight="false" outlineLevel="0" collapsed="false">
      <c r="A45" s="27" t="n">
        <v>45827</v>
      </c>
      <c r="B45" s="28" t="s">
        <v>78</v>
      </c>
      <c r="C45" s="28" t="s">
        <v>76</v>
      </c>
      <c r="D45" s="28" t="s">
        <v>77</v>
      </c>
      <c r="E45" s="29" t="n">
        <v>26</v>
      </c>
      <c r="F45" s="30" t="n">
        <v>26200</v>
      </c>
      <c r="G45" s="30" t="n">
        <v>681200</v>
      </c>
    </row>
    <row r="46" customFormat="false" ht="15" hidden="false" customHeight="false" outlineLevel="0" collapsed="false">
      <c r="A46" s="37" t="n">
        <v>45832</v>
      </c>
      <c r="B46" s="38" t="s">
        <v>63</v>
      </c>
      <c r="C46" s="38" t="s">
        <v>47</v>
      </c>
      <c r="D46" s="38" t="s">
        <v>65</v>
      </c>
      <c r="E46" s="39" t="n">
        <v>35</v>
      </c>
      <c r="F46" s="40" t="n">
        <v>9400</v>
      </c>
      <c r="G46" s="40" t="n">
        <v>329000</v>
      </c>
    </row>
    <row r="47" customFormat="false" ht="15" hidden="false" customHeight="false" outlineLevel="0" collapsed="false">
      <c r="A47" s="27" t="n">
        <v>45833</v>
      </c>
      <c r="B47" s="28" t="s">
        <v>73</v>
      </c>
      <c r="C47" s="28" t="s">
        <v>64</v>
      </c>
      <c r="D47" s="28" t="s">
        <v>75</v>
      </c>
      <c r="E47" s="29" t="n">
        <v>9</v>
      </c>
      <c r="F47" s="30" t="n">
        <v>145300</v>
      </c>
      <c r="G47" s="30" t="n">
        <v>1307700</v>
      </c>
    </row>
    <row r="48" customFormat="false" ht="15" hidden="false" customHeight="false" outlineLevel="0" collapsed="false">
      <c r="A48" s="37" t="n">
        <v>45835</v>
      </c>
      <c r="B48" s="38" t="s">
        <v>63</v>
      </c>
      <c r="C48" s="38" t="s">
        <v>74</v>
      </c>
      <c r="D48" s="38" t="s">
        <v>60</v>
      </c>
      <c r="E48" s="39" t="n">
        <v>22</v>
      </c>
      <c r="F48" s="40" t="n">
        <v>56400</v>
      </c>
      <c r="G48" s="40" t="n">
        <v>1240800</v>
      </c>
    </row>
    <row r="49" customFormat="false" ht="15" hidden="false" customHeight="false" outlineLevel="0" collapsed="false">
      <c r="A49" s="27" t="n">
        <v>45839</v>
      </c>
      <c r="B49" s="28" t="s">
        <v>46</v>
      </c>
      <c r="C49" s="28" t="s">
        <v>64</v>
      </c>
      <c r="D49" s="28" t="s">
        <v>65</v>
      </c>
      <c r="E49" s="29" t="n">
        <v>33</v>
      </c>
      <c r="F49" s="30" t="n">
        <v>156300</v>
      </c>
      <c r="G49" s="30" t="n">
        <v>5157900</v>
      </c>
    </row>
    <row r="50" customFormat="false" ht="15" hidden="false" customHeight="false" outlineLevel="0" collapsed="false">
      <c r="A50" s="37" t="n">
        <v>45846</v>
      </c>
      <c r="B50" s="38" t="s">
        <v>73</v>
      </c>
      <c r="C50" s="38" t="s">
        <v>64</v>
      </c>
      <c r="D50" s="38" t="s">
        <v>75</v>
      </c>
      <c r="E50" s="39" t="n">
        <v>23</v>
      </c>
      <c r="F50" s="40" t="n">
        <v>153100</v>
      </c>
      <c r="G50" s="40" t="n">
        <v>3521300</v>
      </c>
    </row>
    <row r="51" customFormat="false" ht="15" hidden="false" customHeight="false" outlineLevel="0" collapsed="false">
      <c r="A51" s="27" t="n">
        <v>45848</v>
      </c>
      <c r="B51" s="28" t="s">
        <v>46</v>
      </c>
      <c r="C51" s="28" t="s">
        <v>53</v>
      </c>
      <c r="D51" s="28" t="s">
        <v>60</v>
      </c>
      <c r="E51" s="29" t="n">
        <v>23</v>
      </c>
      <c r="F51" s="30" t="n">
        <v>14200</v>
      </c>
      <c r="G51" s="30" t="n">
        <v>326600</v>
      </c>
    </row>
    <row r="52" customFormat="false" ht="15" hidden="false" customHeight="false" outlineLevel="0" collapsed="false">
      <c r="A52" s="37" t="n">
        <v>45852</v>
      </c>
      <c r="B52" s="38" t="s">
        <v>63</v>
      </c>
      <c r="C52" s="38" t="s">
        <v>53</v>
      </c>
      <c r="D52" s="38" t="s">
        <v>75</v>
      </c>
      <c r="E52" s="39" t="n">
        <v>8</v>
      </c>
      <c r="F52" s="40" t="n">
        <v>15700</v>
      </c>
      <c r="G52" s="40" t="n">
        <v>125600</v>
      </c>
    </row>
    <row r="53" customFormat="false" ht="15" hidden="false" customHeight="false" outlineLevel="0" collapsed="false">
      <c r="A53" s="27" t="n">
        <v>45854</v>
      </c>
      <c r="B53" s="28" t="s">
        <v>63</v>
      </c>
      <c r="C53" s="28" t="s">
        <v>47</v>
      </c>
      <c r="D53" s="28" t="s">
        <v>75</v>
      </c>
      <c r="E53" s="29" t="n">
        <v>22</v>
      </c>
      <c r="F53" s="30" t="n">
        <v>10600</v>
      </c>
      <c r="G53" s="30" t="n">
        <v>233200</v>
      </c>
    </row>
    <row r="54" customFormat="false" ht="15" hidden="false" customHeight="false" outlineLevel="0" collapsed="false">
      <c r="A54" s="37" t="n">
        <v>45854</v>
      </c>
      <c r="B54" s="38" t="s">
        <v>46</v>
      </c>
      <c r="C54" s="38" t="s">
        <v>74</v>
      </c>
      <c r="D54" s="38" t="s">
        <v>81</v>
      </c>
      <c r="E54" s="39" t="n">
        <v>13</v>
      </c>
      <c r="F54" s="40" t="n">
        <v>57700</v>
      </c>
      <c r="G54" s="40" t="n">
        <v>750100</v>
      </c>
    </row>
    <row r="55" customFormat="false" ht="15" hidden="false" customHeight="false" outlineLevel="0" collapsed="false">
      <c r="A55" s="27" t="n">
        <v>45855</v>
      </c>
      <c r="B55" s="28" t="s">
        <v>78</v>
      </c>
      <c r="C55" s="28" t="s">
        <v>53</v>
      </c>
      <c r="D55" s="28" t="s">
        <v>48</v>
      </c>
      <c r="E55" s="29" t="n">
        <v>4</v>
      </c>
      <c r="F55" s="30" t="n">
        <v>14600</v>
      </c>
      <c r="G55" s="30" t="n">
        <v>58400</v>
      </c>
    </row>
    <row r="56" customFormat="false" ht="15" hidden="false" customHeight="false" outlineLevel="0" collapsed="false">
      <c r="A56" s="37" t="n">
        <v>45862</v>
      </c>
      <c r="B56" s="38" t="s">
        <v>73</v>
      </c>
      <c r="C56" s="38" t="s">
        <v>47</v>
      </c>
      <c r="D56" s="38" t="s">
        <v>80</v>
      </c>
      <c r="E56" s="39" t="n">
        <v>13</v>
      </c>
      <c r="F56" s="40" t="n">
        <v>9700</v>
      </c>
      <c r="G56" s="40" t="n">
        <v>126100</v>
      </c>
    </row>
    <row r="57" customFormat="false" ht="15" hidden="false" customHeight="false" outlineLevel="0" collapsed="false">
      <c r="A57" s="27" t="n">
        <v>45862</v>
      </c>
      <c r="B57" s="28" t="s">
        <v>73</v>
      </c>
      <c r="C57" s="28" t="s">
        <v>64</v>
      </c>
      <c r="D57" s="28" t="s">
        <v>70</v>
      </c>
      <c r="E57" s="29" t="n">
        <v>37</v>
      </c>
      <c r="F57" s="30" t="n">
        <v>145400</v>
      </c>
      <c r="G57" s="30" t="n">
        <v>5379800</v>
      </c>
    </row>
    <row r="58" customFormat="false" ht="15" hidden="false" customHeight="false" outlineLevel="0" collapsed="false">
      <c r="A58" s="37" t="n">
        <v>45863</v>
      </c>
      <c r="B58" s="38" t="s">
        <v>63</v>
      </c>
      <c r="C58" s="38" t="s">
        <v>64</v>
      </c>
      <c r="D58" s="38" t="s">
        <v>81</v>
      </c>
      <c r="E58" s="39" t="n">
        <v>29</v>
      </c>
      <c r="F58" s="40" t="n">
        <v>147200</v>
      </c>
      <c r="G58" s="40" t="n">
        <v>4268800</v>
      </c>
    </row>
    <row r="59" customFormat="false" ht="15" hidden="false" customHeight="false" outlineLevel="0" collapsed="false">
      <c r="A59" s="27" t="n">
        <v>45863</v>
      </c>
      <c r="B59" s="28" t="s">
        <v>46</v>
      </c>
      <c r="C59" s="28" t="s">
        <v>76</v>
      </c>
      <c r="D59" s="28" t="s">
        <v>54</v>
      </c>
      <c r="E59" s="29" t="n">
        <v>10</v>
      </c>
      <c r="F59" s="30" t="n">
        <v>22800</v>
      </c>
      <c r="G59" s="30" t="n">
        <v>228000</v>
      </c>
    </row>
    <row r="60" customFormat="false" ht="15" hidden="false" customHeight="false" outlineLevel="0" collapsed="false">
      <c r="A60" s="37" t="n">
        <v>45864</v>
      </c>
      <c r="B60" s="38" t="s">
        <v>46</v>
      </c>
      <c r="C60" s="38" t="s">
        <v>64</v>
      </c>
      <c r="D60" s="38" t="s">
        <v>65</v>
      </c>
      <c r="E60" s="39" t="n">
        <v>34</v>
      </c>
      <c r="F60" s="40" t="n">
        <v>166100</v>
      </c>
      <c r="G60" s="40" t="n">
        <v>5647400</v>
      </c>
    </row>
    <row r="61" customFormat="false" ht="15" hidden="false" customHeight="false" outlineLevel="0" collapsed="false">
      <c r="A61" s="27" t="n">
        <v>45864</v>
      </c>
      <c r="B61" s="28" t="s">
        <v>46</v>
      </c>
      <c r="C61" s="28" t="s">
        <v>76</v>
      </c>
      <c r="D61" s="28" t="s">
        <v>79</v>
      </c>
      <c r="E61" s="29" t="n">
        <v>36</v>
      </c>
      <c r="F61" s="30" t="n">
        <v>21700</v>
      </c>
      <c r="G61" s="30" t="n">
        <v>781200</v>
      </c>
    </row>
    <row r="62" customFormat="false" ht="15" hidden="false" customHeight="false" outlineLevel="0" collapsed="false">
      <c r="A62" s="37" t="n">
        <v>45866</v>
      </c>
      <c r="B62" s="38" t="s">
        <v>52</v>
      </c>
      <c r="C62" s="38" t="s">
        <v>47</v>
      </c>
      <c r="D62" s="38" t="s">
        <v>81</v>
      </c>
      <c r="E62" s="39" t="n">
        <v>12</v>
      </c>
      <c r="F62" s="40" t="n">
        <v>10200</v>
      </c>
      <c r="G62" s="40" t="n">
        <v>122400</v>
      </c>
    </row>
    <row r="63" customFormat="false" ht="15" hidden="false" customHeight="false" outlineLevel="0" collapsed="false">
      <c r="A63" s="27" t="n">
        <v>45867</v>
      </c>
      <c r="B63" s="28" t="s">
        <v>63</v>
      </c>
      <c r="C63" s="28" t="s">
        <v>53</v>
      </c>
      <c r="D63" s="28" t="s">
        <v>79</v>
      </c>
      <c r="E63" s="29" t="n">
        <v>7</v>
      </c>
      <c r="F63" s="30" t="n">
        <v>15800</v>
      </c>
      <c r="G63" s="30" t="n">
        <v>110600</v>
      </c>
    </row>
    <row r="64" customFormat="false" ht="15" hidden="false" customHeight="false" outlineLevel="0" collapsed="false">
      <c r="A64" s="37" t="n">
        <v>45870</v>
      </c>
      <c r="B64" s="38" t="s">
        <v>52</v>
      </c>
      <c r="C64" s="38" t="s">
        <v>76</v>
      </c>
      <c r="D64" s="38" t="s">
        <v>70</v>
      </c>
      <c r="E64" s="39" t="n">
        <v>22</v>
      </c>
      <c r="F64" s="40" t="n">
        <v>23000</v>
      </c>
      <c r="G64" s="40" t="n">
        <v>506000</v>
      </c>
    </row>
    <row r="65" customFormat="false" ht="15" hidden="false" customHeight="false" outlineLevel="0" collapsed="false">
      <c r="A65" s="27" t="n">
        <v>45871</v>
      </c>
      <c r="B65" s="28" t="s">
        <v>52</v>
      </c>
      <c r="C65" s="28" t="s">
        <v>74</v>
      </c>
      <c r="D65" s="28" t="s">
        <v>81</v>
      </c>
      <c r="E65" s="29" t="n">
        <v>4</v>
      </c>
      <c r="F65" s="30" t="n">
        <v>66100</v>
      </c>
      <c r="G65" s="30" t="n">
        <v>264400</v>
      </c>
    </row>
    <row r="66" customFormat="false" ht="15" hidden="false" customHeight="false" outlineLevel="0" collapsed="false">
      <c r="A66" s="37" t="n">
        <v>45871</v>
      </c>
      <c r="B66" s="38" t="s">
        <v>73</v>
      </c>
      <c r="C66" s="38" t="s">
        <v>64</v>
      </c>
      <c r="D66" s="38" t="s">
        <v>77</v>
      </c>
      <c r="E66" s="39" t="n">
        <v>29</v>
      </c>
      <c r="F66" s="40" t="n">
        <v>133700</v>
      </c>
      <c r="G66" s="40" t="n">
        <v>3877300</v>
      </c>
    </row>
    <row r="67" customFormat="false" ht="15" hidden="false" customHeight="false" outlineLevel="0" collapsed="false">
      <c r="A67" s="27" t="n">
        <v>45873</v>
      </c>
      <c r="B67" s="28" t="s">
        <v>73</v>
      </c>
      <c r="C67" s="28" t="s">
        <v>47</v>
      </c>
      <c r="D67" s="28" t="s">
        <v>65</v>
      </c>
      <c r="E67" s="29" t="n">
        <v>30</v>
      </c>
      <c r="F67" s="30" t="n">
        <v>10400</v>
      </c>
      <c r="G67" s="30" t="n">
        <v>312000</v>
      </c>
    </row>
    <row r="68" customFormat="false" ht="15" hidden="false" customHeight="false" outlineLevel="0" collapsed="false">
      <c r="A68" s="37" t="n">
        <v>45875</v>
      </c>
      <c r="B68" s="38" t="s">
        <v>46</v>
      </c>
      <c r="C68" s="38" t="s">
        <v>53</v>
      </c>
      <c r="D68" s="38" t="s">
        <v>60</v>
      </c>
      <c r="E68" s="39" t="n">
        <v>2</v>
      </c>
      <c r="F68" s="40" t="n">
        <v>13500</v>
      </c>
      <c r="G68" s="40" t="n">
        <v>27000</v>
      </c>
    </row>
    <row r="69" customFormat="false" ht="15" hidden="false" customHeight="false" outlineLevel="0" collapsed="false">
      <c r="A69" s="27" t="n">
        <v>45878</v>
      </c>
      <c r="B69" s="28" t="s">
        <v>73</v>
      </c>
      <c r="C69" s="28" t="s">
        <v>64</v>
      </c>
      <c r="D69" s="28" t="s">
        <v>77</v>
      </c>
      <c r="E69" s="29" t="n">
        <v>31</v>
      </c>
      <c r="F69" s="30" t="n">
        <v>155500</v>
      </c>
      <c r="G69" s="30" t="n">
        <v>4820500</v>
      </c>
    </row>
    <row r="70" customFormat="false" ht="15" hidden="false" customHeight="false" outlineLevel="0" collapsed="false">
      <c r="A70" s="37" t="n">
        <v>45879</v>
      </c>
      <c r="B70" s="38" t="s">
        <v>78</v>
      </c>
      <c r="C70" s="38" t="s">
        <v>74</v>
      </c>
      <c r="D70" s="38" t="s">
        <v>80</v>
      </c>
      <c r="E70" s="39" t="n">
        <v>21</v>
      </c>
      <c r="F70" s="40" t="n">
        <v>69200</v>
      </c>
      <c r="G70" s="40" t="n">
        <v>1453200</v>
      </c>
    </row>
    <row r="71" customFormat="false" ht="15" hidden="false" customHeight="false" outlineLevel="0" collapsed="false">
      <c r="A71" s="27" t="n">
        <v>45880</v>
      </c>
      <c r="B71" s="28" t="s">
        <v>63</v>
      </c>
      <c r="C71" s="28" t="s">
        <v>47</v>
      </c>
      <c r="D71" s="28" t="s">
        <v>70</v>
      </c>
      <c r="E71" s="29" t="n">
        <v>19</v>
      </c>
      <c r="F71" s="30" t="n">
        <v>10400</v>
      </c>
      <c r="G71" s="30" t="n">
        <v>197600</v>
      </c>
    </row>
    <row r="72" customFormat="false" ht="15" hidden="false" customHeight="false" outlineLevel="0" collapsed="false">
      <c r="A72" s="37" t="n">
        <v>45883</v>
      </c>
      <c r="B72" s="38" t="s">
        <v>52</v>
      </c>
      <c r="C72" s="38" t="s">
        <v>74</v>
      </c>
      <c r="D72" s="38" t="s">
        <v>65</v>
      </c>
      <c r="E72" s="39" t="n">
        <v>5</v>
      </c>
      <c r="F72" s="40" t="n">
        <v>56000</v>
      </c>
      <c r="G72" s="40" t="n">
        <v>280000</v>
      </c>
    </row>
    <row r="73" customFormat="false" ht="15" hidden="false" customHeight="false" outlineLevel="0" collapsed="false">
      <c r="A73" s="27" t="n">
        <v>45884</v>
      </c>
      <c r="B73" s="28" t="s">
        <v>52</v>
      </c>
      <c r="C73" s="28" t="s">
        <v>64</v>
      </c>
      <c r="D73" s="28" t="s">
        <v>65</v>
      </c>
      <c r="E73" s="29" t="n">
        <v>16</v>
      </c>
      <c r="F73" s="30" t="n">
        <v>146000</v>
      </c>
      <c r="G73" s="30" t="n">
        <v>2336000</v>
      </c>
    </row>
    <row r="74" customFormat="false" ht="15" hidden="false" customHeight="false" outlineLevel="0" collapsed="false">
      <c r="A74" s="37" t="n">
        <v>45884</v>
      </c>
      <c r="B74" s="38" t="s">
        <v>78</v>
      </c>
      <c r="C74" s="38" t="s">
        <v>64</v>
      </c>
      <c r="D74" s="38" t="s">
        <v>80</v>
      </c>
      <c r="E74" s="39" t="n">
        <v>16</v>
      </c>
      <c r="F74" s="40" t="n">
        <v>157400</v>
      </c>
      <c r="G74" s="40" t="n">
        <v>2518400</v>
      </c>
    </row>
    <row r="75" customFormat="false" ht="15" hidden="false" customHeight="false" outlineLevel="0" collapsed="false">
      <c r="A75" s="27" t="n">
        <v>45884</v>
      </c>
      <c r="B75" s="28" t="s">
        <v>52</v>
      </c>
      <c r="C75" s="28" t="s">
        <v>74</v>
      </c>
      <c r="D75" s="28" t="s">
        <v>75</v>
      </c>
      <c r="E75" s="29" t="n">
        <v>5</v>
      </c>
      <c r="F75" s="30" t="n">
        <v>60700</v>
      </c>
      <c r="G75" s="30" t="n">
        <v>303500</v>
      </c>
    </row>
    <row r="76" customFormat="false" ht="15" hidden="false" customHeight="false" outlineLevel="0" collapsed="false">
      <c r="A76" s="37" t="n">
        <v>45885</v>
      </c>
      <c r="B76" s="38" t="s">
        <v>73</v>
      </c>
      <c r="C76" s="38" t="s">
        <v>47</v>
      </c>
      <c r="D76" s="38" t="s">
        <v>75</v>
      </c>
      <c r="E76" s="39" t="n">
        <v>14</v>
      </c>
      <c r="F76" s="40" t="n">
        <v>9300</v>
      </c>
      <c r="G76" s="40" t="n">
        <v>130200</v>
      </c>
    </row>
    <row r="77" customFormat="false" ht="15" hidden="false" customHeight="false" outlineLevel="0" collapsed="false">
      <c r="A77" s="27" t="n">
        <v>45890</v>
      </c>
      <c r="B77" s="28" t="s">
        <v>52</v>
      </c>
      <c r="C77" s="28" t="s">
        <v>64</v>
      </c>
      <c r="D77" s="28" t="s">
        <v>77</v>
      </c>
      <c r="E77" s="29" t="n">
        <v>36</v>
      </c>
      <c r="F77" s="30" t="n">
        <v>144500</v>
      </c>
      <c r="G77" s="30" t="n">
        <v>5202000</v>
      </c>
    </row>
    <row r="78" customFormat="false" ht="15" hidden="false" customHeight="false" outlineLevel="0" collapsed="false">
      <c r="A78" s="37" t="n">
        <v>45891</v>
      </c>
      <c r="B78" s="38" t="s">
        <v>52</v>
      </c>
      <c r="C78" s="38" t="s">
        <v>64</v>
      </c>
      <c r="D78" s="38" t="s">
        <v>79</v>
      </c>
      <c r="E78" s="39" t="n">
        <v>18</v>
      </c>
      <c r="F78" s="40" t="n">
        <v>168500</v>
      </c>
      <c r="G78" s="40" t="n">
        <v>3033000</v>
      </c>
    </row>
    <row r="79" customFormat="false" ht="15" hidden="false" customHeight="false" outlineLevel="0" collapsed="false">
      <c r="A79" s="27" t="n">
        <v>45891</v>
      </c>
      <c r="B79" s="28" t="s">
        <v>46</v>
      </c>
      <c r="C79" s="28" t="s">
        <v>53</v>
      </c>
      <c r="D79" s="28" t="s">
        <v>60</v>
      </c>
      <c r="E79" s="29" t="n">
        <v>9</v>
      </c>
      <c r="F79" s="30" t="n">
        <v>15800</v>
      </c>
      <c r="G79" s="30" t="n">
        <v>142200</v>
      </c>
    </row>
    <row r="80" customFormat="false" ht="15" hidden="false" customHeight="false" outlineLevel="0" collapsed="false">
      <c r="A80" s="37" t="n">
        <v>45893</v>
      </c>
      <c r="B80" s="38" t="s">
        <v>46</v>
      </c>
      <c r="C80" s="38" t="s">
        <v>53</v>
      </c>
      <c r="D80" s="38" t="s">
        <v>77</v>
      </c>
      <c r="E80" s="39" t="n">
        <v>24</v>
      </c>
      <c r="F80" s="40" t="n">
        <v>13500</v>
      </c>
      <c r="G80" s="40" t="n">
        <v>324000</v>
      </c>
    </row>
    <row r="81" customFormat="false" ht="15" hidden="false" customHeight="false" outlineLevel="0" collapsed="false">
      <c r="A81" s="27" t="n">
        <v>45901</v>
      </c>
      <c r="B81" s="28" t="s">
        <v>46</v>
      </c>
      <c r="C81" s="28" t="s">
        <v>57</v>
      </c>
      <c r="D81" s="28" t="s">
        <v>80</v>
      </c>
      <c r="E81" s="29" t="n">
        <v>10</v>
      </c>
      <c r="F81" s="30" t="n">
        <v>5600</v>
      </c>
      <c r="G81" s="30" t="n">
        <v>56000</v>
      </c>
    </row>
    <row r="82" customFormat="false" ht="15" hidden="false" customHeight="false" outlineLevel="0" collapsed="false">
      <c r="A82" s="37" t="n">
        <v>45905</v>
      </c>
      <c r="B82" s="38" t="s">
        <v>73</v>
      </c>
      <c r="C82" s="38" t="s">
        <v>76</v>
      </c>
      <c r="D82" s="38" t="s">
        <v>54</v>
      </c>
      <c r="E82" s="39" t="n">
        <v>32</v>
      </c>
      <c r="F82" s="40" t="n">
        <v>21700</v>
      </c>
      <c r="G82" s="40" t="n">
        <v>694400</v>
      </c>
    </row>
    <row r="83" customFormat="false" ht="15" hidden="false" customHeight="false" outlineLevel="0" collapsed="false">
      <c r="A83" s="27" t="n">
        <v>45905</v>
      </c>
      <c r="B83" s="28" t="s">
        <v>73</v>
      </c>
      <c r="C83" s="28" t="s">
        <v>53</v>
      </c>
      <c r="D83" s="28" t="s">
        <v>75</v>
      </c>
      <c r="E83" s="29" t="n">
        <v>6</v>
      </c>
      <c r="F83" s="30" t="n">
        <v>15500</v>
      </c>
      <c r="G83" s="30" t="n">
        <v>93000</v>
      </c>
    </row>
    <row r="84" customFormat="false" ht="15" hidden="false" customHeight="false" outlineLevel="0" collapsed="false">
      <c r="A84" s="37" t="n">
        <v>45906</v>
      </c>
      <c r="B84" s="38" t="s">
        <v>52</v>
      </c>
      <c r="C84" s="38" t="s">
        <v>76</v>
      </c>
      <c r="D84" s="38" t="s">
        <v>60</v>
      </c>
      <c r="E84" s="39" t="n">
        <v>2</v>
      </c>
      <c r="F84" s="40" t="n">
        <v>24700</v>
      </c>
      <c r="G84" s="40" t="n">
        <v>49400</v>
      </c>
    </row>
    <row r="85" customFormat="false" ht="15" hidden="false" customHeight="false" outlineLevel="0" collapsed="false">
      <c r="A85" s="27" t="n">
        <v>45906</v>
      </c>
      <c r="B85" s="28" t="s">
        <v>63</v>
      </c>
      <c r="C85" s="28" t="s">
        <v>47</v>
      </c>
      <c r="D85" s="28" t="s">
        <v>65</v>
      </c>
      <c r="E85" s="29" t="n">
        <v>32</v>
      </c>
      <c r="F85" s="30" t="n">
        <v>8900</v>
      </c>
      <c r="G85" s="30" t="n">
        <v>284800</v>
      </c>
    </row>
    <row r="86" customFormat="false" ht="15" hidden="false" customHeight="false" outlineLevel="0" collapsed="false">
      <c r="A86" s="37" t="n">
        <v>45907</v>
      </c>
      <c r="B86" s="38" t="s">
        <v>78</v>
      </c>
      <c r="C86" s="38" t="s">
        <v>74</v>
      </c>
      <c r="D86" s="38" t="s">
        <v>65</v>
      </c>
      <c r="E86" s="39" t="n">
        <v>12</v>
      </c>
      <c r="F86" s="40" t="n">
        <v>68600</v>
      </c>
      <c r="G86" s="40" t="n">
        <v>823200</v>
      </c>
    </row>
    <row r="87" customFormat="false" ht="15" hidden="false" customHeight="false" outlineLevel="0" collapsed="false">
      <c r="A87" s="27" t="n">
        <v>45907</v>
      </c>
      <c r="B87" s="28" t="s">
        <v>73</v>
      </c>
      <c r="C87" s="28" t="s">
        <v>53</v>
      </c>
      <c r="D87" s="28" t="s">
        <v>80</v>
      </c>
      <c r="E87" s="29" t="n">
        <v>35</v>
      </c>
      <c r="F87" s="30" t="n">
        <v>15600</v>
      </c>
      <c r="G87" s="30" t="n">
        <v>546000</v>
      </c>
    </row>
    <row r="88" customFormat="false" ht="15" hidden="false" customHeight="false" outlineLevel="0" collapsed="false">
      <c r="A88" s="37" t="n">
        <v>45908</v>
      </c>
      <c r="B88" s="38" t="s">
        <v>73</v>
      </c>
      <c r="C88" s="38" t="s">
        <v>74</v>
      </c>
      <c r="D88" s="38" t="s">
        <v>65</v>
      </c>
      <c r="E88" s="39" t="n">
        <v>9</v>
      </c>
      <c r="F88" s="40" t="n">
        <v>69300</v>
      </c>
      <c r="G88" s="40" t="n">
        <v>623700</v>
      </c>
    </row>
    <row r="89" customFormat="false" ht="15" hidden="false" customHeight="false" outlineLevel="0" collapsed="false">
      <c r="A89" s="27" t="n">
        <v>45908</v>
      </c>
      <c r="B89" s="28" t="s">
        <v>73</v>
      </c>
      <c r="C89" s="28" t="s">
        <v>57</v>
      </c>
      <c r="D89" s="28" t="s">
        <v>79</v>
      </c>
      <c r="E89" s="29" t="n">
        <v>35</v>
      </c>
      <c r="F89" s="30" t="n">
        <v>5800</v>
      </c>
      <c r="G89" s="30" t="n">
        <v>203000</v>
      </c>
    </row>
    <row r="90" customFormat="false" ht="15" hidden="false" customHeight="false" outlineLevel="0" collapsed="false">
      <c r="A90" s="37" t="n">
        <v>45910</v>
      </c>
      <c r="B90" s="38" t="s">
        <v>46</v>
      </c>
      <c r="C90" s="38" t="s">
        <v>74</v>
      </c>
      <c r="D90" s="38" t="s">
        <v>60</v>
      </c>
      <c r="E90" s="39" t="n">
        <v>11</v>
      </c>
      <c r="F90" s="40" t="n">
        <v>64300</v>
      </c>
      <c r="G90" s="40" t="n">
        <v>707300</v>
      </c>
    </row>
    <row r="91" customFormat="false" ht="15" hidden="false" customHeight="false" outlineLevel="0" collapsed="false">
      <c r="A91" s="27" t="n">
        <v>45911</v>
      </c>
      <c r="B91" s="28" t="s">
        <v>78</v>
      </c>
      <c r="C91" s="28" t="s">
        <v>53</v>
      </c>
      <c r="D91" s="28" t="s">
        <v>75</v>
      </c>
      <c r="E91" s="29" t="n">
        <v>38</v>
      </c>
      <c r="F91" s="30" t="n">
        <v>14700</v>
      </c>
      <c r="G91" s="30" t="n">
        <v>558600</v>
      </c>
    </row>
    <row r="92" customFormat="false" ht="15" hidden="false" customHeight="false" outlineLevel="0" collapsed="false">
      <c r="A92" s="37" t="n">
        <v>45913</v>
      </c>
      <c r="B92" s="38" t="s">
        <v>63</v>
      </c>
      <c r="C92" s="38" t="s">
        <v>74</v>
      </c>
      <c r="D92" s="38" t="s">
        <v>60</v>
      </c>
      <c r="E92" s="39" t="n">
        <v>10</v>
      </c>
      <c r="F92" s="40" t="n">
        <v>56600</v>
      </c>
      <c r="G92" s="40" t="n">
        <v>566000</v>
      </c>
    </row>
    <row r="93" customFormat="false" ht="15" hidden="false" customHeight="false" outlineLevel="0" collapsed="false">
      <c r="A93" s="27" t="n">
        <v>45915</v>
      </c>
      <c r="B93" s="28" t="s">
        <v>63</v>
      </c>
      <c r="C93" s="28" t="s">
        <v>74</v>
      </c>
      <c r="D93" s="28" t="s">
        <v>77</v>
      </c>
      <c r="E93" s="29" t="n">
        <v>15</v>
      </c>
      <c r="F93" s="30" t="n">
        <v>59500</v>
      </c>
      <c r="G93" s="30" t="n">
        <v>892500</v>
      </c>
    </row>
    <row r="94" customFormat="false" ht="15" hidden="false" customHeight="false" outlineLevel="0" collapsed="false">
      <c r="A94" s="37" t="n">
        <v>45917</v>
      </c>
      <c r="B94" s="38" t="s">
        <v>52</v>
      </c>
      <c r="C94" s="38" t="s">
        <v>64</v>
      </c>
      <c r="D94" s="38" t="s">
        <v>81</v>
      </c>
      <c r="E94" s="39" t="n">
        <v>25</v>
      </c>
      <c r="F94" s="40" t="n">
        <v>162700</v>
      </c>
      <c r="G94" s="40" t="n">
        <v>4067500</v>
      </c>
    </row>
    <row r="95" customFormat="false" ht="15" hidden="false" customHeight="false" outlineLevel="0" collapsed="false">
      <c r="A95" s="27" t="n">
        <v>45917</v>
      </c>
      <c r="B95" s="28" t="s">
        <v>63</v>
      </c>
      <c r="C95" s="28" t="s">
        <v>53</v>
      </c>
      <c r="D95" s="28" t="s">
        <v>81</v>
      </c>
      <c r="E95" s="29" t="n">
        <v>19</v>
      </c>
      <c r="F95" s="30" t="n">
        <v>14700</v>
      </c>
      <c r="G95" s="30" t="n">
        <v>279300</v>
      </c>
    </row>
    <row r="96" customFormat="false" ht="15" hidden="false" customHeight="false" outlineLevel="0" collapsed="false">
      <c r="A96" s="37" t="n">
        <v>45918</v>
      </c>
      <c r="B96" s="38" t="s">
        <v>46</v>
      </c>
      <c r="C96" s="38" t="s">
        <v>64</v>
      </c>
      <c r="D96" s="38" t="s">
        <v>48</v>
      </c>
      <c r="E96" s="39" t="n">
        <v>3</v>
      </c>
      <c r="F96" s="40" t="n">
        <v>145500</v>
      </c>
      <c r="G96" s="40" t="n">
        <v>436500</v>
      </c>
    </row>
    <row r="97" customFormat="false" ht="15" hidden="false" customHeight="false" outlineLevel="0" collapsed="false">
      <c r="A97" s="27" t="n">
        <v>45919</v>
      </c>
      <c r="B97" s="28" t="s">
        <v>63</v>
      </c>
      <c r="C97" s="28" t="s">
        <v>57</v>
      </c>
      <c r="D97" s="28" t="s">
        <v>81</v>
      </c>
      <c r="E97" s="29" t="n">
        <v>33</v>
      </c>
      <c r="F97" s="30" t="n">
        <v>4900</v>
      </c>
      <c r="G97" s="30" t="n">
        <v>161700</v>
      </c>
    </row>
    <row r="98" customFormat="false" ht="15" hidden="false" customHeight="false" outlineLevel="0" collapsed="false">
      <c r="A98" s="37" t="n">
        <v>45922</v>
      </c>
      <c r="B98" s="38" t="s">
        <v>52</v>
      </c>
      <c r="C98" s="38" t="s">
        <v>74</v>
      </c>
      <c r="D98" s="38" t="s">
        <v>80</v>
      </c>
      <c r="E98" s="39" t="n">
        <v>19</v>
      </c>
      <c r="F98" s="40" t="n">
        <v>59400</v>
      </c>
      <c r="G98" s="40" t="n">
        <v>1128600</v>
      </c>
    </row>
    <row r="99" customFormat="false" ht="15" hidden="false" customHeight="false" outlineLevel="0" collapsed="false">
      <c r="A99" s="27" t="n">
        <v>45924</v>
      </c>
      <c r="B99" s="28" t="s">
        <v>46</v>
      </c>
      <c r="C99" s="28" t="s">
        <v>74</v>
      </c>
      <c r="D99" s="28" t="s">
        <v>60</v>
      </c>
      <c r="E99" s="29" t="n">
        <v>18</v>
      </c>
      <c r="F99" s="30" t="n">
        <v>63100</v>
      </c>
      <c r="G99" s="30" t="n">
        <v>1135800</v>
      </c>
    </row>
    <row r="100" customFormat="false" ht="15" hidden="false" customHeight="false" outlineLevel="0" collapsed="false">
      <c r="A100" s="37" t="n">
        <v>45927</v>
      </c>
      <c r="B100" s="38" t="s">
        <v>78</v>
      </c>
      <c r="C100" s="38" t="s">
        <v>57</v>
      </c>
      <c r="D100" s="38" t="s">
        <v>79</v>
      </c>
      <c r="E100" s="39" t="n">
        <v>12</v>
      </c>
      <c r="F100" s="40" t="n">
        <v>5300</v>
      </c>
      <c r="G100" s="40" t="n">
        <v>63600</v>
      </c>
    </row>
    <row r="101" customFormat="false" ht="15" hidden="false" customHeight="false" outlineLevel="0" collapsed="false">
      <c r="A101" s="27" t="n">
        <v>45928</v>
      </c>
      <c r="B101" s="28" t="s">
        <v>73</v>
      </c>
      <c r="C101" s="28" t="s">
        <v>76</v>
      </c>
      <c r="D101" s="28" t="s">
        <v>60</v>
      </c>
      <c r="E101" s="29" t="n">
        <v>16</v>
      </c>
      <c r="F101" s="30" t="n">
        <v>23000</v>
      </c>
      <c r="G101" s="30" t="n">
        <v>368000</v>
      </c>
    </row>
    <row r="102" customFormat="false" ht="15" hidden="false" customHeight="false" outlineLevel="0" collapsed="false">
      <c r="A102" s="37" t="n">
        <v>45930</v>
      </c>
      <c r="B102" s="38" t="s">
        <v>78</v>
      </c>
      <c r="C102" s="38" t="s">
        <v>57</v>
      </c>
      <c r="D102" s="38" t="s">
        <v>54</v>
      </c>
      <c r="E102" s="39" t="n">
        <v>4</v>
      </c>
      <c r="F102" s="40" t="n">
        <v>5700</v>
      </c>
      <c r="G102" s="40" t="n">
        <v>22800</v>
      </c>
    </row>
    <row r="103" customFormat="false" ht="15" hidden="false" customHeight="false" outlineLevel="0" collapsed="false">
      <c r="A103" s="27" t="n">
        <v>45934</v>
      </c>
      <c r="B103" s="28" t="s">
        <v>78</v>
      </c>
      <c r="C103" s="28" t="s">
        <v>57</v>
      </c>
      <c r="D103" s="28" t="s">
        <v>70</v>
      </c>
      <c r="E103" s="29" t="n">
        <v>16</v>
      </c>
      <c r="F103" s="30" t="n">
        <v>5500</v>
      </c>
      <c r="G103" s="30" t="n">
        <v>88000</v>
      </c>
    </row>
    <row r="104" customFormat="false" ht="15" hidden="false" customHeight="false" outlineLevel="0" collapsed="false">
      <c r="A104" s="37" t="n">
        <v>45934</v>
      </c>
      <c r="B104" s="38" t="s">
        <v>63</v>
      </c>
      <c r="C104" s="38" t="s">
        <v>64</v>
      </c>
      <c r="D104" s="38" t="s">
        <v>48</v>
      </c>
      <c r="E104" s="39" t="n">
        <v>19</v>
      </c>
      <c r="F104" s="40" t="n">
        <v>160900</v>
      </c>
      <c r="G104" s="40" t="n">
        <v>3057100</v>
      </c>
    </row>
    <row r="105" customFormat="false" ht="15" hidden="false" customHeight="false" outlineLevel="0" collapsed="false">
      <c r="A105" s="27" t="n">
        <v>45935</v>
      </c>
      <c r="B105" s="28" t="s">
        <v>46</v>
      </c>
      <c r="C105" s="28" t="s">
        <v>47</v>
      </c>
      <c r="D105" s="28" t="s">
        <v>48</v>
      </c>
      <c r="E105" s="29" t="n">
        <v>27</v>
      </c>
      <c r="F105" s="30" t="n">
        <v>10600</v>
      </c>
      <c r="G105" s="30" t="n">
        <v>286200</v>
      </c>
    </row>
    <row r="106" customFormat="false" ht="15" hidden="false" customHeight="false" outlineLevel="0" collapsed="false">
      <c r="A106" s="37" t="n">
        <v>45935</v>
      </c>
      <c r="B106" s="38" t="s">
        <v>78</v>
      </c>
      <c r="C106" s="38" t="s">
        <v>64</v>
      </c>
      <c r="D106" s="38" t="s">
        <v>81</v>
      </c>
      <c r="E106" s="39" t="n">
        <v>36</v>
      </c>
      <c r="F106" s="40" t="n">
        <v>156900</v>
      </c>
      <c r="G106" s="40" t="n">
        <v>5648400</v>
      </c>
    </row>
    <row r="107" customFormat="false" ht="15" hidden="false" customHeight="false" outlineLevel="0" collapsed="false">
      <c r="A107" s="27" t="n">
        <v>45938</v>
      </c>
      <c r="B107" s="28" t="s">
        <v>63</v>
      </c>
      <c r="C107" s="28" t="s">
        <v>74</v>
      </c>
      <c r="D107" s="28" t="s">
        <v>81</v>
      </c>
      <c r="E107" s="29" t="n">
        <v>24</v>
      </c>
      <c r="F107" s="30" t="n">
        <v>70200</v>
      </c>
      <c r="G107" s="30" t="n">
        <v>1684800</v>
      </c>
    </row>
    <row r="108" customFormat="false" ht="15" hidden="false" customHeight="false" outlineLevel="0" collapsed="false">
      <c r="A108" s="37" t="n">
        <v>45941</v>
      </c>
      <c r="B108" s="38" t="s">
        <v>78</v>
      </c>
      <c r="C108" s="38" t="s">
        <v>53</v>
      </c>
      <c r="D108" s="38" t="s">
        <v>70</v>
      </c>
      <c r="E108" s="39" t="n">
        <v>24</v>
      </c>
      <c r="F108" s="40" t="n">
        <v>13800</v>
      </c>
      <c r="G108" s="40" t="n">
        <v>331200</v>
      </c>
    </row>
    <row r="109" customFormat="false" ht="15" hidden="false" customHeight="false" outlineLevel="0" collapsed="false">
      <c r="A109" s="27" t="n">
        <v>45944</v>
      </c>
      <c r="B109" s="28" t="s">
        <v>63</v>
      </c>
      <c r="C109" s="28" t="s">
        <v>76</v>
      </c>
      <c r="D109" s="28" t="s">
        <v>70</v>
      </c>
      <c r="E109" s="29" t="n">
        <v>17</v>
      </c>
      <c r="F109" s="30" t="n">
        <v>22000</v>
      </c>
      <c r="G109" s="30" t="n">
        <v>374000</v>
      </c>
    </row>
    <row r="110" customFormat="false" ht="15" hidden="false" customHeight="false" outlineLevel="0" collapsed="false">
      <c r="A110" s="37" t="n">
        <v>45946</v>
      </c>
      <c r="B110" s="38" t="s">
        <v>52</v>
      </c>
      <c r="C110" s="38" t="s">
        <v>53</v>
      </c>
      <c r="D110" s="38" t="s">
        <v>54</v>
      </c>
      <c r="E110" s="39" t="n">
        <v>37</v>
      </c>
      <c r="F110" s="40" t="n">
        <v>14700</v>
      </c>
      <c r="G110" s="40" t="n">
        <v>543900</v>
      </c>
    </row>
    <row r="111" customFormat="false" ht="15" hidden="false" customHeight="false" outlineLevel="0" collapsed="false">
      <c r="A111" s="27" t="n">
        <v>45958</v>
      </c>
      <c r="B111" s="28" t="s">
        <v>63</v>
      </c>
      <c r="C111" s="28" t="s">
        <v>76</v>
      </c>
      <c r="D111" s="28" t="s">
        <v>75</v>
      </c>
      <c r="E111" s="29" t="n">
        <v>16</v>
      </c>
      <c r="F111" s="30" t="n">
        <v>24600</v>
      </c>
      <c r="G111" s="30" t="n">
        <v>393600</v>
      </c>
    </row>
    <row r="112" customFormat="false" ht="15" hidden="false" customHeight="false" outlineLevel="0" collapsed="false">
      <c r="A112" s="37" t="n">
        <v>45959</v>
      </c>
      <c r="B112" s="38" t="s">
        <v>63</v>
      </c>
      <c r="C112" s="38" t="s">
        <v>57</v>
      </c>
      <c r="D112" s="38" t="s">
        <v>80</v>
      </c>
      <c r="E112" s="39" t="n">
        <v>2</v>
      </c>
      <c r="F112" s="40" t="n">
        <v>5700</v>
      </c>
      <c r="G112" s="40" t="n">
        <v>11400</v>
      </c>
    </row>
    <row r="113" customFormat="false" ht="15" hidden="false" customHeight="false" outlineLevel="0" collapsed="false">
      <c r="A113" s="27" t="n">
        <v>45961</v>
      </c>
      <c r="B113" s="28" t="s">
        <v>46</v>
      </c>
      <c r="C113" s="28" t="s">
        <v>53</v>
      </c>
      <c r="D113" s="28" t="s">
        <v>79</v>
      </c>
      <c r="E113" s="29" t="n">
        <v>3</v>
      </c>
      <c r="F113" s="30" t="n">
        <v>14000</v>
      </c>
      <c r="G113" s="30" t="n">
        <v>42000</v>
      </c>
    </row>
    <row r="114" customFormat="false" ht="15" hidden="false" customHeight="false" outlineLevel="0" collapsed="false">
      <c r="A114" s="37" t="n">
        <v>45967</v>
      </c>
      <c r="B114" s="38" t="s">
        <v>46</v>
      </c>
      <c r="C114" s="38" t="s">
        <v>74</v>
      </c>
      <c r="D114" s="38" t="s">
        <v>80</v>
      </c>
      <c r="E114" s="39" t="n">
        <v>27</v>
      </c>
      <c r="F114" s="40" t="n">
        <v>56800</v>
      </c>
      <c r="G114" s="40" t="n">
        <v>1533600</v>
      </c>
    </row>
    <row r="115" customFormat="false" ht="15" hidden="false" customHeight="false" outlineLevel="0" collapsed="false">
      <c r="A115" s="27" t="n">
        <v>45968</v>
      </c>
      <c r="B115" s="28" t="s">
        <v>46</v>
      </c>
      <c r="C115" s="28" t="s">
        <v>76</v>
      </c>
      <c r="D115" s="28" t="s">
        <v>81</v>
      </c>
      <c r="E115" s="29" t="n">
        <v>3</v>
      </c>
      <c r="F115" s="30" t="n">
        <v>26800</v>
      </c>
      <c r="G115" s="30" t="n">
        <v>80400</v>
      </c>
    </row>
    <row r="116" customFormat="false" ht="15" hidden="false" customHeight="false" outlineLevel="0" collapsed="false">
      <c r="A116" s="37" t="n">
        <v>45969</v>
      </c>
      <c r="B116" s="38" t="s">
        <v>46</v>
      </c>
      <c r="C116" s="38" t="s">
        <v>57</v>
      </c>
      <c r="D116" s="38" t="s">
        <v>54</v>
      </c>
      <c r="E116" s="39" t="n">
        <v>8</v>
      </c>
      <c r="F116" s="40" t="n">
        <v>6000</v>
      </c>
      <c r="G116" s="40" t="n">
        <v>48000</v>
      </c>
    </row>
    <row r="117" customFormat="false" ht="15" hidden="false" customHeight="false" outlineLevel="0" collapsed="false">
      <c r="A117" s="27" t="n">
        <v>45977</v>
      </c>
      <c r="B117" s="28" t="s">
        <v>78</v>
      </c>
      <c r="C117" s="28" t="s">
        <v>53</v>
      </c>
      <c r="D117" s="28" t="s">
        <v>60</v>
      </c>
      <c r="E117" s="29" t="n">
        <v>19</v>
      </c>
      <c r="F117" s="30" t="n">
        <v>15000</v>
      </c>
      <c r="G117" s="30" t="n">
        <v>285000</v>
      </c>
    </row>
    <row r="118" customFormat="false" ht="15" hidden="false" customHeight="false" outlineLevel="0" collapsed="false">
      <c r="A118" s="37" t="n">
        <v>45980</v>
      </c>
      <c r="B118" s="38" t="s">
        <v>78</v>
      </c>
      <c r="C118" s="38" t="s">
        <v>57</v>
      </c>
      <c r="D118" s="38" t="s">
        <v>54</v>
      </c>
      <c r="E118" s="39" t="n">
        <v>11</v>
      </c>
      <c r="F118" s="40" t="n">
        <v>5700</v>
      </c>
      <c r="G118" s="40" t="n">
        <v>62700</v>
      </c>
    </row>
    <row r="119" customFormat="false" ht="15" hidden="false" customHeight="false" outlineLevel="0" collapsed="false">
      <c r="A119" s="27" t="n">
        <v>45983</v>
      </c>
      <c r="B119" s="28" t="s">
        <v>46</v>
      </c>
      <c r="C119" s="28" t="s">
        <v>74</v>
      </c>
      <c r="D119" s="28" t="s">
        <v>79</v>
      </c>
      <c r="E119" s="29" t="n">
        <v>19</v>
      </c>
      <c r="F119" s="30" t="n">
        <v>60200</v>
      </c>
      <c r="G119" s="30" t="n">
        <v>1143800</v>
      </c>
    </row>
    <row r="120" customFormat="false" ht="15" hidden="false" customHeight="false" outlineLevel="0" collapsed="false">
      <c r="A120" s="37" t="n">
        <v>45984</v>
      </c>
      <c r="B120" s="38" t="s">
        <v>73</v>
      </c>
      <c r="C120" s="38" t="s">
        <v>53</v>
      </c>
      <c r="D120" s="38" t="s">
        <v>54</v>
      </c>
      <c r="E120" s="39" t="n">
        <v>37</v>
      </c>
      <c r="F120" s="40" t="n">
        <v>13500</v>
      </c>
      <c r="G120" s="40" t="n">
        <v>499500</v>
      </c>
    </row>
    <row r="121" customFormat="false" ht="15" hidden="false" customHeight="false" outlineLevel="0" collapsed="false">
      <c r="A121" s="27" t="n">
        <v>45990</v>
      </c>
      <c r="B121" s="28" t="s">
        <v>52</v>
      </c>
      <c r="C121" s="28" t="s">
        <v>53</v>
      </c>
      <c r="D121" s="28" t="s">
        <v>81</v>
      </c>
      <c r="E121" s="29" t="n">
        <v>12</v>
      </c>
      <c r="F121" s="30" t="n">
        <v>16300</v>
      </c>
      <c r="G121" s="30" t="n">
        <v>195600</v>
      </c>
    </row>
    <row r="122" customFormat="false" ht="15" hidden="false" customHeight="false" outlineLevel="0" collapsed="false">
      <c r="A122" s="37" t="n">
        <v>45992</v>
      </c>
      <c r="B122" s="38" t="s">
        <v>78</v>
      </c>
      <c r="C122" s="38" t="s">
        <v>47</v>
      </c>
      <c r="D122" s="38" t="s">
        <v>65</v>
      </c>
      <c r="E122" s="39" t="n">
        <v>5</v>
      </c>
      <c r="F122" s="40" t="n">
        <v>9000</v>
      </c>
      <c r="G122" s="40" t="n">
        <v>45000</v>
      </c>
    </row>
    <row r="123" customFormat="false" ht="15" hidden="false" customHeight="false" outlineLevel="0" collapsed="false">
      <c r="A123" s="27" t="n">
        <v>45993</v>
      </c>
      <c r="B123" s="28" t="s">
        <v>46</v>
      </c>
      <c r="C123" s="28" t="s">
        <v>64</v>
      </c>
      <c r="D123" s="28" t="s">
        <v>77</v>
      </c>
      <c r="E123" s="29" t="n">
        <v>16</v>
      </c>
      <c r="F123" s="30" t="n">
        <v>153900</v>
      </c>
      <c r="G123" s="30" t="n">
        <v>2462400</v>
      </c>
    </row>
    <row r="124" customFormat="false" ht="15" hidden="false" customHeight="false" outlineLevel="0" collapsed="false">
      <c r="A124" s="37" t="n">
        <v>45994</v>
      </c>
      <c r="B124" s="38" t="s">
        <v>63</v>
      </c>
      <c r="C124" s="38" t="s">
        <v>57</v>
      </c>
      <c r="D124" s="38" t="s">
        <v>65</v>
      </c>
      <c r="E124" s="39" t="n">
        <v>17</v>
      </c>
      <c r="F124" s="40" t="n">
        <v>5700</v>
      </c>
      <c r="G124" s="40" t="n">
        <v>96900</v>
      </c>
    </row>
    <row r="125" customFormat="false" ht="15" hidden="false" customHeight="false" outlineLevel="0" collapsed="false">
      <c r="A125" s="27" t="n">
        <v>45994</v>
      </c>
      <c r="B125" s="28" t="s">
        <v>46</v>
      </c>
      <c r="C125" s="28" t="s">
        <v>76</v>
      </c>
      <c r="D125" s="28" t="s">
        <v>65</v>
      </c>
      <c r="E125" s="29" t="n">
        <v>33</v>
      </c>
      <c r="F125" s="30" t="n">
        <v>25100</v>
      </c>
      <c r="G125" s="30" t="n">
        <v>828300</v>
      </c>
    </row>
    <row r="126" customFormat="false" ht="15" hidden="false" customHeight="false" outlineLevel="0" collapsed="false">
      <c r="A126" s="37" t="n">
        <v>45996</v>
      </c>
      <c r="B126" s="38" t="s">
        <v>78</v>
      </c>
      <c r="C126" s="38" t="s">
        <v>53</v>
      </c>
      <c r="D126" s="38" t="s">
        <v>65</v>
      </c>
      <c r="E126" s="39" t="n">
        <v>10</v>
      </c>
      <c r="F126" s="40" t="n">
        <v>13500</v>
      </c>
      <c r="G126" s="40" t="n">
        <v>135000</v>
      </c>
    </row>
    <row r="127" customFormat="false" ht="15" hidden="false" customHeight="false" outlineLevel="0" collapsed="false">
      <c r="A127" s="27" t="n">
        <v>45998</v>
      </c>
      <c r="B127" s="28" t="s">
        <v>78</v>
      </c>
      <c r="C127" s="28" t="s">
        <v>47</v>
      </c>
      <c r="D127" s="28" t="s">
        <v>60</v>
      </c>
      <c r="E127" s="29" t="n">
        <v>37</v>
      </c>
      <c r="F127" s="30" t="n">
        <v>10200</v>
      </c>
      <c r="G127" s="30" t="n">
        <v>377400</v>
      </c>
    </row>
    <row r="128" customFormat="false" ht="15" hidden="false" customHeight="false" outlineLevel="0" collapsed="false">
      <c r="A128" s="37" t="n">
        <v>45999</v>
      </c>
      <c r="B128" s="38" t="s">
        <v>52</v>
      </c>
      <c r="C128" s="38" t="s">
        <v>76</v>
      </c>
      <c r="D128" s="38" t="s">
        <v>54</v>
      </c>
      <c r="E128" s="39" t="n">
        <v>31</v>
      </c>
      <c r="F128" s="40" t="n">
        <v>26900</v>
      </c>
      <c r="G128" s="40" t="n">
        <v>833900</v>
      </c>
    </row>
    <row r="129" customFormat="false" ht="15" hidden="false" customHeight="false" outlineLevel="0" collapsed="false">
      <c r="A129" s="27" t="n">
        <v>46001</v>
      </c>
      <c r="B129" s="28" t="s">
        <v>63</v>
      </c>
      <c r="C129" s="28" t="s">
        <v>76</v>
      </c>
      <c r="D129" s="28" t="s">
        <v>70</v>
      </c>
      <c r="E129" s="29" t="n">
        <v>25</v>
      </c>
      <c r="F129" s="30" t="n">
        <v>26100</v>
      </c>
      <c r="G129" s="30" t="n">
        <v>652500</v>
      </c>
    </row>
    <row r="130" customFormat="false" ht="15" hidden="false" customHeight="false" outlineLevel="0" collapsed="false">
      <c r="A130" s="37" t="n">
        <v>46006</v>
      </c>
      <c r="B130" s="38" t="s">
        <v>78</v>
      </c>
      <c r="C130" s="38" t="s">
        <v>53</v>
      </c>
      <c r="D130" s="38" t="s">
        <v>75</v>
      </c>
      <c r="E130" s="39" t="n">
        <v>18</v>
      </c>
      <c r="F130" s="40" t="n">
        <v>15900</v>
      </c>
      <c r="G130" s="40" t="n">
        <v>286200</v>
      </c>
    </row>
    <row r="131" customFormat="false" ht="15" hidden="false" customHeight="false" outlineLevel="0" collapsed="false">
      <c r="A131" s="27" t="n">
        <v>46006</v>
      </c>
      <c r="B131" s="28" t="s">
        <v>78</v>
      </c>
      <c r="C131" s="28" t="s">
        <v>57</v>
      </c>
      <c r="D131" s="28" t="s">
        <v>81</v>
      </c>
      <c r="E131" s="29" t="n">
        <v>12</v>
      </c>
      <c r="F131" s="30" t="n">
        <v>5200</v>
      </c>
      <c r="G131" s="30" t="n">
        <v>62400</v>
      </c>
    </row>
    <row r="132" customFormat="false" ht="15" hidden="false" customHeight="false" outlineLevel="0" collapsed="false">
      <c r="A132" s="37" t="n">
        <v>46007</v>
      </c>
      <c r="B132" s="38" t="s">
        <v>63</v>
      </c>
      <c r="C132" s="38" t="s">
        <v>53</v>
      </c>
      <c r="D132" s="38" t="s">
        <v>70</v>
      </c>
      <c r="E132" s="39" t="n">
        <v>1</v>
      </c>
      <c r="F132" s="40" t="n">
        <v>16400</v>
      </c>
      <c r="G132" s="40" t="n">
        <v>16400</v>
      </c>
    </row>
    <row r="133" customFormat="false" ht="15" hidden="false" customHeight="false" outlineLevel="0" collapsed="false">
      <c r="A133" s="27" t="n">
        <v>46009</v>
      </c>
      <c r="B133" s="28" t="s">
        <v>73</v>
      </c>
      <c r="C133" s="28" t="s">
        <v>53</v>
      </c>
      <c r="D133" s="28" t="s">
        <v>70</v>
      </c>
      <c r="E133" s="29" t="n">
        <v>8</v>
      </c>
      <c r="F133" s="30" t="n">
        <v>13500</v>
      </c>
      <c r="G133" s="30" t="n">
        <v>108000</v>
      </c>
    </row>
    <row r="134" customFormat="false" ht="15" hidden="false" customHeight="false" outlineLevel="0" collapsed="false">
      <c r="A134" s="37" t="n">
        <v>46010</v>
      </c>
      <c r="B134" s="38" t="s">
        <v>52</v>
      </c>
      <c r="C134" s="38" t="s">
        <v>74</v>
      </c>
      <c r="D134" s="38" t="s">
        <v>77</v>
      </c>
      <c r="E134" s="39" t="n">
        <v>6</v>
      </c>
      <c r="F134" s="40" t="n">
        <v>57100</v>
      </c>
      <c r="G134" s="40" t="n">
        <v>342600</v>
      </c>
    </row>
    <row r="135" customFormat="false" ht="15" hidden="false" customHeight="false" outlineLevel="0" collapsed="false">
      <c r="A135" s="27" t="n">
        <v>46012</v>
      </c>
      <c r="B135" s="28" t="s">
        <v>63</v>
      </c>
      <c r="C135" s="28" t="s">
        <v>64</v>
      </c>
      <c r="D135" s="28" t="s">
        <v>48</v>
      </c>
      <c r="E135" s="29" t="n">
        <v>3</v>
      </c>
      <c r="F135" s="30" t="n">
        <v>146200</v>
      </c>
      <c r="G135" s="30" t="n">
        <v>438600</v>
      </c>
    </row>
    <row r="136" customFormat="false" ht="15" hidden="false" customHeight="false" outlineLevel="0" collapsed="false">
      <c r="A136" s="37" t="n">
        <v>46013</v>
      </c>
      <c r="B136" s="38" t="s">
        <v>73</v>
      </c>
      <c r="C136" s="38" t="s">
        <v>57</v>
      </c>
      <c r="D136" s="38" t="s">
        <v>77</v>
      </c>
      <c r="E136" s="39" t="n">
        <v>31</v>
      </c>
      <c r="F136" s="40" t="n">
        <v>4800</v>
      </c>
      <c r="G136" s="40" t="n">
        <v>148800</v>
      </c>
    </row>
    <row r="137" customFormat="false" ht="15" hidden="false" customHeight="false" outlineLevel="0" collapsed="false">
      <c r="A137" s="27" t="n">
        <v>46015</v>
      </c>
      <c r="B137" s="28" t="s">
        <v>63</v>
      </c>
      <c r="C137" s="28" t="s">
        <v>64</v>
      </c>
      <c r="D137" s="28" t="s">
        <v>77</v>
      </c>
      <c r="E137" s="29" t="n">
        <v>33</v>
      </c>
      <c r="F137" s="30" t="n">
        <v>153800</v>
      </c>
      <c r="G137" s="30" t="n">
        <v>5075400</v>
      </c>
    </row>
    <row r="138" customFormat="false" ht="15" hidden="false" customHeight="false" outlineLevel="0" collapsed="false">
      <c r="A138" s="37" t="n">
        <v>46015</v>
      </c>
      <c r="B138" s="38" t="s">
        <v>46</v>
      </c>
      <c r="C138" s="38" t="s">
        <v>53</v>
      </c>
      <c r="D138" s="38" t="s">
        <v>77</v>
      </c>
      <c r="E138" s="39" t="n">
        <v>31</v>
      </c>
      <c r="F138" s="40" t="n">
        <v>15900</v>
      </c>
      <c r="G138" s="40" t="n">
        <v>492900</v>
      </c>
    </row>
    <row r="139" customFormat="false" ht="15" hidden="false" customHeight="false" outlineLevel="0" collapsed="false">
      <c r="A139" s="27" t="n">
        <v>46016</v>
      </c>
      <c r="B139" s="28" t="s">
        <v>46</v>
      </c>
      <c r="C139" s="28" t="s">
        <v>47</v>
      </c>
      <c r="D139" s="28" t="s">
        <v>70</v>
      </c>
      <c r="E139" s="29" t="n">
        <v>13</v>
      </c>
      <c r="F139" s="30" t="n">
        <v>8900</v>
      </c>
      <c r="G139" s="30" t="n">
        <v>115700</v>
      </c>
    </row>
    <row r="140" customFormat="false" ht="15" hidden="false" customHeight="false" outlineLevel="0" collapsed="false">
      <c r="A140" s="37" t="n">
        <v>46017</v>
      </c>
      <c r="B140" s="38" t="s">
        <v>73</v>
      </c>
      <c r="C140" s="38" t="s">
        <v>53</v>
      </c>
      <c r="D140" s="38" t="s">
        <v>75</v>
      </c>
      <c r="E140" s="39" t="n">
        <v>35</v>
      </c>
      <c r="F140" s="40" t="n">
        <v>16200</v>
      </c>
      <c r="G140" s="40" t="n">
        <v>567000</v>
      </c>
    </row>
    <row r="141" customFormat="false" ht="15" hidden="false" customHeight="false" outlineLevel="0" collapsed="false">
      <c r="A141" s="27" t="n">
        <v>46017</v>
      </c>
      <c r="B141" s="28" t="s">
        <v>73</v>
      </c>
      <c r="C141" s="28" t="s">
        <v>57</v>
      </c>
      <c r="D141" s="28" t="s">
        <v>81</v>
      </c>
      <c r="E141" s="29" t="n">
        <v>21</v>
      </c>
      <c r="F141" s="30" t="n">
        <v>5200</v>
      </c>
      <c r="G141" s="30" t="n">
        <v>109200</v>
      </c>
    </row>
    <row r="142" customFormat="false" ht="15" hidden="false" customHeight="false" outlineLevel="0" collapsed="false">
      <c r="A142" s="37" t="n">
        <v>46025</v>
      </c>
      <c r="B142" s="38" t="s">
        <v>52</v>
      </c>
      <c r="C142" s="38" t="s">
        <v>53</v>
      </c>
      <c r="D142" s="38" t="s">
        <v>77</v>
      </c>
      <c r="E142" s="39" t="n">
        <v>29</v>
      </c>
      <c r="F142" s="40" t="n">
        <v>15500</v>
      </c>
      <c r="G142" s="40" t="n">
        <v>449500</v>
      </c>
    </row>
    <row r="143" customFormat="false" ht="15" hidden="false" customHeight="false" outlineLevel="0" collapsed="false">
      <c r="A143" s="27" t="n">
        <v>46028</v>
      </c>
      <c r="B143" s="28" t="s">
        <v>63</v>
      </c>
      <c r="C143" s="28" t="s">
        <v>47</v>
      </c>
      <c r="D143" s="28" t="s">
        <v>77</v>
      </c>
      <c r="E143" s="29" t="n">
        <v>2</v>
      </c>
      <c r="F143" s="30" t="n">
        <v>8800</v>
      </c>
      <c r="G143" s="30" t="n">
        <v>17600</v>
      </c>
    </row>
    <row r="144" customFormat="false" ht="15" hidden="false" customHeight="false" outlineLevel="0" collapsed="false">
      <c r="A144" s="37" t="n">
        <v>46028</v>
      </c>
      <c r="B144" s="38" t="s">
        <v>46</v>
      </c>
      <c r="C144" s="38" t="s">
        <v>53</v>
      </c>
      <c r="D144" s="38" t="s">
        <v>81</v>
      </c>
      <c r="E144" s="39" t="n">
        <v>20</v>
      </c>
      <c r="F144" s="40" t="n">
        <v>15200</v>
      </c>
      <c r="G144" s="40" t="n">
        <v>304000</v>
      </c>
    </row>
    <row r="145" customFormat="false" ht="15" hidden="false" customHeight="false" outlineLevel="0" collapsed="false">
      <c r="A145" s="27" t="n">
        <v>46028</v>
      </c>
      <c r="B145" s="28" t="s">
        <v>63</v>
      </c>
      <c r="C145" s="28" t="s">
        <v>57</v>
      </c>
      <c r="D145" s="28" t="s">
        <v>77</v>
      </c>
      <c r="E145" s="29" t="n">
        <v>31</v>
      </c>
      <c r="F145" s="30" t="n">
        <v>5500</v>
      </c>
      <c r="G145" s="30" t="n">
        <v>170500</v>
      </c>
    </row>
    <row r="146" customFormat="false" ht="15" hidden="false" customHeight="false" outlineLevel="0" collapsed="false">
      <c r="A146" s="37" t="n">
        <v>46031</v>
      </c>
      <c r="B146" s="38" t="s">
        <v>73</v>
      </c>
      <c r="C146" s="38" t="s">
        <v>53</v>
      </c>
      <c r="D146" s="38" t="s">
        <v>81</v>
      </c>
      <c r="E146" s="39" t="n">
        <v>15</v>
      </c>
      <c r="F146" s="40" t="n">
        <v>13900</v>
      </c>
      <c r="G146" s="40" t="n">
        <v>208500</v>
      </c>
    </row>
    <row r="147" customFormat="false" ht="15" hidden="false" customHeight="false" outlineLevel="0" collapsed="false">
      <c r="A147" s="27" t="n">
        <v>46032</v>
      </c>
      <c r="B147" s="28" t="s">
        <v>78</v>
      </c>
      <c r="C147" s="28" t="s">
        <v>76</v>
      </c>
      <c r="D147" s="28" t="s">
        <v>48</v>
      </c>
      <c r="E147" s="29" t="n">
        <v>26</v>
      </c>
      <c r="F147" s="30" t="n">
        <v>23200</v>
      </c>
      <c r="G147" s="30" t="n">
        <v>603200</v>
      </c>
    </row>
    <row r="148" customFormat="false" ht="15" hidden="false" customHeight="false" outlineLevel="0" collapsed="false">
      <c r="A148" s="37" t="n">
        <v>46033</v>
      </c>
      <c r="B148" s="38" t="s">
        <v>78</v>
      </c>
      <c r="C148" s="38" t="s">
        <v>57</v>
      </c>
      <c r="D148" s="38" t="s">
        <v>65</v>
      </c>
      <c r="E148" s="39" t="n">
        <v>34</v>
      </c>
      <c r="F148" s="40" t="n">
        <v>5600</v>
      </c>
      <c r="G148" s="40" t="n">
        <v>190400</v>
      </c>
    </row>
    <row r="149" customFormat="false" ht="15" hidden="false" customHeight="false" outlineLevel="0" collapsed="false">
      <c r="A149" s="27" t="n">
        <v>46034</v>
      </c>
      <c r="B149" s="28" t="s">
        <v>52</v>
      </c>
      <c r="C149" s="28" t="s">
        <v>74</v>
      </c>
      <c r="D149" s="28" t="s">
        <v>54</v>
      </c>
      <c r="E149" s="29" t="n">
        <v>36</v>
      </c>
      <c r="F149" s="30" t="n">
        <v>57200</v>
      </c>
      <c r="G149" s="30" t="n">
        <v>2059200</v>
      </c>
    </row>
    <row r="150" customFormat="false" ht="15" hidden="false" customHeight="false" outlineLevel="0" collapsed="false">
      <c r="A150" s="37" t="n">
        <v>46034</v>
      </c>
      <c r="B150" s="38" t="s">
        <v>73</v>
      </c>
      <c r="C150" s="38" t="s">
        <v>74</v>
      </c>
      <c r="D150" s="38" t="s">
        <v>79</v>
      </c>
      <c r="E150" s="39" t="n">
        <v>8</v>
      </c>
      <c r="F150" s="40" t="n">
        <v>66300</v>
      </c>
      <c r="G150" s="40" t="n">
        <v>530400</v>
      </c>
    </row>
    <row r="151" customFormat="false" ht="15" hidden="false" customHeight="false" outlineLevel="0" collapsed="false">
      <c r="A151" s="27" t="n">
        <v>46034</v>
      </c>
      <c r="B151" s="28" t="s">
        <v>73</v>
      </c>
      <c r="C151" s="28" t="s">
        <v>76</v>
      </c>
      <c r="D151" s="28" t="s">
        <v>80</v>
      </c>
      <c r="E151" s="29" t="n">
        <v>23</v>
      </c>
      <c r="F151" s="30" t="n">
        <v>24600</v>
      </c>
      <c r="G151" s="30" t="n">
        <v>565800</v>
      </c>
    </row>
    <row r="152" customFormat="false" ht="15" hidden="false" customHeight="false" outlineLevel="0" collapsed="false">
      <c r="A152" s="37" t="n">
        <v>46036</v>
      </c>
      <c r="B152" s="38" t="s">
        <v>52</v>
      </c>
      <c r="C152" s="38" t="s">
        <v>74</v>
      </c>
      <c r="D152" s="38" t="s">
        <v>65</v>
      </c>
      <c r="E152" s="39" t="n">
        <v>2</v>
      </c>
      <c r="F152" s="40" t="n">
        <v>57600</v>
      </c>
      <c r="G152" s="40" t="n">
        <v>115200</v>
      </c>
    </row>
    <row r="153" customFormat="false" ht="15" hidden="false" customHeight="false" outlineLevel="0" collapsed="false">
      <c r="A153" s="27" t="n">
        <v>46037</v>
      </c>
      <c r="B153" s="28" t="s">
        <v>63</v>
      </c>
      <c r="C153" s="28" t="s">
        <v>76</v>
      </c>
      <c r="D153" s="28" t="s">
        <v>79</v>
      </c>
      <c r="E153" s="29" t="n">
        <v>3</v>
      </c>
      <c r="F153" s="30" t="n">
        <v>21600</v>
      </c>
      <c r="G153" s="30" t="n">
        <v>64800</v>
      </c>
    </row>
    <row r="154" customFormat="false" ht="15" hidden="false" customHeight="false" outlineLevel="0" collapsed="false">
      <c r="A154" s="37" t="n">
        <v>46038</v>
      </c>
      <c r="B154" s="38" t="s">
        <v>73</v>
      </c>
      <c r="C154" s="38" t="s">
        <v>76</v>
      </c>
      <c r="D154" s="38" t="s">
        <v>79</v>
      </c>
      <c r="E154" s="39" t="n">
        <v>28</v>
      </c>
      <c r="F154" s="40" t="n">
        <v>23200</v>
      </c>
      <c r="G154" s="40" t="n">
        <v>649600</v>
      </c>
    </row>
    <row r="155" customFormat="false" ht="15" hidden="false" customHeight="false" outlineLevel="0" collapsed="false">
      <c r="A155" s="27" t="n">
        <v>46038</v>
      </c>
      <c r="B155" s="28" t="s">
        <v>63</v>
      </c>
      <c r="C155" s="28" t="s">
        <v>53</v>
      </c>
      <c r="D155" s="28" t="s">
        <v>70</v>
      </c>
      <c r="E155" s="29" t="n">
        <v>22</v>
      </c>
      <c r="F155" s="30" t="n">
        <v>14300</v>
      </c>
      <c r="G155" s="30" t="n">
        <v>314600</v>
      </c>
    </row>
    <row r="156" customFormat="false" ht="15" hidden="false" customHeight="false" outlineLevel="0" collapsed="false">
      <c r="A156" s="37" t="n">
        <v>46038</v>
      </c>
      <c r="B156" s="38" t="s">
        <v>73</v>
      </c>
      <c r="C156" s="38" t="s">
        <v>64</v>
      </c>
      <c r="D156" s="38" t="s">
        <v>54</v>
      </c>
      <c r="E156" s="39" t="n">
        <v>15</v>
      </c>
      <c r="F156" s="40" t="n">
        <v>160300</v>
      </c>
      <c r="G156" s="40" t="n">
        <v>2404500</v>
      </c>
    </row>
    <row r="157" customFormat="false" ht="15" hidden="false" customHeight="false" outlineLevel="0" collapsed="false">
      <c r="A157" s="27" t="n">
        <v>46041</v>
      </c>
      <c r="B157" s="28" t="s">
        <v>78</v>
      </c>
      <c r="C157" s="28" t="s">
        <v>57</v>
      </c>
      <c r="D157" s="28" t="s">
        <v>77</v>
      </c>
      <c r="E157" s="29" t="n">
        <v>7</v>
      </c>
      <c r="F157" s="30" t="n">
        <v>4800</v>
      </c>
      <c r="G157" s="30" t="n">
        <v>33600</v>
      </c>
    </row>
    <row r="158" customFormat="false" ht="15" hidden="false" customHeight="false" outlineLevel="0" collapsed="false">
      <c r="A158" s="37" t="n">
        <v>46041</v>
      </c>
      <c r="B158" s="38" t="s">
        <v>52</v>
      </c>
      <c r="C158" s="38" t="s">
        <v>74</v>
      </c>
      <c r="D158" s="38" t="s">
        <v>77</v>
      </c>
      <c r="E158" s="39" t="n">
        <v>30</v>
      </c>
      <c r="F158" s="40" t="n">
        <v>60700</v>
      </c>
      <c r="G158" s="40" t="n">
        <v>1821000</v>
      </c>
    </row>
    <row r="159" customFormat="false" ht="15" hidden="false" customHeight="false" outlineLevel="0" collapsed="false">
      <c r="A159" s="27" t="n">
        <v>46043</v>
      </c>
      <c r="B159" s="28" t="s">
        <v>52</v>
      </c>
      <c r="C159" s="28" t="s">
        <v>76</v>
      </c>
      <c r="D159" s="28" t="s">
        <v>65</v>
      </c>
      <c r="E159" s="29" t="n">
        <v>10</v>
      </c>
      <c r="F159" s="30" t="n">
        <v>26200</v>
      </c>
      <c r="G159" s="30" t="n">
        <v>262000</v>
      </c>
    </row>
    <row r="160" customFormat="false" ht="15" hidden="false" customHeight="false" outlineLevel="0" collapsed="false">
      <c r="A160" s="37" t="n">
        <v>46044</v>
      </c>
      <c r="B160" s="38" t="s">
        <v>78</v>
      </c>
      <c r="C160" s="38" t="s">
        <v>47</v>
      </c>
      <c r="D160" s="38" t="s">
        <v>81</v>
      </c>
      <c r="E160" s="39" t="n">
        <v>2</v>
      </c>
      <c r="F160" s="40" t="n">
        <v>9400</v>
      </c>
      <c r="G160" s="40" t="n">
        <v>18800</v>
      </c>
    </row>
    <row r="161" customFormat="false" ht="15" hidden="false" customHeight="false" outlineLevel="0" collapsed="false">
      <c r="A161" s="27" t="n">
        <v>46049</v>
      </c>
      <c r="B161" s="28" t="s">
        <v>52</v>
      </c>
      <c r="C161" s="28" t="s">
        <v>74</v>
      </c>
      <c r="D161" s="28" t="s">
        <v>75</v>
      </c>
      <c r="E161" s="29" t="n">
        <v>1</v>
      </c>
      <c r="F161" s="30" t="n">
        <v>57100</v>
      </c>
      <c r="G161" s="30" t="n">
        <v>57100</v>
      </c>
    </row>
    <row r="162" customFormat="false" ht="15" hidden="false" customHeight="false" outlineLevel="0" collapsed="false">
      <c r="A162" s="37" t="n">
        <v>46049</v>
      </c>
      <c r="B162" s="38" t="s">
        <v>63</v>
      </c>
      <c r="C162" s="38" t="s">
        <v>57</v>
      </c>
      <c r="D162" s="38" t="s">
        <v>48</v>
      </c>
      <c r="E162" s="39" t="n">
        <v>28</v>
      </c>
      <c r="F162" s="40" t="n">
        <v>5300</v>
      </c>
      <c r="G162" s="40" t="n">
        <v>148400</v>
      </c>
    </row>
    <row r="163" customFormat="false" ht="15" hidden="false" customHeight="false" outlineLevel="0" collapsed="false">
      <c r="A163" s="27" t="n">
        <v>46050</v>
      </c>
      <c r="B163" s="28" t="s">
        <v>52</v>
      </c>
      <c r="C163" s="28" t="s">
        <v>47</v>
      </c>
      <c r="D163" s="28" t="s">
        <v>80</v>
      </c>
      <c r="E163" s="29" t="n">
        <v>2</v>
      </c>
      <c r="F163" s="30" t="n">
        <v>10500</v>
      </c>
      <c r="G163" s="30" t="n">
        <v>21000</v>
      </c>
    </row>
    <row r="164" customFormat="false" ht="15" hidden="false" customHeight="false" outlineLevel="0" collapsed="false">
      <c r="A164" s="37" t="n">
        <v>46051</v>
      </c>
      <c r="B164" s="38" t="s">
        <v>46</v>
      </c>
      <c r="C164" s="38" t="s">
        <v>57</v>
      </c>
      <c r="D164" s="38" t="s">
        <v>80</v>
      </c>
      <c r="E164" s="39" t="n">
        <v>9</v>
      </c>
      <c r="F164" s="40" t="n">
        <v>4700</v>
      </c>
      <c r="G164" s="40" t="n">
        <v>42300</v>
      </c>
    </row>
    <row r="165" customFormat="false" ht="15" hidden="false" customHeight="false" outlineLevel="0" collapsed="false">
      <c r="A165" s="27" t="n">
        <v>46056</v>
      </c>
      <c r="B165" s="28" t="s">
        <v>73</v>
      </c>
      <c r="C165" s="28" t="s">
        <v>47</v>
      </c>
      <c r="D165" s="28" t="s">
        <v>65</v>
      </c>
      <c r="E165" s="29" t="n">
        <v>35</v>
      </c>
      <c r="F165" s="30" t="n">
        <v>9600</v>
      </c>
      <c r="G165" s="30" t="n">
        <v>336000</v>
      </c>
    </row>
    <row r="166" customFormat="false" ht="15" hidden="false" customHeight="false" outlineLevel="0" collapsed="false">
      <c r="A166" s="37" t="n">
        <v>46059</v>
      </c>
      <c r="B166" s="38" t="s">
        <v>46</v>
      </c>
      <c r="C166" s="38" t="s">
        <v>74</v>
      </c>
      <c r="D166" s="38" t="s">
        <v>65</v>
      </c>
      <c r="E166" s="39" t="n">
        <v>36</v>
      </c>
      <c r="F166" s="40" t="n">
        <v>69500</v>
      </c>
      <c r="G166" s="40" t="n">
        <v>2502000</v>
      </c>
    </row>
    <row r="167" customFormat="false" ht="15" hidden="false" customHeight="false" outlineLevel="0" collapsed="false">
      <c r="A167" s="27" t="n">
        <v>46060</v>
      </c>
      <c r="B167" s="28" t="s">
        <v>52</v>
      </c>
      <c r="C167" s="28" t="s">
        <v>47</v>
      </c>
      <c r="D167" s="28" t="s">
        <v>54</v>
      </c>
      <c r="E167" s="29" t="n">
        <v>28</v>
      </c>
      <c r="F167" s="30" t="n">
        <v>10300</v>
      </c>
      <c r="G167" s="30" t="n">
        <v>288400</v>
      </c>
    </row>
    <row r="168" customFormat="false" ht="15" hidden="false" customHeight="false" outlineLevel="0" collapsed="false">
      <c r="A168" s="37" t="n">
        <v>46062</v>
      </c>
      <c r="B168" s="38" t="s">
        <v>63</v>
      </c>
      <c r="C168" s="38" t="s">
        <v>74</v>
      </c>
      <c r="D168" s="38" t="s">
        <v>75</v>
      </c>
      <c r="E168" s="39" t="n">
        <v>29</v>
      </c>
      <c r="F168" s="40" t="n">
        <v>65800</v>
      </c>
      <c r="G168" s="40" t="n">
        <v>1908200</v>
      </c>
    </row>
    <row r="169" customFormat="false" ht="15" hidden="false" customHeight="false" outlineLevel="0" collapsed="false">
      <c r="A169" s="27" t="n">
        <v>46063</v>
      </c>
      <c r="B169" s="28" t="s">
        <v>63</v>
      </c>
      <c r="C169" s="28" t="s">
        <v>53</v>
      </c>
      <c r="D169" s="28" t="s">
        <v>80</v>
      </c>
      <c r="E169" s="29" t="n">
        <v>15</v>
      </c>
      <c r="F169" s="30" t="n">
        <v>15700</v>
      </c>
      <c r="G169" s="30" t="n">
        <v>235500</v>
      </c>
    </row>
    <row r="170" customFormat="false" ht="15" hidden="false" customHeight="false" outlineLevel="0" collapsed="false">
      <c r="A170" s="37" t="n">
        <v>46064</v>
      </c>
      <c r="B170" s="38" t="s">
        <v>73</v>
      </c>
      <c r="C170" s="38" t="s">
        <v>57</v>
      </c>
      <c r="D170" s="38" t="s">
        <v>60</v>
      </c>
      <c r="E170" s="39" t="n">
        <v>36</v>
      </c>
      <c r="F170" s="40" t="n">
        <v>5800</v>
      </c>
      <c r="G170" s="40" t="n">
        <v>208800</v>
      </c>
    </row>
    <row r="171" customFormat="false" ht="15" hidden="false" customHeight="false" outlineLevel="0" collapsed="false">
      <c r="A171" s="27" t="n">
        <v>46066</v>
      </c>
      <c r="B171" s="28" t="s">
        <v>73</v>
      </c>
      <c r="C171" s="28" t="s">
        <v>74</v>
      </c>
      <c r="D171" s="28" t="s">
        <v>79</v>
      </c>
      <c r="E171" s="29" t="n">
        <v>17</v>
      </c>
      <c r="F171" s="30" t="n">
        <v>64800</v>
      </c>
      <c r="G171" s="30" t="n">
        <v>1101600</v>
      </c>
    </row>
    <row r="172" customFormat="false" ht="15" hidden="false" customHeight="false" outlineLevel="0" collapsed="false">
      <c r="A172" s="37" t="n">
        <v>46069</v>
      </c>
      <c r="B172" s="38" t="s">
        <v>63</v>
      </c>
      <c r="C172" s="38" t="s">
        <v>74</v>
      </c>
      <c r="D172" s="38" t="s">
        <v>65</v>
      </c>
      <c r="E172" s="39" t="n">
        <v>10</v>
      </c>
      <c r="F172" s="40" t="n">
        <v>57200</v>
      </c>
      <c r="G172" s="40" t="n">
        <v>572000</v>
      </c>
    </row>
    <row r="173" customFormat="false" ht="15" hidden="false" customHeight="false" outlineLevel="0" collapsed="false">
      <c r="A173" s="27" t="n">
        <v>46069</v>
      </c>
      <c r="B173" s="28" t="s">
        <v>63</v>
      </c>
      <c r="C173" s="28" t="s">
        <v>76</v>
      </c>
      <c r="D173" s="28" t="s">
        <v>60</v>
      </c>
      <c r="E173" s="29" t="n">
        <v>36</v>
      </c>
      <c r="F173" s="30" t="n">
        <v>22200</v>
      </c>
      <c r="G173" s="30" t="n">
        <v>799200</v>
      </c>
    </row>
    <row r="174" customFormat="false" ht="15" hidden="false" customHeight="false" outlineLevel="0" collapsed="false">
      <c r="A174" s="37" t="n">
        <v>46070</v>
      </c>
      <c r="B174" s="38" t="s">
        <v>78</v>
      </c>
      <c r="C174" s="38" t="s">
        <v>76</v>
      </c>
      <c r="D174" s="38" t="s">
        <v>70</v>
      </c>
      <c r="E174" s="39" t="n">
        <v>23</v>
      </c>
      <c r="F174" s="40" t="n">
        <v>23500</v>
      </c>
      <c r="G174" s="40" t="n">
        <v>540500</v>
      </c>
    </row>
    <row r="175" customFormat="false" ht="15" hidden="false" customHeight="false" outlineLevel="0" collapsed="false">
      <c r="A175" s="27" t="n">
        <v>46071</v>
      </c>
      <c r="B175" s="28" t="s">
        <v>52</v>
      </c>
      <c r="C175" s="28" t="s">
        <v>47</v>
      </c>
      <c r="D175" s="28" t="s">
        <v>77</v>
      </c>
      <c r="E175" s="29" t="n">
        <v>25</v>
      </c>
      <c r="F175" s="30" t="n">
        <v>10200</v>
      </c>
      <c r="G175" s="30" t="n">
        <v>255000</v>
      </c>
    </row>
    <row r="176" customFormat="false" ht="15" hidden="false" customHeight="false" outlineLevel="0" collapsed="false">
      <c r="A176" s="37" t="n">
        <v>46073</v>
      </c>
      <c r="B176" s="38" t="s">
        <v>78</v>
      </c>
      <c r="C176" s="38" t="s">
        <v>76</v>
      </c>
      <c r="D176" s="38" t="s">
        <v>77</v>
      </c>
      <c r="E176" s="39" t="n">
        <v>21</v>
      </c>
      <c r="F176" s="40" t="n">
        <v>22300</v>
      </c>
      <c r="G176" s="40" t="n">
        <v>468300</v>
      </c>
    </row>
    <row r="177" customFormat="false" ht="15" hidden="false" customHeight="false" outlineLevel="0" collapsed="false">
      <c r="A177" s="27" t="n">
        <v>46073</v>
      </c>
      <c r="B177" s="28" t="s">
        <v>63</v>
      </c>
      <c r="C177" s="28" t="s">
        <v>74</v>
      </c>
      <c r="D177" s="28" t="s">
        <v>75</v>
      </c>
      <c r="E177" s="29" t="n">
        <v>8</v>
      </c>
      <c r="F177" s="30" t="n">
        <v>70400</v>
      </c>
      <c r="G177" s="30" t="n">
        <v>563200</v>
      </c>
    </row>
    <row r="178" customFormat="false" ht="15" hidden="false" customHeight="false" outlineLevel="0" collapsed="false">
      <c r="A178" s="37" t="n">
        <v>46079</v>
      </c>
      <c r="B178" s="38" t="s">
        <v>73</v>
      </c>
      <c r="C178" s="38" t="s">
        <v>47</v>
      </c>
      <c r="D178" s="38" t="s">
        <v>60</v>
      </c>
      <c r="E178" s="39" t="n">
        <v>8</v>
      </c>
      <c r="F178" s="40" t="n">
        <v>9300</v>
      </c>
      <c r="G178" s="40" t="n">
        <v>74400</v>
      </c>
    </row>
    <row r="179" customFormat="false" ht="15" hidden="false" customHeight="false" outlineLevel="0" collapsed="false">
      <c r="A179" s="27" t="n">
        <v>46080</v>
      </c>
      <c r="B179" s="28" t="s">
        <v>63</v>
      </c>
      <c r="C179" s="28" t="s">
        <v>47</v>
      </c>
      <c r="D179" s="28" t="s">
        <v>75</v>
      </c>
      <c r="E179" s="29" t="n">
        <v>3</v>
      </c>
      <c r="F179" s="30" t="n">
        <v>9000</v>
      </c>
      <c r="G179" s="30" t="n">
        <v>27000</v>
      </c>
    </row>
    <row r="180" customFormat="false" ht="15" hidden="false" customHeight="false" outlineLevel="0" collapsed="false">
      <c r="A180" s="37" t="n">
        <v>46081</v>
      </c>
      <c r="B180" s="38" t="s">
        <v>73</v>
      </c>
      <c r="C180" s="38" t="s">
        <v>74</v>
      </c>
      <c r="D180" s="38" t="s">
        <v>48</v>
      </c>
      <c r="E180" s="39" t="n">
        <v>32</v>
      </c>
      <c r="F180" s="40" t="n">
        <v>71200</v>
      </c>
      <c r="G180" s="40" t="n">
        <v>2278400</v>
      </c>
    </row>
    <row r="181" customFormat="false" ht="15" hidden="false" customHeight="false" outlineLevel="0" collapsed="false">
      <c r="A181" s="27" t="n">
        <v>46082</v>
      </c>
      <c r="B181" s="28" t="s">
        <v>52</v>
      </c>
      <c r="C181" s="28" t="s">
        <v>53</v>
      </c>
      <c r="D181" s="28" t="s">
        <v>54</v>
      </c>
      <c r="E181" s="29" t="n">
        <v>36</v>
      </c>
      <c r="F181" s="30" t="n">
        <v>13500</v>
      </c>
      <c r="G181" s="30" t="n">
        <v>486000</v>
      </c>
    </row>
    <row r="182" customFormat="false" ht="15" hidden="false" customHeight="false" outlineLevel="0" collapsed="false">
      <c r="A182" s="37" t="n">
        <v>46085</v>
      </c>
      <c r="B182" s="38" t="s">
        <v>78</v>
      </c>
      <c r="C182" s="38" t="s">
        <v>47</v>
      </c>
      <c r="D182" s="38" t="s">
        <v>60</v>
      </c>
      <c r="E182" s="39" t="n">
        <v>35</v>
      </c>
      <c r="F182" s="40" t="n">
        <v>10100</v>
      </c>
      <c r="G182" s="40" t="n">
        <v>353500</v>
      </c>
    </row>
    <row r="183" customFormat="false" ht="15" hidden="false" customHeight="false" outlineLevel="0" collapsed="false">
      <c r="A183" s="27" t="n">
        <v>46087</v>
      </c>
      <c r="B183" s="28" t="s">
        <v>46</v>
      </c>
      <c r="C183" s="28" t="s">
        <v>64</v>
      </c>
      <c r="D183" s="28" t="s">
        <v>70</v>
      </c>
      <c r="E183" s="29" t="n">
        <v>3</v>
      </c>
      <c r="F183" s="30" t="n">
        <v>153800</v>
      </c>
      <c r="G183" s="30" t="n">
        <v>461400</v>
      </c>
    </row>
    <row r="184" customFormat="false" ht="15" hidden="false" customHeight="false" outlineLevel="0" collapsed="false">
      <c r="A184" s="37" t="n">
        <v>46094</v>
      </c>
      <c r="B184" s="38" t="s">
        <v>78</v>
      </c>
      <c r="C184" s="38" t="s">
        <v>57</v>
      </c>
      <c r="D184" s="38" t="s">
        <v>65</v>
      </c>
      <c r="E184" s="39" t="n">
        <v>6</v>
      </c>
      <c r="F184" s="40" t="n">
        <v>5500</v>
      </c>
      <c r="G184" s="40" t="n">
        <v>33000</v>
      </c>
    </row>
    <row r="185" customFormat="false" ht="15" hidden="false" customHeight="false" outlineLevel="0" collapsed="false">
      <c r="A185" s="27" t="n">
        <v>46097</v>
      </c>
      <c r="B185" s="28" t="s">
        <v>52</v>
      </c>
      <c r="C185" s="28" t="s">
        <v>47</v>
      </c>
      <c r="D185" s="28" t="s">
        <v>70</v>
      </c>
      <c r="E185" s="29" t="n">
        <v>11</v>
      </c>
      <c r="F185" s="30" t="n">
        <v>9800</v>
      </c>
      <c r="G185" s="30" t="n">
        <v>107800</v>
      </c>
    </row>
    <row r="186" customFormat="false" ht="15" hidden="false" customHeight="false" outlineLevel="0" collapsed="false">
      <c r="A186" s="37" t="n">
        <v>46099</v>
      </c>
      <c r="B186" s="38" t="s">
        <v>52</v>
      </c>
      <c r="C186" s="38" t="s">
        <v>76</v>
      </c>
      <c r="D186" s="38" t="s">
        <v>75</v>
      </c>
      <c r="E186" s="39" t="n">
        <v>34</v>
      </c>
      <c r="F186" s="40" t="n">
        <v>23000</v>
      </c>
      <c r="G186" s="40" t="n">
        <v>782000</v>
      </c>
    </row>
    <row r="187" customFormat="false" ht="15" hidden="false" customHeight="false" outlineLevel="0" collapsed="false">
      <c r="A187" s="27" t="n">
        <v>46112</v>
      </c>
      <c r="B187" s="28" t="s">
        <v>73</v>
      </c>
      <c r="C187" s="28" t="s">
        <v>57</v>
      </c>
      <c r="D187" s="28" t="s">
        <v>77</v>
      </c>
      <c r="E187" s="29" t="n">
        <v>25</v>
      </c>
      <c r="F187" s="30" t="n">
        <v>5200</v>
      </c>
      <c r="G187" s="30" t="n">
        <v>130000</v>
      </c>
    </row>
    <row r="188" customFormat="false" ht="15" hidden="false" customHeight="false" outlineLevel="0" collapsed="false">
      <c r="A188" s="37" t="n">
        <v>46112</v>
      </c>
      <c r="B188" s="38" t="s">
        <v>52</v>
      </c>
      <c r="C188" s="38" t="s">
        <v>64</v>
      </c>
      <c r="D188" s="38" t="s">
        <v>75</v>
      </c>
      <c r="E188" s="39" t="n">
        <v>25</v>
      </c>
      <c r="F188" s="40" t="n">
        <v>161400</v>
      </c>
      <c r="G188" s="40" t="n">
        <v>4035000</v>
      </c>
    </row>
  </sheetData>
  <mergeCells count="3">
    <mergeCell ref="A1:M1"/>
    <mergeCell ref="A2:M2"/>
    <mergeCell ref="A3:M5"/>
  </mergeCells>
  <conditionalFormatting sqref="L9:L17">
    <cfRule type="expression" priority="2" aboveAverage="0" equalAverage="0" bottom="0" percent="0" rank="0" text="" dxfId="0">
      <formula>LEFT(L9,1)="✓"</formula>
    </cfRule>
    <cfRule type="expression" priority="3" aboveAverage="0" equalAverage="0" bottom="0" percent="0" rank="0" text="" dxfId="1">
      <formula>LEFT(L9,1)="✗"</formula>
    </cfRule>
    <cfRule type="expression" priority="4" aboveAverage="0" equalAverage="0" bottom="0" percent="0" rank="0" text="" dxfId="2">
      <formula>LEFT(L9,1)="✎"</formula>
    </cfRule>
    <cfRule type="expression" priority="5" aboveAverage="0" equalAverage="0" bottom="0" percent="0" rank="0" text="" dxfId="3">
      <formula>LEFT(L9,1)="◯"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72A"/>
    <pageSetUpPr fitToPage="fals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4"/>
    <col collapsed="false" customWidth="true" hidden="false" outlineLevel="0" max="5" min="4" style="0" width="44"/>
    <col collapsed="false" customWidth="true" hidden="false" outlineLevel="0" max="6" min="6" style="0" width="46"/>
  </cols>
  <sheetData>
    <row r="1" customFormat="false" ht="30" hidden="false" customHeight="true" outlineLevel="0" collapsed="false">
      <c r="A1" s="75" t="s">
        <v>196</v>
      </c>
      <c r="B1" s="75"/>
      <c r="C1" s="75"/>
      <c r="D1" s="75"/>
      <c r="E1" s="75"/>
      <c r="F1" s="75"/>
    </row>
    <row r="2" customFormat="false" ht="15" hidden="false" customHeight="false" outlineLevel="0" collapsed="false">
      <c r="A2" s="76" t="s">
        <v>197</v>
      </c>
    </row>
    <row r="4" customFormat="false" ht="21.75" hidden="false" customHeight="true" outlineLevel="0" collapsed="false">
      <c r="A4" s="77" t="s">
        <v>198</v>
      </c>
      <c r="B4" s="77"/>
      <c r="C4" s="77"/>
      <c r="D4" s="77"/>
      <c r="E4" s="77"/>
      <c r="F4" s="77"/>
    </row>
    <row r="5" customFormat="false" ht="15" hidden="false" customHeight="false" outlineLevel="0" collapsed="false">
      <c r="A5" s="78" t="s">
        <v>14</v>
      </c>
      <c r="B5" s="78" t="s">
        <v>42</v>
      </c>
      <c r="C5" s="78" t="s">
        <v>199</v>
      </c>
      <c r="D5" s="78" t="s">
        <v>200</v>
      </c>
      <c r="E5" s="78" t="s">
        <v>201</v>
      </c>
      <c r="F5" s="78" t="s">
        <v>202</v>
      </c>
    </row>
    <row r="6" customFormat="false" ht="55.5" hidden="false" customHeight="true" outlineLevel="0" collapsed="false">
      <c r="A6" s="79" t="n">
        <v>1</v>
      </c>
      <c r="B6" s="79" t="s">
        <v>49</v>
      </c>
      <c r="C6" s="79" t="s">
        <v>203</v>
      </c>
      <c r="D6" s="80" t="s">
        <v>204</v>
      </c>
      <c r="E6" s="81" t="s">
        <v>205</v>
      </c>
      <c r="F6" s="79" t="s">
        <v>206</v>
      </c>
    </row>
    <row r="7" customFormat="false" ht="30" hidden="false" customHeight="true" outlineLevel="0" collapsed="false">
      <c r="A7" s="79" t="n">
        <v>2</v>
      </c>
      <c r="B7" s="79" t="s">
        <v>55</v>
      </c>
      <c r="C7" s="79" t="s">
        <v>207</v>
      </c>
      <c r="D7" s="80" t="s">
        <v>208</v>
      </c>
      <c r="E7" s="81" t="s">
        <v>209</v>
      </c>
      <c r="F7" s="79"/>
    </row>
    <row r="8" customFormat="false" ht="30" hidden="false" customHeight="true" outlineLevel="0" collapsed="false">
      <c r="A8" s="79" t="n">
        <v>3</v>
      </c>
      <c r="B8" s="79" t="s">
        <v>58</v>
      </c>
      <c r="C8" s="79" t="s">
        <v>210</v>
      </c>
      <c r="D8" s="80" t="s">
        <v>211</v>
      </c>
      <c r="E8" s="81"/>
      <c r="F8" s="79"/>
    </row>
    <row r="9" customFormat="false" ht="42" hidden="false" customHeight="true" outlineLevel="0" collapsed="false">
      <c r="A9" s="79" t="n">
        <v>4</v>
      </c>
      <c r="B9" s="79" t="s">
        <v>61</v>
      </c>
      <c r="C9" s="79" t="s">
        <v>212</v>
      </c>
      <c r="D9" s="80" t="s">
        <v>213</v>
      </c>
      <c r="E9" s="81"/>
      <c r="F9" s="79" t="s">
        <v>214</v>
      </c>
    </row>
    <row r="10" customFormat="false" ht="30" hidden="false" customHeight="true" outlineLevel="0" collapsed="false">
      <c r="A10" s="79" t="n">
        <v>5</v>
      </c>
      <c r="B10" s="79" t="s">
        <v>66</v>
      </c>
      <c r="C10" s="79" t="s">
        <v>215</v>
      </c>
      <c r="D10" s="80" t="s">
        <v>216</v>
      </c>
      <c r="E10" s="81"/>
      <c r="F10" s="79"/>
    </row>
    <row r="11" customFormat="false" ht="30" hidden="false" customHeight="true" outlineLevel="0" collapsed="false">
      <c r="A11" s="79" t="n">
        <v>6</v>
      </c>
      <c r="B11" s="79" t="s">
        <v>68</v>
      </c>
      <c r="C11" s="79" t="s">
        <v>217</v>
      </c>
      <c r="D11" s="80" t="s">
        <v>218</v>
      </c>
      <c r="E11" s="81"/>
      <c r="F11" s="79"/>
    </row>
    <row r="12" customFormat="false" ht="42" hidden="false" customHeight="true" outlineLevel="0" collapsed="false">
      <c r="A12" s="79" t="n">
        <v>7</v>
      </c>
      <c r="B12" s="79" t="s">
        <v>71</v>
      </c>
      <c r="C12" s="79" t="s">
        <v>219</v>
      </c>
      <c r="D12" s="80" t="s">
        <v>220</v>
      </c>
      <c r="E12" s="81"/>
      <c r="F12" s="79" t="s">
        <v>221</v>
      </c>
    </row>
    <row r="14" customFormat="false" ht="21.75" hidden="false" customHeight="true" outlineLevel="0" collapsed="false">
      <c r="A14" s="82" t="s">
        <v>222</v>
      </c>
      <c r="B14" s="82"/>
      <c r="C14" s="82"/>
      <c r="D14" s="82"/>
      <c r="E14" s="82"/>
      <c r="F14" s="82"/>
    </row>
    <row r="15" customFormat="false" ht="15" hidden="false" customHeight="false" outlineLevel="0" collapsed="false">
      <c r="A15" s="78" t="s">
        <v>14</v>
      </c>
      <c r="B15" s="78" t="s">
        <v>42</v>
      </c>
      <c r="C15" s="78" t="s">
        <v>199</v>
      </c>
      <c r="D15" s="78" t="s">
        <v>200</v>
      </c>
      <c r="E15" s="78" t="s">
        <v>201</v>
      </c>
      <c r="F15" s="78" t="s">
        <v>202</v>
      </c>
    </row>
    <row r="16" customFormat="false" ht="42" hidden="false" customHeight="true" outlineLevel="0" collapsed="false">
      <c r="A16" s="79" t="n">
        <v>1</v>
      </c>
      <c r="B16" s="79" t="s">
        <v>86</v>
      </c>
      <c r="C16" s="79" t="s">
        <v>223</v>
      </c>
      <c r="D16" s="80" t="s">
        <v>224</v>
      </c>
      <c r="E16" s="81" t="s">
        <v>225</v>
      </c>
      <c r="F16" s="79" t="s">
        <v>226</v>
      </c>
    </row>
    <row r="17" customFormat="false" ht="42" hidden="false" customHeight="true" outlineLevel="0" collapsed="false">
      <c r="A17" s="79" t="n">
        <v>2</v>
      </c>
      <c r="B17" s="79" t="s">
        <v>89</v>
      </c>
      <c r="C17" s="79" t="s">
        <v>227</v>
      </c>
      <c r="D17" s="80" t="s">
        <v>228</v>
      </c>
      <c r="E17" s="81" t="s">
        <v>229</v>
      </c>
      <c r="F17" s="79" t="s">
        <v>230</v>
      </c>
    </row>
    <row r="18" customFormat="false" ht="42" hidden="false" customHeight="true" outlineLevel="0" collapsed="false">
      <c r="A18" s="79" t="n">
        <v>3</v>
      </c>
      <c r="B18" s="79" t="s">
        <v>92</v>
      </c>
      <c r="C18" s="79" t="s">
        <v>231</v>
      </c>
      <c r="D18" s="80" t="s">
        <v>232</v>
      </c>
      <c r="E18" s="81"/>
      <c r="F18" s="79" t="s">
        <v>233</v>
      </c>
    </row>
    <row r="19" customFormat="false" ht="30" hidden="false" customHeight="true" outlineLevel="0" collapsed="false">
      <c r="A19" s="79" t="n">
        <v>4</v>
      </c>
      <c r="B19" s="79" t="s">
        <v>94</v>
      </c>
      <c r="C19" s="79" t="s">
        <v>234</v>
      </c>
      <c r="D19" s="80" t="s">
        <v>235</v>
      </c>
      <c r="E19" s="81"/>
      <c r="F19" s="79" t="s">
        <v>236</v>
      </c>
    </row>
    <row r="20" customFormat="false" ht="30" hidden="false" customHeight="true" outlineLevel="0" collapsed="false">
      <c r="A20" s="79" t="n">
        <v>5</v>
      </c>
      <c r="B20" s="79" t="s">
        <v>96</v>
      </c>
      <c r="C20" s="79" t="s">
        <v>237</v>
      </c>
      <c r="D20" s="80" t="s">
        <v>238</v>
      </c>
      <c r="E20" s="81" t="s">
        <v>239</v>
      </c>
      <c r="F20" s="79"/>
    </row>
    <row r="21" customFormat="false" ht="30" hidden="false" customHeight="true" outlineLevel="0" collapsed="false">
      <c r="A21" s="79" t="n">
        <v>6</v>
      </c>
      <c r="B21" s="79" t="s">
        <v>98</v>
      </c>
      <c r="C21" s="79" t="s">
        <v>240</v>
      </c>
      <c r="D21" s="80" t="s">
        <v>241</v>
      </c>
      <c r="E21" s="81"/>
      <c r="F21" s="79"/>
    </row>
    <row r="23" customFormat="false" ht="21.75" hidden="false" customHeight="true" outlineLevel="0" collapsed="false">
      <c r="A23" s="82" t="s">
        <v>242</v>
      </c>
      <c r="B23" s="82"/>
      <c r="C23" s="82"/>
      <c r="D23" s="82"/>
      <c r="E23" s="82"/>
      <c r="F23" s="82"/>
    </row>
    <row r="24" customFormat="false" ht="15" hidden="false" customHeight="false" outlineLevel="0" collapsed="false">
      <c r="A24" s="78" t="s">
        <v>14</v>
      </c>
      <c r="B24" s="78" t="s">
        <v>42</v>
      </c>
      <c r="C24" s="78" t="s">
        <v>199</v>
      </c>
      <c r="D24" s="78" t="s">
        <v>200</v>
      </c>
      <c r="E24" s="78" t="s">
        <v>201</v>
      </c>
      <c r="F24" s="78" t="s">
        <v>202</v>
      </c>
    </row>
    <row r="25" customFormat="false" ht="42" hidden="false" customHeight="true" outlineLevel="0" collapsed="false">
      <c r="A25" s="79" t="n">
        <v>1</v>
      </c>
      <c r="B25" s="79" t="s">
        <v>116</v>
      </c>
      <c r="C25" s="79" t="s">
        <v>227</v>
      </c>
      <c r="D25" s="80" t="s">
        <v>243</v>
      </c>
      <c r="E25" s="81" t="s">
        <v>244</v>
      </c>
      <c r="F25" s="79" t="s">
        <v>245</v>
      </c>
    </row>
    <row r="26" customFormat="false" ht="30" hidden="false" customHeight="true" outlineLevel="0" collapsed="false">
      <c r="A26" s="79" t="n">
        <v>2</v>
      </c>
      <c r="B26" s="79" t="s">
        <v>118</v>
      </c>
      <c r="C26" s="79" t="s">
        <v>207</v>
      </c>
      <c r="D26" s="80" t="s">
        <v>246</v>
      </c>
      <c r="E26" s="81" t="s">
        <v>247</v>
      </c>
      <c r="F26" s="79"/>
    </row>
    <row r="27" customFormat="false" ht="30" hidden="false" customHeight="true" outlineLevel="0" collapsed="false">
      <c r="A27" s="79" t="n">
        <v>3</v>
      </c>
      <c r="B27" s="79" t="s">
        <v>120</v>
      </c>
      <c r="C27" s="79" t="s">
        <v>210</v>
      </c>
      <c r="D27" s="80" t="s">
        <v>248</v>
      </c>
      <c r="E27" s="81" t="s">
        <v>249</v>
      </c>
      <c r="F27" s="79"/>
    </row>
    <row r="28" customFormat="false" ht="30" hidden="false" customHeight="true" outlineLevel="0" collapsed="false">
      <c r="A28" s="79" t="n">
        <v>4</v>
      </c>
      <c r="B28" s="79" t="s">
        <v>122</v>
      </c>
      <c r="C28" s="79" t="s">
        <v>212</v>
      </c>
      <c r="D28" s="80" t="s">
        <v>250</v>
      </c>
      <c r="E28" s="81" t="s">
        <v>251</v>
      </c>
      <c r="F28" s="79"/>
    </row>
    <row r="29" customFormat="false" ht="30" hidden="false" customHeight="true" outlineLevel="0" collapsed="false">
      <c r="A29" s="79" t="n">
        <v>5</v>
      </c>
      <c r="B29" s="79" t="s">
        <v>124</v>
      </c>
      <c r="C29" s="79" t="s">
        <v>215</v>
      </c>
      <c r="D29" s="80" t="s">
        <v>252</v>
      </c>
      <c r="E29" s="81" t="s">
        <v>253</v>
      </c>
      <c r="F29" s="79" t="s">
        <v>254</v>
      </c>
    </row>
    <row r="30" customFormat="false" ht="42" hidden="false" customHeight="true" outlineLevel="0" collapsed="false">
      <c r="A30" s="79" t="n">
        <v>6</v>
      </c>
      <c r="B30" s="79" t="s">
        <v>126</v>
      </c>
      <c r="C30" s="79" t="s">
        <v>217</v>
      </c>
      <c r="D30" s="80" t="s">
        <v>255</v>
      </c>
      <c r="E30" s="81"/>
      <c r="F30" s="79" t="s">
        <v>256</v>
      </c>
    </row>
    <row r="31" customFormat="false" ht="42" hidden="false" customHeight="true" outlineLevel="0" collapsed="false">
      <c r="A31" s="79" t="n">
        <v>7</v>
      </c>
      <c r="B31" s="79" t="s">
        <v>128</v>
      </c>
      <c r="C31" s="79" t="s">
        <v>219</v>
      </c>
      <c r="D31" s="80" t="s">
        <v>257</v>
      </c>
      <c r="E31" s="81"/>
      <c r="F31" s="79" t="s">
        <v>258</v>
      </c>
    </row>
    <row r="33" customFormat="false" ht="21.75" hidden="false" customHeight="true" outlineLevel="0" collapsed="false">
      <c r="A33" s="83" t="s">
        <v>259</v>
      </c>
      <c r="B33" s="83"/>
      <c r="C33" s="83"/>
      <c r="D33" s="83"/>
      <c r="E33" s="83"/>
      <c r="F33" s="83"/>
    </row>
    <row r="34" customFormat="false" ht="15" hidden="false" customHeight="false" outlineLevel="0" collapsed="false">
      <c r="A34" s="78" t="s">
        <v>14</v>
      </c>
      <c r="B34" s="78" t="s">
        <v>42</v>
      </c>
      <c r="C34" s="78" t="s">
        <v>199</v>
      </c>
      <c r="D34" s="78" t="s">
        <v>200</v>
      </c>
      <c r="E34" s="78" t="s">
        <v>201</v>
      </c>
      <c r="F34" s="78" t="s">
        <v>202</v>
      </c>
    </row>
    <row r="35" customFormat="false" ht="42" hidden="false" customHeight="true" outlineLevel="0" collapsed="false">
      <c r="A35" s="79" t="n">
        <v>1</v>
      </c>
      <c r="B35" s="79" t="s">
        <v>136</v>
      </c>
      <c r="C35" s="79" t="s">
        <v>227</v>
      </c>
      <c r="D35" s="80" t="s">
        <v>260</v>
      </c>
      <c r="E35" s="81" t="s">
        <v>261</v>
      </c>
      <c r="F35" s="79" t="s">
        <v>262</v>
      </c>
    </row>
    <row r="36" customFormat="false" ht="42" hidden="false" customHeight="true" outlineLevel="0" collapsed="false">
      <c r="A36" s="79" t="n">
        <v>2</v>
      </c>
      <c r="B36" s="79" t="s">
        <v>138</v>
      </c>
      <c r="C36" s="79" t="s">
        <v>207</v>
      </c>
      <c r="D36" s="80" t="s">
        <v>263</v>
      </c>
      <c r="E36" s="81"/>
      <c r="F36" s="79" t="s">
        <v>264</v>
      </c>
    </row>
    <row r="37" customFormat="false" ht="30" hidden="false" customHeight="true" outlineLevel="0" collapsed="false">
      <c r="A37" s="79" t="n">
        <v>3</v>
      </c>
      <c r="B37" s="79" t="s">
        <v>140</v>
      </c>
      <c r="C37" s="79" t="s">
        <v>210</v>
      </c>
      <c r="D37" s="80" t="s">
        <v>265</v>
      </c>
      <c r="E37" s="81"/>
      <c r="F37" s="79"/>
    </row>
    <row r="38" customFormat="false" ht="30" hidden="false" customHeight="true" outlineLevel="0" collapsed="false">
      <c r="A38" s="79" t="n">
        <v>4</v>
      </c>
      <c r="B38" s="79" t="s">
        <v>142</v>
      </c>
      <c r="C38" s="79" t="s">
        <v>212</v>
      </c>
      <c r="D38" s="80" t="s">
        <v>266</v>
      </c>
      <c r="E38" s="81"/>
      <c r="F38" s="79"/>
    </row>
    <row r="39" customFormat="false" ht="42" hidden="false" customHeight="true" outlineLevel="0" collapsed="false">
      <c r="A39" s="79" t="n">
        <v>5</v>
      </c>
      <c r="B39" s="79" t="s">
        <v>144</v>
      </c>
      <c r="C39" s="79" t="s">
        <v>215</v>
      </c>
      <c r="D39" s="80" t="s">
        <v>267</v>
      </c>
      <c r="E39" s="81" t="s">
        <v>268</v>
      </c>
      <c r="F39" s="79" t="s">
        <v>269</v>
      </c>
    </row>
    <row r="40" customFormat="false" ht="30" hidden="false" customHeight="true" outlineLevel="0" collapsed="false">
      <c r="A40" s="79" t="n">
        <v>6</v>
      </c>
      <c r="B40" s="79" t="s">
        <v>146</v>
      </c>
      <c r="C40" s="79" t="s">
        <v>217</v>
      </c>
      <c r="D40" s="80" t="s">
        <v>270</v>
      </c>
      <c r="E40" s="81"/>
      <c r="F40" s="79"/>
    </row>
    <row r="41" customFormat="false" ht="30" hidden="false" customHeight="true" outlineLevel="0" collapsed="false">
      <c r="A41" s="79" t="n">
        <v>7</v>
      </c>
      <c r="B41" s="79" t="s">
        <v>148</v>
      </c>
      <c r="C41" s="79" t="s">
        <v>219</v>
      </c>
      <c r="D41" s="80" t="s">
        <v>271</v>
      </c>
      <c r="E41" s="81"/>
      <c r="F41" s="79"/>
    </row>
    <row r="43" customFormat="false" ht="21.75" hidden="false" customHeight="true" outlineLevel="0" collapsed="false">
      <c r="A43" s="83" t="s">
        <v>272</v>
      </c>
      <c r="B43" s="83"/>
      <c r="C43" s="83"/>
      <c r="D43" s="83"/>
      <c r="E43" s="83"/>
      <c r="F43" s="83"/>
    </row>
    <row r="44" customFormat="false" ht="15" hidden="false" customHeight="false" outlineLevel="0" collapsed="false">
      <c r="A44" s="78" t="s">
        <v>14</v>
      </c>
      <c r="B44" s="78" t="s">
        <v>42</v>
      </c>
      <c r="C44" s="78" t="s">
        <v>199</v>
      </c>
      <c r="D44" s="78" t="s">
        <v>200</v>
      </c>
      <c r="E44" s="78" t="s">
        <v>201</v>
      </c>
      <c r="F44" s="78" t="s">
        <v>202</v>
      </c>
    </row>
    <row r="45" customFormat="false" ht="42" hidden="false" customHeight="true" outlineLevel="0" collapsed="false">
      <c r="A45" s="79" t="n">
        <v>1</v>
      </c>
      <c r="B45" s="79" t="s">
        <v>158</v>
      </c>
      <c r="C45" s="79" t="s">
        <v>273</v>
      </c>
      <c r="D45" s="80" t="s">
        <v>274</v>
      </c>
      <c r="E45" s="81" t="s">
        <v>275</v>
      </c>
      <c r="F45" s="79" t="s">
        <v>276</v>
      </c>
    </row>
    <row r="46" customFormat="false" ht="42" hidden="false" customHeight="true" outlineLevel="0" collapsed="false">
      <c r="A46" s="79" t="n">
        <v>2</v>
      </c>
      <c r="B46" s="79" t="s">
        <v>161</v>
      </c>
      <c r="C46" s="79" t="s">
        <v>277</v>
      </c>
      <c r="D46" s="80" t="s">
        <v>278</v>
      </c>
      <c r="E46" s="81"/>
      <c r="F46" s="79" t="s">
        <v>279</v>
      </c>
    </row>
    <row r="47" customFormat="false" ht="30" hidden="false" customHeight="true" outlineLevel="0" collapsed="false">
      <c r="A47" s="79" t="n">
        <v>3</v>
      </c>
      <c r="B47" s="79" t="s">
        <v>164</v>
      </c>
      <c r="C47" s="79" t="s">
        <v>280</v>
      </c>
      <c r="D47" s="80" t="s">
        <v>281</v>
      </c>
      <c r="E47" s="81" t="s">
        <v>282</v>
      </c>
      <c r="F47" s="79"/>
    </row>
    <row r="48" customFormat="false" ht="30" hidden="false" customHeight="true" outlineLevel="0" collapsed="false">
      <c r="A48" s="79" t="n">
        <v>4</v>
      </c>
      <c r="B48" s="79" t="s">
        <v>167</v>
      </c>
      <c r="C48" s="79" t="s">
        <v>283</v>
      </c>
      <c r="D48" s="80" t="s">
        <v>168</v>
      </c>
      <c r="E48" s="81"/>
      <c r="F48" s="79"/>
    </row>
    <row r="49" customFormat="false" ht="30" hidden="false" customHeight="true" outlineLevel="0" collapsed="false">
      <c r="A49" s="79" t="n">
        <v>5</v>
      </c>
      <c r="B49" s="79" t="s">
        <v>169</v>
      </c>
      <c r="C49" s="79" t="s">
        <v>284</v>
      </c>
      <c r="D49" s="80" t="s">
        <v>285</v>
      </c>
      <c r="E49" s="81"/>
      <c r="F49" s="79"/>
    </row>
    <row r="50" customFormat="false" ht="42" hidden="false" customHeight="true" outlineLevel="0" collapsed="false">
      <c r="A50" s="79" t="n">
        <v>6</v>
      </c>
      <c r="B50" s="79" t="s">
        <v>171</v>
      </c>
      <c r="C50" s="79" t="s">
        <v>286</v>
      </c>
      <c r="D50" s="80" t="s">
        <v>287</v>
      </c>
      <c r="E50" s="81" t="s">
        <v>288</v>
      </c>
      <c r="F50" s="79" t="s">
        <v>289</v>
      </c>
    </row>
    <row r="51" customFormat="false" ht="42" hidden="false" customHeight="true" outlineLevel="0" collapsed="false">
      <c r="A51" s="79" t="n">
        <v>7</v>
      </c>
      <c r="B51" s="79" t="s">
        <v>173</v>
      </c>
      <c r="C51" s="79" t="s">
        <v>290</v>
      </c>
      <c r="D51" s="80" t="s">
        <v>291</v>
      </c>
      <c r="E51" s="81"/>
      <c r="F51" s="79" t="s">
        <v>292</v>
      </c>
    </row>
    <row r="52" customFormat="false" ht="30" hidden="false" customHeight="true" outlineLevel="0" collapsed="false">
      <c r="A52" s="79" t="n">
        <v>8</v>
      </c>
      <c r="B52" s="79" t="s">
        <v>175</v>
      </c>
      <c r="C52" s="79" t="s">
        <v>293</v>
      </c>
      <c r="D52" s="80" t="s">
        <v>294</v>
      </c>
      <c r="E52" s="81"/>
      <c r="F52" s="79"/>
    </row>
    <row r="54" customFormat="false" ht="21.75" hidden="false" customHeight="true" outlineLevel="0" collapsed="false">
      <c r="A54" s="84" t="s">
        <v>295</v>
      </c>
      <c r="B54" s="84"/>
      <c r="C54" s="84"/>
      <c r="D54" s="84"/>
      <c r="E54" s="84"/>
      <c r="F54" s="84"/>
    </row>
    <row r="55" customFormat="false" ht="15" hidden="false" customHeight="false" outlineLevel="0" collapsed="false">
      <c r="A55" s="78" t="s">
        <v>14</v>
      </c>
      <c r="B55" s="78" t="s">
        <v>42</v>
      </c>
      <c r="C55" s="78" t="s">
        <v>199</v>
      </c>
      <c r="D55" s="78" t="s">
        <v>200</v>
      </c>
      <c r="E55" s="78" t="s">
        <v>201</v>
      </c>
      <c r="F55" s="78" t="s">
        <v>202</v>
      </c>
    </row>
    <row r="56" customFormat="false" ht="30" hidden="false" customHeight="true" outlineLevel="0" collapsed="false">
      <c r="A56" s="79" t="n">
        <v>1</v>
      </c>
      <c r="B56" s="79" t="s">
        <v>180</v>
      </c>
      <c r="C56" s="79" t="s">
        <v>296</v>
      </c>
      <c r="D56" s="80" t="s">
        <v>297</v>
      </c>
      <c r="E56" s="81"/>
      <c r="F56" s="79"/>
    </row>
    <row r="57" customFormat="false" ht="30" hidden="false" customHeight="true" outlineLevel="0" collapsed="false">
      <c r="A57" s="79" t="n">
        <v>2</v>
      </c>
      <c r="B57" s="79" t="s">
        <v>182</v>
      </c>
      <c r="C57" s="79" t="s">
        <v>207</v>
      </c>
      <c r="D57" s="80" t="s">
        <v>298</v>
      </c>
      <c r="E57" s="81"/>
      <c r="F57" s="79"/>
    </row>
    <row r="58" customFormat="false" ht="42" hidden="false" customHeight="true" outlineLevel="0" collapsed="false">
      <c r="A58" s="79" t="n">
        <v>3</v>
      </c>
      <c r="B58" s="79" t="s">
        <v>184</v>
      </c>
      <c r="C58" s="79" t="s">
        <v>210</v>
      </c>
      <c r="D58" s="80" t="s">
        <v>299</v>
      </c>
      <c r="E58" s="81" t="s">
        <v>300</v>
      </c>
      <c r="F58" s="79" t="s">
        <v>301</v>
      </c>
    </row>
    <row r="59" customFormat="false" ht="30" hidden="false" customHeight="true" outlineLevel="0" collapsed="false">
      <c r="A59" s="79" t="n">
        <v>4</v>
      </c>
      <c r="B59" s="79" t="s">
        <v>186</v>
      </c>
      <c r="C59" s="79" t="s">
        <v>212</v>
      </c>
      <c r="D59" s="80" t="s">
        <v>302</v>
      </c>
      <c r="E59" s="81"/>
      <c r="F59" s="79"/>
    </row>
    <row r="60" customFormat="false" ht="30" hidden="false" customHeight="true" outlineLevel="0" collapsed="false">
      <c r="A60" s="79" t="n">
        <v>5</v>
      </c>
      <c r="B60" s="79" t="s">
        <v>71</v>
      </c>
      <c r="C60" s="79" t="s">
        <v>215</v>
      </c>
      <c r="D60" s="80" t="s">
        <v>220</v>
      </c>
      <c r="E60" s="81"/>
      <c r="F60" s="79"/>
    </row>
    <row r="61" customFormat="false" ht="42" hidden="false" customHeight="true" outlineLevel="0" collapsed="false">
      <c r="A61" s="79" t="n">
        <v>6</v>
      </c>
      <c r="B61" s="79" t="s">
        <v>188</v>
      </c>
      <c r="C61" s="79" t="s">
        <v>217</v>
      </c>
      <c r="D61" s="80" t="s">
        <v>303</v>
      </c>
      <c r="E61" s="81" t="s">
        <v>304</v>
      </c>
      <c r="F61" s="79"/>
    </row>
    <row r="62" customFormat="false" ht="30" hidden="false" customHeight="true" outlineLevel="0" collapsed="false">
      <c r="A62" s="79" t="n">
        <v>7</v>
      </c>
      <c r="B62" s="79" t="s">
        <v>190</v>
      </c>
      <c r="C62" s="79" t="s">
        <v>219</v>
      </c>
      <c r="D62" s="80" t="s">
        <v>305</v>
      </c>
      <c r="E62" s="81" t="s">
        <v>306</v>
      </c>
      <c r="F62" s="79" t="s">
        <v>307</v>
      </c>
    </row>
    <row r="63" customFormat="false" ht="42" hidden="false" customHeight="true" outlineLevel="0" collapsed="false">
      <c r="A63" s="79" t="n">
        <v>8</v>
      </c>
      <c r="B63" s="79" t="s">
        <v>192</v>
      </c>
      <c r="C63" s="79" t="s">
        <v>308</v>
      </c>
      <c r="D63" s="80" t="s">
        <v>309</v>
      </c>
      <c r="E63" s="81" t="s">
        <v>310</v>
      </c>
      <c r="F63" s="79" t="s">
        <v>311</v>
      </c>
    </row>
    <row r="64" customFormat="false" ht="42" hidden="false" customHeight="true" outlineLevel="0" collapsed="false">
      <c r="A64" s="79" t="n">
        <v>9</v>
      </c>
      <c r="B64" s="79" t="s">
        <v>194</v>
      </c>
      <c r="C64" s="79" t="s">
        <v>312</v>
      </c>
      <c r="D64" s="80" t="s">
        <v>313</v>
      </c>
      <c r="E64" s="81"/>
      <c r="F64" s="79" t="s">
        <v>314</v>
      </c>
    </row>
  </sheetData>
  <mergeCells count="7">
    <mergeCell ref="A1:F1"/>
    <mergeCell ref="A4:F4"/>
    <mergeCell ref="A14:F14"/>
    <mergeCell ref="A23:F23"/>
    <mergeCell ref="A33:F33"/>
    <mergeCell ref="A43:F43"/>
    <mergeCell ref="A54:F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2026-09-25T07:01:03Z</dcterms:created>
  <dc:creator>openpyxl</dc:creator>
  <dc:description/>
  <dc:language>en-US</dc:language>
  <cp:lastModifiedBy/>
  <dcterms:modified xsi:type="dcterms:W3CDTF">2026-09-25T07:01:03Z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