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1 COUNTIF and SUMIF" sheetId="2" state="visible" r:id="rId4"/>
    <sheet name="L2 SUMIFS with several conditio" sheetId="3" state="visible" r:id="rId5"/>
    <sheet name="L3 The State × Rate matrix" sheetId="4" state="visible" r:id="rId6"/>
    <sheet name="L4 AVERAGEIFS, MAXIFS, MINIFS" sheetId="5" state="visible" r:id="rId7"/>
    <sheet name="L5 SUMPRODUCT conditions" sheetId="6" state="visible" r:id="rId8"/>
    <sheet name="L6 Boss round — GST return summ" sheetId="7" state="visible" r:id="rId9"/>
    <sheet name="Solu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<sst xmlns="http://schemas.openxmlformats.org/spreadsheetml/2006/main" count="2464" uniqueCount="301">
  <si>
    <t xml:space="preserve">EXCEL LAB  ·  03 GST REGISTER — CONDITIONAL TOTALS</t>
  </si>
  <si>
    <t xml:space="preserve">A 120-invoice GST register: COUNTIF, SUMIFS with dates, a one-formula State × Rate matrix, MAXIFS, SUMPRODUCT array logic and an IGST/CGST boss round.</t>
  </si>
  <si>
    <t xml:space="preserve">HOW TO USE THIS WORKBOOK</t>
  </si>
  <si>
    <t xml:space="preserve">Work through the lessons in order — each one is harder than the last (★ to ★★★★★).</t>
  </si>
  <si>
    <t xml:space="preserve">Read the Concept box at the top of each lesson, then look at the data.</t>
  </si>
  <si>
    <t xml:space="preserve">Type a FORMULA in each yellow cell. The Check column marks it ✓ or ✗ instantly.</t>
  </si>
  <si>
    <t xml:space="preserve">Blue cells are inputs. Change them and watch every answer update — that is how you know your formula is really right.</t>
  </si>
  <si>
    <t xml:space="preserve">Stuck? Read the Hint. Still stuck? The Solutions sheet shows the model answer and other ways to do it.</t>
  </si>
  <si>
    <t xml:space="preserve">COLOUR CODE</t>
  </si>
  <si>
    <t xml:space="preserve">Yellow — your answer goes here (always a formula)</t>
  </si>
  <si>
    <t xml:space="preserve">Blue — an input you can change</t>
  </si>
  <si>
    <t xml:space="preserve">✓ Correct — marked automatically</t>
  </si>
  <si>
    <t xml:space="preserve">✗ Check again — the result does not match</t>
  </si>
  <si>
    <t xml:space="preserve">✎ You typed a value — replace it with a formula</t>
  </si>
  <si>
    <t xml:space="preserve">#</t>
  </si>
  <si>
    <t xml:space="preserve">Lesson</t>
  </si>
  <si>
    <t xml:space="preserve">Difficulty</t>
  </si>
  <si>
    <t xml:space="preserve">Tasks</t>
  </si>
  <si>
    <t xml:space="preserve">Solved</t>
  </si>
  <si>
    <t xml:space="preserve">Progress</t>
  </si>
  <si>
    <t xml:space="preserve">L1 COUNTIF and SUMIF</t>
  </si>
  <si>
    <t xml:space="preserve">★★☆☆☆</t>
  </si>
  <si>
    <t xml:space="preserve">L2 SUMIFS with several conditio</t>
  </si>
  <si>
    <t xml:space="preserve">★★★☆☆</t>
  </si>
  <si>
    <t xml:space="preserve">L3 The State × Rate matrix</t>
  </si>
  <si>
    <t xml:space="preserve">★★★★☆</t>
  </si>
  <si>
    <t xml:space="preserve">L4 AVERAGEIFS, MAXIFS, MINIFS</t>
  </si>
  <si>
    <t xml:space="preserve">L5 SUMPRODUCT conditions</t>
  </si>
  <si>
    <t xml:space="preserve">L6 Boss round — GST return summ</t>
  </si>
  <si>
    <t xml:space="preserve">★★★★★</t>
  </si>
  <si>
    <t xml:space="preserve">OVERALL</t>
  </si>
  <si>
    <t xml:space="preserve">Excel Lab — created by Pranay  ·  excel-lab-by-pranay.vercel.app  ·  free for every student</t>
  </si>
  <si>
    <t xml:space="preserve">LESSON 1  ·  COUNTIF AND SUMIF</t>
  </si>
  <si>
    <t xml:space="preserve">★★☆☆☆   Count and total a 120-row GST register by one condition at a time.</t>
  </si>
  <si>
    <t xml:space="preserve">CONCEPT  ·  COUNTIF(range, criteria) counts; SUMIF(range, criteria, sum_range) totals. Criteria are text in quotes: "Gujarat", "&gt;=100000", "&lt;&gt;Delhi". Numbers can go bare: 5.</t>
  </si>
  <si>
    <t xml:space="preserve">Invoice</t>
  </si>
  <si>
    <t xml:space="preserve">Date</t>
  </si>
  <si>
    <t xml:space="preserve">Party</t>
  </si>
  <si>
    <t xml:space="preserve">State</t>
  </si>
  <si>
    <t xml:space="preserve">Taxable</t>
  </si>
  <si>
    <t xml:space="preserve">Rate</t>
  </si>
  <si>
    <t xml:space="preserve">Task</t>
  </si>
  <si>
    <t xml:space="preserve">Your answer</t>
  </si>
  <si>
    <t xml:space="preserve">Check</t>
  </si>
  <si>
    <t xml:space="preserve">Hint</t>
  </si>
  <si>
    <t xml:space="preserve">INV-0001</t>
  </si>
  <si>
    <t xml:space="preserve">Meera Pharma</t>
  </si>
  <si>
    <t xml:space="preserve">Maharashtra</t>
  </si>
  <si>
    <t xml:space="preserve">How many invoices were billed to Maharashtra?</t>
  </si>
  <si>
    <t xml:space="preserve">COUNTIF(State column,"Maharashtra")</t>
  </si>
  <si>
    <t xml:space="preserve">INV-0002</t>
  </si>
  <si>
    <t xml:space="preserve">Kiran Agencies</t>
  </si>
  <si>
    <t xml:space="preserve">Delhi</t>
  </si>
  <si>
    <t xml:space="preserve">Total taxable value billed to Gujarat.</t>
  </si>
  <si>
    <t xml:space="preserve">SUMIF: test range, criteria, sum range.</t>
  </si>
  <si>
    <t xml:space="preserve">INV-0003</t>
  </si>
  <si>
    <t xml:space="preserve">Orbit Systems</t>
  </si>
  <si>
    <t xml:space="preserve">Gujarat</t>
  </si>
  <si>
    <t xml:space="preserve">How many invoices are ₹1,00,000 or more?</t>
  </si>
  <si>
    <t xml:space="preserve">"&gt;=100000" in quotes.</t>
  </si>
  <si>
    <t xml:space="preserve">INV-0004</t>
  </si>
  <si>
    <t xml:space="preserve">Sagar Metals</t>
  </si>
  <si>
    <t xml:space="preserve">Karnataka</t>
  </si>
  <si>
    <t xml:space="preserve">Total taxable value at the 5% rate.</t>
  </si>
  <si>
    <t xml:space="preserve">The criteria can be a plain number.</t>
  </si>
  <si>
    <t xml:space="preserve">INV-0005</t>
  </si>
  <si>
    <t xml:space="preserve">How many invoices were NOT billed to Delhi?</t>
  </si>
  <si>
    <t xml:space="preserve">"&lt;&gt;" means not equal.</t>
  </si>
  <si>
    <t xml:space="preserve">INV-0006</t>
  </si>
  <si>
    <t xml:space="preserve">ABC Traders</t>
  </si>
  <si>
    <t xml:space="preserve">Tamil Nadu</t>
  </si>
  <si>
    <t xml:space="preserve">INV-0007</t>
  </si>
  <si>
    <t xml:space="preserve">INV-0008</t>
  </si>
  <si>
    <t xml:space="preserve">Nova Industries</t>
  </si>
  <si>
    <t xml:space="preserve">INV-0009</t>
  </si>
  <si>
    <t xml:space="preserve">Patel &amp; Co</t>
  </si>
  <si>
    <t xml:space="preserve">INV-0010</t>
  </si>
  <si>
    <t xml:space="preserve">INV-0011</t>
  </si>
  <si>
    <t xml:space="preserve">INV-0012</t>
  </si>
  <si>
    <t xml:space="preserve">Bharat Electricals</t>
  </si>
  <si>
    <t xml:space="preserve">INV-0013</t>
  </si>
  <si>
    <t xml:space="preserve">INV-0014</t>
  </si>
  <si>
    <t xml:space="preserve">Shree Enterprises</t>
  </si>
  <si>
    <t xml:space="preserve">INV-0015</t>
  </si>
  <si>
    <t xml:space="preserve">Nandini Foods</t>
  </si>
  <si>
    <t xml:space="preserve">INV-0016</t>
  </si>
  <si>
    <t xml:space="preserve">INV-0017</t>
  </si>
  <si>
    <t xml:space="preserve">Deccan Supplies</t>
  </si>
  <si>
    <t xml:space="preserve">INV-0018</t>
  </si>
  <si>
    <t xml:space="preserve">INV-0019</t>
  </si>
  <si>
    <t xml:space="preserve">INV-0020</t>
  </si>
  <si>
    <t xml:space="preserve">INV-0021</t>
  </si>
  <si>
    <t xml:space="preserve">INV-0022</t>
  </si>
  <si>
    <t xml:space="preserve">INV-0023</t>
  </si>
  <si>
    <t xml:space="preserve">INV-0024</t>
  </si>
  <si>
    <t xml:space="preserve">INV-0025</t>
  </si>
  <si>
    <t xml:space="preserve">INV-0026</t>
  </si>
  <si>
    <t xml:space="preserve">INV-0027</t>
  </si>
  <si>
    <t xml:space="preserve">INV-0028</t>
  </si>
  <si>
    <t xml:space="preserve">INV-0029</t>
  </si>
  <si>
    <t xml:space="preserve">INV-0030</t>
  </si>
  <si>
    <t xml:space="preserve">INV-0031</t>
  </si>
  <si>
    <t xml:space="preserve">INV-0032</t>
  </si>
  <si>
    <t xml:space="preserve">INV-0033</t>
  </si>
  <si>
    <t xml:space="preserve">INV-0034</t>
  </si>
  <si>
    <t xml:space="preserve">INV-0035</t>
  </si>
  <si>
    <t xml:space="preserve">INV-0036</t>
  </si>
  <si>
    <t xml:space="preserve">INV-0037</t>
  </si>
  <si>
    <t xml:space="preserve">INV-0038</t>
  </si>
  <si>
    <t xml:space="preserve">INV-0039</t>
  </si>
  <si>
    <t xml:space="preserve">INV-0040</t>
  </si>
  <si>
    <t xml:space="preserve">INV-0041</t>
  </si>
  <si>
    <t xml:space="preserve">INV-0042</t>
  </si>
  <si>
    <t xml:space="preserve">INV-0043</t>
  </si>
  <si>
    <t xml:space="preserve">Vaibhav Textiles</t>
  </si>
  <si>
    <t xml:space="preserve">INV-0044</t>
  </si>
  <si>
    <t xml:space="preserve">INV-0045</t>
  </si>
  <si>
    <t xml:space="preserve">INV-0046</t>
  </si>
  <si>
    <t xml:space="preserve">INV-0047</t>
  </si>
  <si>
    <t xml:space="preserve">INV-0048</t>
  </si>
  <si>
    <t xml:space="preserve">INV-0049</t>
  </si>
  <si>
    <t xml:space="preserve">INV-0050</t>
  </si>
  <si>
    <t xml:space="preserve">INV-0051</t>
  </si>
  <si>
    <t xml:space="preserve">INV-0052</t>
  </si>
  <si>
    <t xml:space="preserve">INV-0053</t>
  </si>
  <si>
    <t xml:space="preserve">INV-0054</t>
  </si>
  <si>
    <t xml:space="preserve">INV-0055</t>
  </si>
  <si>
    <t xml:space="preserve">INV-0056</t>
  </si>
  <si>
    <t xml:space="preserve">INV-0057</t>
  </si>
  <si>
    <t xml:space="preserve">INV-0058</t>
  </si>
  <si>
    <t xml:space="preserve">INV-0059</t>
  </si>
  <si>
    <t xml:space="preserve">INV-0060</t>
  </si>
  <si>
    <t xml:space="preserve">INV-0061</t>
  </si>
  <si>
    <t xml:space="preserve">INV-0062</t>
  </si>
  <si>
    <t xml:space="preserve">INV-0063</t>
  </si>
  <si>
    <t xml:space="preserve">INV-0064</t>
  </si>
  <si>
    <t xml:space="preserve">INV-0065</t>
  </si>
  <si>
    <t xml:space="preserve">INV-0066</t>
  </si>
  <si>
    <t xml:space="preserve">INV-0067</t>
  </si>
  <si>
    <t xml:space="preserve">INV-0068</t>
  </si>
  <si>
    <t xml:space="preserve">INV-0069</t>
  </si>
  <si>
    <t xml:space="preserve">INV-0070</t>
  </si>
  <si>
    <t xml:space="preserve">INV-0071</t>
  </si>
  <si>
    <t xml:space="preserve">INV-0072</t>
  </si>
  <si>
    <t xml:space="preserve">INV-0073</t>
  </si>
  <si>
    <t xml:space="preserve">INV-0074</t>
  </si>
  <si>
    <t xml:space="preserve">INV-0075</t>
  </si>
  <si>
    <t xml:space="preserve">INV-0076</t>
  </si>
  <si>
    <t xml:space="preserve">INV-0077</t>
  </si>
  <si>
    <t xml:space="preserve">INV-0078</t>
  </si>
  <si>
    <t xml:space="preserve">INV-0079</t>
  </si>
  <si>
    <t xml:space="preserve">INV-0080</t>
  </si>
  <si>
    <t xml:space="preserve">INV-0081</t>
  </si>
  <si>
    <t xml:space="preserve">INV-0082</t>
  </si>
  <si>
    <t xml:space="preserve">INV-0083</t>
  </si>
  <si>
    <t xml:space="preserve">INV-0084</t>
  </si>
  <si>
    <t xml:space="preserve">INV-0085</t>
  </si>
  <si>
    <t xml:space="preserve">INV-0086</t>
  </si>
  <si>
    <t xml:space="preserve">INV-0087</t>
  </si>
  <si>
    <t xml:space="preserve">INV-0088</t>
  </si>
  <si>
    <t xml:space="preserve">INV-0089</t>
  </si>
  <si>
    <t xml:space="preserve">INV-0090</t>
  </si>
  <si>
    <t xml:space="preserve">INV-0091</t>
  </si>
  <si>
    <t xml:space="preserve">INV-0092</t>
  </si>
  <si>
    <t xml:space="preserve">INV-0093</t>
  </si>
  <si>
    <t xml:space="preserve">INV-0094</t>
  </si>
  <si>
    <t xml:space="preserve">INV-0095</t>
  </si>
  <si>
    <t xml:space="preserve">INV-0096</t>
  </si>
  <si>
    <t xml:space="preserve">INV-0097</t>
  </si>
  <si>
    <t xml:space="preserve">INV-0098</t>
  </si>
  <si>
    <t xml:space="preserve">INV-0099</t>
  </si>
  <si>
    <t xml:space="preserve">INV-0100</t>
  </si>
  <si>
    <t xml:space="preserve">INV-0101</t>
  </si>
  <si>
    <t xml:space="preserve">INV-0102</t>
  </si>
  <si>
    <t xml:space="preserve">INV-0103</t>
  </si>
  <si>
    <t xml:space="preserve">INV-0104</t>
  </si>
  <si>
    <t xml:space="preserve">INV-0105</t>
  </si>
  <si>
    <t xml:space="preserve">INV-0106</t>
  </si>
  <si>
    <t xml:space="preserve">INV-0107</t>
  </si>
  <si>
    <t xml:space="preserve">INV-0108</t>
  </si>
  <si>
    <t xml:space="preserve">INV-0109</t>
  </si>
  <si>
    <t xml:space="preserve">INV-0110</t>
  </si>
  <si>
    <t xml:space="preserve">INV-0111</t>
  </si>
  <si>
    <t xml:space="preserve">INV-0112</t>
  </si>
  <si>
    <t xml:space="preserve">INV-0113</t>
  </si>
  <si>
    <t xml:space="preserve">INV-0114</t>
  </si>
  <si>
    <t xml:space="preserve">INV-0115</t>
  </si>
  <si>
    <t xml:space="preserve">INV-0116</t>
  </si>
  <si>
    <t xml:space="preserve">INV-0117</t>
  </si>
  <si>
    <t xml:space="preserve">INV-0118</t>
  </si>
  <si>
    <t xml:space="preserve">INV-0119</t>
  </si>
  <si>
    <t xml:space="preserve">INV-0120</t>
  </si>
  <si>
    <t xml:space="preserve">LESSON 2  ·  SUMIFS WITH SEVERAL CONDITIONS</t>
  </si>
  <si>
    <t xml:space="preserve">★★★☆☆   Stack conditions — state, rate, amount band and date range.</t>
  </si>
  <si>
    <t xml:space="preserve">CONCEPT  ·  SUMIFS(sum_range, range1, crit1, range2, crit2, …) — the sum range comes FIRST. All conditions must be true (AND). For a date range use two conditions on the same column: "&gt;="&amp;DATE(2026,1,1) and "&lt;="&amp;DATE(2026,3,31).</t>
  </si>
  <si>
    <t xml:space="preserve">Taxable value in Maharashtra at 18%.</t>
  </si>
  <si>
    <t xml:space="preserve">Two criteria pairs.</t>
  </si>
  <si>
    <t xml:space="preserve">How many Karnataka invoices are between ₹50,000 and ₹2,00,000 (inclusive)?</t>
  </si>
  <si>
    <t xml:space="preserve">The Taxable column appears twice — once for each end of the band.</t>
  </si>
  <si>
    <t xml:space="preserve">Taxable value billed to Delhi in the last quarter of the year (Jan–Mar 2026).</t>
  </si>
  <si>
    <t xml:space="preserve">"&gt;="&amp;DATE(2026,1,1) joins the operator to a real date.</t>
  </si>
  <si>
    <t xml:space="preserve">Taxable value billed to ABC Traders in Tamil Nadu.</t>
  </si>
  <si>
    <t xml:space="preserve">Party and State criteria.</t>
  </si>
  <si>
    <t xml:space="preserve">LESSON 3  ·  THE STATE × RATE MATRIX</t>
  </si>
  <si>
    <t xml:space="preserve">★★★★☆   Fill a 20-cell summary with ONE formula — the mixed-reference skill interviewers love.</t>
  </si>
  <si>
    <t xml:space="preserve">CONCEPT  ·  In the grid, states run down the first column and rates across the top row. Lock the COLUMN of the state label and the ROW of the rate label. Write the formula once in the top-left cell, then fill right and down. If the $ signs are right, every cell is correct.</t>
  </si>
  <si>
    <t xml:space="preserve">Fill the grid: taxable value for each state (rows) and rate (columns).</t>
  </si>
  <si>
    <t xml:space="preserve">→ fill the grid below</t>
  </si>
  <si>
    <t xml:space="preserve">=SUMIFS($E$9:$E$128,$D$9:$D$128,$I15,$F$9:$F$128,J$14) in the top-left cell, then fill right and down.</t>
  </si>
  <si>
    <t xml:space="preserve">Grand total of the grid (it must equal the register total).</t>
  </si>
  <si>
    <t xml:space="preserve">SUM the whole grid.</t>
  </si>
  <si>
    <t xml:space="preserve">Which state has the most business at 18%?</t>
  </si>
  <si>
    <t xml:space="preserve">INDEX-MATCH on the 18% column of your grid.</t>
  </si>
  <si>
    <t xml:space="preserve">State × Rate summary — one formula, filled right and down</t>
  </si>
  <si>
    <t xml:space="preserve">LESSON 4  ·  AVERAGEIFS, MAXIFS, MINIFS</t>
  </si>
  <si>
    <t xml:space="preserve">★★★☆☆   Averages and extremes by segment.</t>
  </si>
  <si>
    <t xml:space="preserve">CONCEPT  ·  AVERAGEIFS(avg_range, range1, crit1, …), MAXIFS(max_range, …), MINIFS(min_range, …) all follow the SUMIFS pattern: the result range comes first.</t>
  </si>
  <si>
    <t xml:space="preserve">Average taxable value of Maharashtra invoices.</t>
  </si>
  <si>
    <t xml:space="preserve">AVERAGEIFS, result range first.</t>
  </si>
  <si>
    <t xml:space="preserve">Largest single invoice billed to Gujarat.</t>
  </si>
  <si>
    <t xml:space="preserve">MAXIFS (Excel 2019+).</t>
  </si>
  <si>
    <t xml:space="preserve">Smallest invoice at the 28% rate.</t>
  </si>
  <si>
    <t xml:space="preserve">MINIFS with the rate as criteria.</t>
  </si>
  <si>
    <t xml:space="preserve">Average taxable value of 18% invoices in Karnataka.</t>
  </si>
  <si>
    <t xml:space="preserve">Two criteria.</t>
  </si>
  <si>
    <t xml:space="preserve">LESSON 5  ·  SUMPRODUCT CONDITIONS</t>
  </si>
  <si>
    <t xml:space="preserve">★★★★☆   Array logic: conditions SUMIFS can't express, like 'month = March'.</t>
  </si>
  <si>
    <t xml:space="preserve">CONCEPT  ·  (D9:D128="Maharashtra") gives TRUE/FALSE per row; multiplying turns them into 1/0. SUMPRODUCT(test1*test2*amounts) sums only rows where every test is 1. + between tests means OR. MONTH(date range)=3 works inside SUMPRODUCT, which SUMIFS can't do.</t>
  </si>
  <si>
    <t xml:space="preserve">Total GST payable on the register (Rate is a whole number).</t>
  </si>
  <si>
    <t xml:space="preserve">SUMPRODUCT of two columns ÷ 100.</t>
  </si>
  <si>
    <t xml:space="preserve">GST payable on Maharashtra invoices only.</t>
  </si>
  <si>
    <t xml:space="preserve">Multiply the state test by taxable and rate.</t>
  </si>
  <si>
    <t xml:space="preserve">Taxable value of invoices dated in March (any year).</t>
  </si>
  <si>
    <t xml:space="preserve">MONTH(date range)=3 inside SUMPRODUCT.</t>
  </si>
  <si>
    <t xml:space="preserve">How many invoices are from Gujarat OR Delhi?</t>
  </si>
  <si>
    <t xml:space="preserve">+ is OR.</t>
  </si>
  <si>
    <t xml:space="preserve">LESSON 6  ·  BOSS ROUND — GST RETURN SUMMARY</t>
  </si>
  <si>
    <t xml:space="preserve">★★★★★   Split output tax into IGST and CGST/SGST, then prove it ties.</t>
  </si>
  <si>
    <t xml:space="preserve">CONCEPT  ·  Assume the seller is in Maharashtra. Sales to Maharashtra are intra-state: tax splits equally into CGST and SGST. Sales to any other state are inter-state: the whole tax is IGST. Answer cells can refer to other answer cells.</t>
  </si>
  <si>
    <t xml:space="preserve">Total taxable value.</t>
  </si>
  <si>
    <t xml:space="preserve">SUM.</t>
  </si>
  <si>
    <t xml:space="preserve">IGST — tax on sales outside Maharashtra.</t>
  </si>
  <si>
    <t xml:space="preserve">&lt;&gt; "Maharashtra" inside SUMPRODUCT.</t>
  </si>
  <si>
    <t xml:space="preserve">CGST — half the tax on Maharashtra sales.</t>
  </si>
  <si>
    <t xml:space="preserve">Divide by 200 = ÷100 then ÷2.</t>
  </si>
  <si>
    <t xml:space="preserve">SGST — equal to CGST.</t>
  </si>
  <si>
    <t xml:space="preserve">Refer to your CGST answer cell.</t>
  </si>
  <si>
    <t xml:space="preserve">Control check: total tax minus (IGST + CGST + SGST). Must be zero.</t>
  </si>
  <si>
    <t xml:space="preserve">Total tax from SUMPRODUCT, minus your three answer cells.</t>
  </si>
  <si>
    <t xml:space="preserve">SOLUTIONS &amp; OTHER WAYS — open only after you have tried</t>
  </si>
  <si>
    <t xml:space="preserve">Model answers are shapes, not the only answer. If your formula gives the same result, it is right — compare the logic.</t>
  </si>
  <si>
    <t xml:space="preserve">L1 COUNTIF and SUMIF   ★★</t>
  </si>
  <si>
    <t xml:space="preserve">Answer cell</t>
  </si>
  <si>
    <t xml:space="preserve">Model formula</t>
  </si>
  <si>
    <t xml:space="preserve">Other ways</t>
  </si>
  <si>
    <t xml:space="preserve">Why it works</t>
  </si>
  <si>
    <t xml:space="preserve">J9</t>
  </si>
  <si>
    <t xml:space="preserve">=COUNTIF($D$9:$D$128,"Maharashtra")</t>
  </si>
  <si>
    <t xml:space="preserve">J10</t>
  </si>
  <si>
    <t xml:space="preserve">=SUMIF($D$9:$D$128,"Gujarat",$E$9:$E$128)</t>
  </si>
  <si>
    <t xml:space="preserve">=SUMIFS(E9:E128,D9:D128,"Gujarat")</t>
  </si>
  <si>
    <t xml:space="preserve">J11</t>
  </si>
  <si>
    <t xml:space="preserve">=COUNTIF($E$9:$E$128,"&gt;=100000")</t>
  </si>
  <si>
    <t xml:space="preserve">J12</t>
  </si>
  <si>
    <t xml:space="preserve">=SUMIF($F$9:$F$128,5,$E$9:$E$128)</t>
  </si>
  <si>
    <t xml:space="preserve">J13</t>
  </si>
  <si>
    <t xml:space="preserve">=COUNTIF($D$9:$D$128,"&lt;&gt;Delhi")</t>
  </si>
  <si>
    <t xml:space="preserve">=COUNTA(A9:A128)-COUNTIF(D9:D128,"Delhi")</t>
  </si>
  <si>
    <t xml:space="preserve">L2 SUMIFS with several conditio   ★★★</t>
  </si>
  <si>
    <t xml:space="preserve">=SUMIFS($E$9:$E$128,$D$9:$D$128,"Maharashtra",$F$9:$F$128,18)</t>
  </si>
  <si>
    <t xml:space="preserve">=COUNTIFS($D$9:$D$128,"Karnataka",$E$9:$E$128,"&gt;=50000",$E$9:$E$128,"&lt;=200000")</t>
  </si>
  <si>
    <t xml:space="preserve">=SUMIFS($E$9:$E$128,$D$9:$D$128,"Delhi",$B$9:$B$128,"&gt;="&amp;DATE(2026,1,1),$B$9:$B$128,"&lt;="&amp;DATE(2026,3,31))</t>
  </si>
  <si>
    <t xml:space="preserve">Typing the date as text inside quotes breaks on computers with different date settings; DATE() never does.</t>
  </si>
  <si>
    <t xml:space="preserve">=SUMIFS($E$9:$E$128,$C$9:$C$128,"ABC Traders",$D$9:$D$128,"Tamil Nadu")</t>
  </si>
  <si>
    <t xml:space="preserve">L3 The State × Rate matrix   ★★★★</t>
  </si>
  <si>
    <t xml:space="preserve">the grid</t>
  </si>
  <si>
    <t xml:space="preserve">=SUMIFS($E$9:$E$128,$D$9:$D$128,$I15,$F$9:$F$128,J$14)   (first cell, then fill right and down)</t>
  </si>
  <si>
    <t xml:space="preserve">=SUMPRODUCT(($D$9:$D$128=$K12)*($F$9:$F$128=L$11)*$E$9:$E$128)
A pivot table with State in Rows and Rate in Columns</t>
  </si>
  <si>
    <t xml:space="preserve">Mixed references move only in the direction you want.</t>
  </si>
  <si>
    <t xml:space="preserve">=SUM($J$15:$M$19)</t>
  </si>
  <si>
    <t xml:space="preserve">A control total proves the summary is complete.</t>
  </si>
  <si>
    <t xml:space="preserve">=INDEX(I15:I19,MATCH(MAX(L15:L19),L15:L19,0))</t>
  </si>
  <si>
    <t xml:space="preserve">L4 AVERAGEIFS, MAXIFS, MINIFS   ★★★</t>
  </si>
  <si>
    <t xml:space="preserve">=AVERAGEIFS($E$9:$E$128,$D$9:$D$128,"Maharashtra")</t>
  </si>
  <si>
    <t xml:space="preserve">=MAXIFS($E$9:$E$128,$D$9:$D$128,"Gujarat")</t>
  </si>
  <si>
    <t xml:space="preserve">=MAX(IF(D9:D128="Gujarat",E9:E128)) — array formula for older Excel
=AGGREGATE(14,6,E9:E128/(D9:D128="Gujarat"),1)</t>
  </si>
  <si>
    <t xml:space="preserve">=MINIFS($E$9:$E$128,$F$9:$F$128,28)</t>
  </si>
  <si>
    <t xml:space="preserve">=AVERAGEIFS($E$9:$E$128,$D$9:$D$128,"Karnataka",$F$9:$F$128,18)</t>
  </si>
  <si>
    <t xml:space="preserve">L5 SUMPRODUCT conditions   ★★★★</t>
  </si>
  <si>
    <t xml:space="preserve">=SUMPRODUCT($E$9:$E$128,$F$9:$F$128)/100</t>
  </si>
  <si>
    <t xml:space="preserve">=SUMPRODUCT(($D$9:$D$128="Maharashtra")*$E$9:$E$128*$F$9:$F$128)/100</t>
  </si>
  <si>
    <t xml:space="preserve">=SUMPRODUCT((MONTH($B$9:$B$128)=3)*$E$9:$E$128)</t>
  </si>
  <si>
    <t xml:space="preserve">=SUMIFS(E9:E128,B9:B128,"&gt;="&amp;DATE(2026,3,1),B9:B128,"&lt;="&amp;DATE(2026,3,31)) — works here because the data covers one March</t>
  </si>
  <si>
    <t xml:space="preserve">=SUMPRODUCT(($D$9:$D$128="Gujarat")+($D$9:$D$128="Delhi"))</t>
  </si>
  <si>
    <t xml:space="preserve">=COUNTIF(D9:D128,"Gujarat")+COUNTIF(D9:D128,"Delhi")
=SUM(COUNTIF(D9:D128,{"Gujarat","Delhi"}))</t>
  </si>
  <si>
    <t xml:space="preserve">L6 Boss round — GST return summ   ★★★★★</t>
  </si>
  <si>
    <t xml:space="preserve">=SUM($E$9:$E$128)</t>
  </si>
  <si>
    <t xml:space="preserve">=SUMPRODUCT(($D$9:$D$128&lt;&gt;"Maharashtra")*$E$9:$E$128*$F$9:$F$128)/100</t>
  </si>
  <si>
    <t xml:space="preserve">=SUMPRODUCT(($D$9:$D$128="Maharashtra")*$E$9:$E$128*$F$9:$F$128)/200</t>
  </si>
  <si>
    <t xml:space="preserve">=SUMPRODUCT($E$9:$E$128,$F$9:$F$128)/100-(SUMPRODUCT(($D$9:$D$128&lt;&gt;"Maharashtra")*$E$9:$E$128*$F$9:$F$128)/100+2*SUMPRODUCT(($D$9:$D$128="Maharashtra")*$E$9:$E$128*$F$9:$F$128)/200)</t>
  </si>
  <si>
    <t xml:space="preserve">Every summary should prove itself against an independent total.</t>
  </si>
</sst>
</file>

<file path=xl/styles.xml><?xml version="1.0" encoding="utf-8"?>
<styleSheet xmlns="http://schemas.openxmlformats.org/spreadsheetml/2006/main">
  <numFmts count="7">
    <numFmt numFmtId="164" formatCode="General"/>
    <numFmt numFmtId="165" formatCode="0"/>
    <numFmt numFmtId="166" formatCode="0.0%"/>
    <numFmt numFmtId="167" formatCode="dd\-mmm\-yyyy"/>
    <numFmt numFmtId="168" formatCode="#,##0"/>
    <numFmt numFmtId="169" formatCode="General"/>
    <numFmt numFmtId="170" formatCode="#,##0.00"/>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1E293B"/>
      <name val="Arial"/>
      <family val="0"/>
      <charset val="1"/>
    </font>
    <font>
      <b val="true"/>
      <sz val="11"/>
      <color rgb="FF6442B1"/>
      <name val="Arial"/>
      <family val="0"/>
      <charset val="1"/>
    </font>
    <font>
      <b val="true"/>
      <sz val="10"/>
      <color rgb="FF8B5CF6"/>
      <name val="Arial"/>
      <family val="0"/>
      <charset val="1"/>
    </font>
    <font>
      <b val="true"/>
      <sz val="10"/>
      <color rgb="FFFFFFFF"/>
      <name val="Arial"/>
      <family val="0"/>
      <charset val="1"/>
    </font>
    <font>
      <b val="true"/>
      <sz val="10"/>
      <color rgb="FF1E293B"/>
      <name val="Arial"/>
      <family val="0"/>
      <charset val="1"/>
    </font>
    <font>
      <b val="true"/>
      <sz val="10"/>
      <color rgb="FF1D4ED8"/>
      <name val="Arial"/>
      <family val="0"/>
      <charset val="1"/>
    </font>
    <font>
      <b val="true"/>
      <sz val="10"/>
      <color rgb="FFD97706"/>
      <name val="Arial"/>
      <family val="0"/>
      <charset val="1"/>
    </font>
    <font>
      <b val="true"/>
      <sz val="9"/>
      <color rgb="FF64748B"/>
      <name val="Arial"/>
      <family val="0"/>
      <charset val="1"/>
    </font>
    <font>
      <b val="true"/>
      <sz val="15"/>
      <color rgb="FFFFFFFF"/>
      <name val="Arial"/>
      <family val="0"/>
      <charset val="1"/>
    </font>
    <font>
      <b val="true"/>
      <sz val="10"/>
      <color rgb="FF0E8477"/>
      <name val="Arial"/>
      <family val="0"/>
      <charset val="1"/>
    </font>
    <font>
      <b val="true"/>
      <sz val="11"/>
      <color rgb="FF1E293B"/>
      <name val="Arial"/>
      <family val="0"/>
      <charset val="1"/>
    </font>
    <font>
      <i val="true"/>
      <sz val="9"/>
      <color rgb="FF64748B"/>
      <name val="Arial"/>
      <family val="0"/>
      <charset val="1"/>
    </font>
    <font>
      <b val="true"/>
      <sz val="10"/>
      <color rgb="FF2A5DB1"/>
      <name val="Arial"/>
      <family val="0"/>
      <charset val="1"/>
    </font>
    <font>
      <b val="true"/>
      <sz val="10"/>
      <color rgb="FF6442B1"/>
      <name val="Arial"/>
      <family val="0"/>
      <charset val="1"/>
    </font>
    <font>
      <b val="true"/>
      <sz val="9"/>
      <color rgb="FF92400E"/>
      <name val="Arial"/>
      <family val="0"/>
      <charset val="1"/>
    </font>
    <font>
      <b val="true"/>
      <sz val="10"/>
      <color rgb="FFA21433"/>
      <name val="Arial"/>
      <family val="0"/>
      <charset val="1"/>
    </font>
    <font>
      <b val="true"/>
      <sz val="14"/>
      <color rgb="FFFFFFFF"/>
      <name val="Arial"/>
      <family val="0"/>
      <charset val="1"/>
    </font>
    <font>
      <b val="true"/>
      <sz val="11"/>
      <color rgb="FFFFFFFF"/>
      <name val="Arial"/>
      <family val="0"/>
      <charset val="1"/>
    </font>
    <font>
      <b val="true"/>
      <sz val="10"/>
      <color rgb="FF1E293B"/>
      <name val="Consolas"/>
      <family val="0"/>
      <charset val="1"/>
    </font>
    <font>
      <sz val="10"/>
      <color rgb="FF1E293B"/>
      <name val="Consolas"/>
      <family val="0"/>
      <charset val="1"/>
    </font>
  </fonts>
  <fills count="24">
    <fill>
      <patternFill patternType="none"/>
    </fill>
    <fill>
      <patternFill patternType="gray125"/>
    </fill>
    <fill>
      <patternFill patternType="solid">
        <fgColor rgb="FF8B5CF6"/>
        <bgColor rgb="FF6442B1"/>
      </patternFill>
    </fill>
    <fill>
      <patternFill patternType="solid">
        <fgColor rgb="FFFFF3B0"/>
        <bgColor rgb="FFFEF3C7"/>
      </patternFill>
    </fill>
    <fill>
      <patternFill patternType="solid">
        <fgColor rgb="FFDBEAFE"/>
        <bgColor rgb="FFE2E8F0"/>
      </patternFill>
    </fill>
    <fill>
      <patternFill patternType="solid">
        <fgColor rgb="FFD1FAE5"/>
        <bgColor rgb="FFE7F7F6"/>
      </patternFill>
    </fill>
    <fill>
      <patternFill patternType="solid">
        <fgColor rgb="FFFEE2E2"/>
        <bgColor rgb="FFFCE8EC"/>
      </patternFill>
    </fill>
    <fill>
      <patternFill patternType="solid">
        <fgColor rgb="FFFEF3C7"/>
        <bgColor rgb="FFFFF3B0"/>
      </patternFill>
    </fill>
    <fill>
      <patternFill patternType="solid">
        <fgColor rgb="FF6442B1"/>
        <bgColor rgb="FF475569"/>
      </patternFill>
    </fill>
    <fill>
      <patternFill patternType="solid">
        <fgColor rgb="FF14B8A6"/>
        <bgColor rgb="FF00CCFF"/>
      </patternFill>
    </fill>
    <fill>
      <patternFill patternType="solid">
        <fgColor rgb="FFE7F7F6"/>
        <bgColor rgb="FFEBF2FE"/>
      </patternFill>
    </fill>
    <fill>
      <patternFill patternType="solid">
        <fgColor rgb="FF0F172A"/>
        <bgColor rgb="FF1E293B"/>
      </patternFill>
    </fill>
    <fill>
      <patternFill patternType="solid">
        <fgColor rgb="FF0E8477"/>
        <bgColor rgb="FF339966"/>
      </patternFill>
    </fill>
    <fill>
      <patternFill patternType="solid">
        <fgColor rgb="FFF8FAFC"/>
        <bgColor rgb="FFFFFFFF"/>
      </patternFill>
    </fill>
    <fill>
      <patternFill patternType="solid">
        <fgColor rgb="FF3B82F6"/>
        <bgColor rgb="FF2A5DB1"/>
      </patternFill>
    </fill>
    <fill>
      <patternFill patternType="solid">
        <fgColor rgb="FFEBF2FE"/>
        <bgColor rgb="FFF1F5F9"/>
      </patternFill>
    </fill>
    <fill>
      <patternFill patternType="solid">
        <fgColor rgb="FF2A5DB1"/>
        <bgColor rgb="FF1D4ED8"/>
      </patternFill>
    </fill>
    <fill>
      <patternFill patternType="solid">
        <fgColor rgb="FFF3EEFE"/>
        <bgColor rgb="FFEBF2FE"/>
      </patternFill>
    </fill>
    <fill>
      <patternFill patternType="solid">
        <fgColor rgb="FF475569"/>
        <bgColor rgb="FF334155"/>
      </patternFill>
    </fill>
    <fill>
      <patternFill patternType="solid">
        <fgColor rgb="FFE2E8F0"/>
        <bgColor rgb="FFDBEAFE"/>
      </patternFill>
    </fill>
    <fill>
      <patternFill patternType="solid">
        <fgColor rgb="FFE11D48"/>
        <bgColor rgb="FFA21433"/>
      </patternFill>
    </fill>
    <fill>
      <patternFill patternType="solid">
        <fgColor rgb="FFFCE8EC"/>
        <bgColor rgb="FFFEE2E2"/>
      </patternFill>
    </fill>
    <fill>
      <patternFill patternType="solid">
        <fgColor rgb="FFA21433"/>
        <bgColor rgb="FF991B1B"/>
      </patternFill>
    </fill>
    <fill>
      <patternFill patternType="solid">
        <fgColor rgb="FF334155"/>
        <bgColor rgb="FF475569"/>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F59E0B"/>
      </left>
      <right style="medium">
        <color rgb="FFF59E0B"/>
      </right>
      <top style="medium">
        <color rgb="FFF59E0B"/>
      </top>
      <bottom style="medium">
        <color rgb="FFF59E0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true" applyAlignment="true" applyProtection="false">
      <alignment horizontal="general" vertical="center" textRotation="0" wrapText="false" indent="1" shrinkToFit="false"/>
      <protection locked="true" hidden="false"/>
    </xf>
    <xf numFmtId="164" fontId="5" fillId="10" borderId="0" xfId="0" applyFont="true" applyBorder="true" applyAlignment="true" applyProtection="false">
      <alignment horizontal="general" vertical="top" textRotation="0" wrapText="true" indent="1"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15" fillId="3"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13" borderId="1" xfId="0" applyFont="true" applyBorder="true" applyAlignment="false" applyProtection="false">
      <alignment horizontal="general" vertical="bottom" textRotation="0" wrapText="false" indent="0" shrinkToFit="false"/>
      <protection locked="true" hidden="false"/>
    </xf>
    <xf numFmtId="167" fontId="5" fillId="13" borderId="1" xfId="0" applyFont="true" applyBorder="true" applyAlignment="false" applyProtection="false">
      <alignment horizontal="general" vertical="bottom" textRotation="0" wrapText="false" indent="0" shrinkToFit="false"/>
      <protection locked="true" hidden="false"/>
    </xf>
    <xf numFmtId="168" fontId="5" fillId="13" borderId="1" xfId="0" applyFont="true" applyBorder="true" applyAlignment="false" applyProtection="false">
      <alignment horizontal="general" vertical="bottom" textRotation="0" wrapText="false" indent="0" shrinkToFit="false"/>
      <protection locked="true" hidden="false"/>
    </xf>
    <xf numFmtId="165" fontId="5" fillId="13" borderId="1" xfId="0" applyFont="true" applyBorder="true" applyAlignment="false" applyProtection="false">
      <alignment horizontal="general" vertical="bottom" textRotation="0" wrapText="false" indent="0" shrinkToFit="false"/>
      <protection locked="true" hidden="false"/>
    </xf>
    <xf numFmtId="168" fontId="15" fillId="3" borderId="2" xfId="0" applyFont="true" applyBorder="true" applyAlignment="true" applyProtection="false">
      <alignment horizontal="center" vertical="center" textRotation="0" wrapText="false" indent="0" shrinkToFit="false"/>
      <protection locked="true" hidden="false"/>
    </xf>
    <xf numFmtId="164" fontId="13" fillId="14" borderId="0" xfId="0" applyFont="true" applyBorder="true" applyAlignment="true" applyProtection="false">
      <alignment horizontal="general" vertical="center" textRotation="0" wrapText="false" indent="1" shrinkToFit="false"/>
      <protection locked="true" hidden="false"/>
    </xf>
    <xf numFmtId="164" fontId="17" fillId="0" borderId="0" xfId="0" applyFont="true" applyBorder="true" applyAlignment="true" applyProtection="false">
      <alignment horizontal="general" vertical="center" textRotation="0" wrapText="false" indent="1" shrinkToFit="false"/>
      <protection locked="true" hidden="false"/>
    </xf>
    <xf numFmtId="164" fontId="5" fillId="15" borderId="0" xfId="0" applyFont="true" applyBorder="true" applyAlignment="true" applyProtection="false">
      <alignment horizontal="general" vertical="top" textRotation="0" wrapText="true" indent="1"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1" shrinkToFit="false"/>
      <protection locked="true" hidden="false"/>
    </xf>
    <xf numFmtId="164" fontId="18" fillId="0" borderId="0" xfId="0" applyFont="true" applyBorder="true" applyAlignment="true" applyProtection="false">
      <alignment horizontal="general" vertical="center" textRotation="0" wrapText="false" indent="1" shrinkToFit="false"/>
      <protection locked="true" hidden="false"/>
    </xf>
    <xf numFmtId="164" fontId="5" fillId="17" borderId="0" xfId="0" applyFont="true" applyBorder="true" applyAlignment="true" applyProtection="false">
      <alignment horizontal="general" vertical="top" textRotation="0" wrapText="true" indent="1"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5" fillId="3"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9" fillId="19"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70" fontId="15" fillId="3" borderId="2"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3" fillId="20"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5" fillId="21" borderId="0" xfId="0" applyFont="true" applyBorder="true" applyAlignment="true" applyProtection="false">
      <alignment horizontal="general" vertical="top" textRotation="0" wrapText="true" indent="1"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1" fillId="11" borderId="0" xfId="0" applyFont="true" applyBorder="true" applyAlignment="true" applyProtection="false">
      <alignment horizontal="general" vertical="center" textRotation="0" wrapText="false" indent="1"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2" fillId="9" borderId="0" xfId="0" applyFont="true" applyBorder="true" applyAlignment="true" applyProtection="false">
      <alignment horizontal="general" vertical="center" textRotation="0" wrapText="false" indent="1"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2" fillId="14" borderId="0" xfId="0" applyFont="true" applyBorder="true" applyAlignment="true" applyProtection="false">
      <alignment horizontal="general" vertical="center" textRotation="0" wrapText="false" indent="1" shrinkToFit="false"/>
      <protection locked="true" hidden="false"/>
    </xf>
    <xf numFmtId="164" fontId="22" fillId="2" borderId="0" xfId="0" applyFont="true" applyBorder="true" applyAlignment="true" applyProtection="false">
      <alignment horizontal="general" vertical="center" textRotation="0" wrapText="false" indent="1" shrinkToFit="false"/>
      <protection locked="true" hidden="false"/>
    </xf>
    <xf numFmtId="164" fontId="22" fillId="20"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65F46"/>
      </font>
      <fill>
        <patternFill>
          <bgColor rgb="FFD1FAE5"/>
        </patternFill>
      </fill>
    </dxf>
    <dxf>
      <font>
        <name val="Arial"/>
        <charset val="1"/>
        <family val="0"/>
        <b val="1"/>
        <color rgb="FF991B1B"/>
      </font>
      <fill>
        <patternFill>
          <bgColor rgb="FFFEE2E2"/>
        </patternFill>
      </fill>
    </dxf>
    <dxf>
      <font>
        <name val="Arial"/>
        <charset val="1"/>
        <family val="0"/>
        <b val="1"/>
        <color rgb="FF92400E"/>
      </font>
      <fill>
        <patternFill>
          <bgColor rgb="FFFEF3C7"/>
        </patternFill>
      </fill>
    </dxf>
    <dxf>
      <font>
        <name val="Arial"/>
        <charset val="1"/>
        <family val="0"/>
        <b val="1"/>
        <color rgb="FF64748B"/>
      </font>
      <fill>
        <patternFill>
          <bgColor rgb="FFF1F5F9"/>
        </patternFill>
      </fill>
    </dxf>
  </dxfs>
  <colors>
    <indexedColors>
      <rgbColor rgb="FF000000"/>
      <rgbColor rgb="FFFFFFFF"/>
      <rgbColor rgb="FFE11D48"/>
      <rgbColor rgb="FF00FF00"/>
      <rgbColor rgb="FF0000FF"/>
      <rgbColor rgb="FFF1F5F9"/>
      <rgbColor rgb="FFFF00FF"/>
      <rgbColor rgb="FF00FFFF"/>
      <rgbColor rgb="FF991B1B"/>
      <rgbColor rgb="FF008000"/>
      <rgbColor rgb="FF000080"/>
      <rgbColor rgb="FF808000"/>
      <rgbColor rgb="FF800080"/>
      <rgbColor rgb="FF0E8477"/>
      <rgbColor rgb="FFE2E8F0"/>
      <rgbColor rgb="FF808080"/>
      <rgbColor rgb="FF8B5CF6"/>
      <rgbColor rgb="FF6442B1"/>
      <rgbColor rgb="FFFEF3C7"/>
      <rgbColor rgb="FFE7F7F6"/>
      <rgbColor rgb="FF660066"/>
      <rgbColor rgb="FFFF8080"/>
      <rgbColor rgb="FF1D4ED8"/>
      <rgbColor rgb="FFCBD5E1"/>
      <rgbColor rgb="FF000080"/>
      <rgbColor rgb="FFFF00FF"/>
      <rgbColor rgb="FFF8FAFC"/>
      <rgbColor rgb="FF00FFFF"/>
      <rgbColor rgb="FF800080"/>
      <rgbColor rgb="FFA21433"/>
      <rgbColor rgb="FF065F46"/>
      <rgbColor rgb="FF0000FF"/>
      <rgbColor rgb="FF00CCFF"/>
      <rgbColor rgb="FFDBEAFE"/>
      <rgbColor rgb="FFD1FAE5"/>
      <rgbColor rgb="FFFFF3B0"/>
      <rgbColor rgb="FFEBF2FE"/>
      <rgbColor rgb="FFFCE8EC"/>
      <rgbColor rgb="FFF3EEFE"/>
      <rgbColor rgb="FFFEE2E2"/>
      <rgbColor rgb="FF3B82F6"/>
      <rgbColor rgb="FF14B8A6"/>
      <rgbColor rgb="FF99CC00"/>
      <rgbColor rgb="FFFFCC00"/>
      <rgbColor rgb="FFF59E0B"/>
      <rgbColor rgb="FFD97706"/>
      <rgbColor rgb="FF64748B"/>
      <rgbColor rgb="FF969696"/>
      <rgbColor rgb="FF2A5DB1"/>
      <rgbColor rgb="FF339966"/>
      <rgbColor rgb="FF0F172A"/>
      <rgbColor rgb="FF475569"/>
      <rgbColor rgb="FF92400E"/>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xcel-lab-03-gst-conditional.xlsx" TargetMode="External"/><Relationship Id="rId2" Type="http://schemas.openxmlformats.org/officeDocument/2006/relationships/hyperlink" Target="excel-lab-03-gst-conditional.xlsx" TargetMode="External"/><Relationship Id="rId3" Type="http://schemas.openxmlformats.org/officeDocument/2006/relationships/hyperlink" Target="excel-lab-03-gst-conditional.xlsx" TargetMode="External"/><Relationship Id="rId4" Type="http://schemas.openxmlformats.org/officeDocument/2006/relationships/hyperlink" Target="excel-lab-03-gst-conditional.xlsx" TargetMode="External"/><Relationship Id="rId5" Type="http://schemas.openxmlformats.org/officeDocument/2006/relationships/hyperlink" Target="excel-lab-03-gst-conditional.xlsx" TargetMode="External"/><Relationship Id="rId6" Type="http://schemas.openxmlformats.org/officeDocument/2006/relationships/hyperlink" Target="excel-lab-03-gst-conditional.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4"/>
    <col collapsed="false" customWidth="true" hidden="false" outlineLevel="0" max="5" min="4" style="0" width="10"/>
    <col collapsed="false" customWidth="true" hidden="false" outlineLevel="0" max="6" min="6" style="0" width="16"/>
    <col collapsed="false" customWidth="true" hidden="false" outlineLevel="0" max="8" min="7" style="0" width="4"/>
  </cols>
  <sheetData>
    <row r="1" customFormat="false" ht="43.5" hidden="false" customHeight="true" outlineLevel="0" collapsed="false">
      <c r="A1" s="1" t="s">
        <v>0</v>
      </c>
      <c r="B1" s="1"/>
      <c r="C1" s="1"/>
      <c r="D1" s="1"/>
      <c r="E1" s="1"/>
      <c r="F1" s="1"/>
    </row>
    <row r="2" customFormat="false" ht="43.5" hidden="false" customHeight="true" outlineLevel="0" collapsed="false">
      <c r="A2" s="2" t="s">
        <v>1</v>
      </c>
      <c r="B2" s="2"/>
      <c r="C2" s="2"/>
      <c r="D2" s="2"/>
      <c r="E2" s="2"/>
      <c r="F2" s="2"/>
    </row>
    <row r="4" customFormat="false" ht="15" hidden="false" customHeight="false" outlineLevel="0" collapsed="false">
      <c r="A4" s="3" t="s">
        <v>2</v>
      </c>
    </row>
    <row r="5" customFormat="false" ht="27.75" hidden="false" customHeight="true" outlineLevel="0" collapsed="false">
      <c r="A5" s="4" t="n">
        <v>1</v>
      </c>
      <c r="B5" s="5" t="s">
        <v>3</v>
      </c>
      <c r="C5" s="5"/>
      <c r="D5" s="5"/>
      <c r="E5" s="5"/>
      <c r="F5" s="5"/>
    </row>
    <row r="6" customFormat="false" ht="27.75" hidden="false" customHeight="true" outlineLevel="0" collapsed="false">
      <c r="A6" s="4" t="n">
        <v>2</v>
      </c>
      <c r="B6" s="5" t="s">
        <v>4</v>
      </c>
      <c r="C6" s="5"/>
      <c r="D6" s="5"/>
      <c r="E6" s="5"/>
      <c r="F6" s="5"/>
    </row>
    <row r="7" customFormat="false" ht="27.75" hidden="false" customHeight="true" outlineLevel="0" collapsed="false">
      <c r="A7" s="4" t="n">
        <v>3</v>
      </c>
      <c r="B7" s="5" t="s">
        <v>5</v>
      </c>
      <c r="C7" s="5"/>
      <c r="D7" s="5"/>
      <c r="E7" s="5"/>
      <c r="F7" s="5"/>
    </row>
    <row r="8" customFormat="false" ht="27.75" hidden="false" customHeight="true" outlineLevel="0" collapsed="false">
      <c r="A8" s="4" t="n">
        <v>4</v>
      </c>
      <c r="B8" s="5" t="s">
        <v>6</v>
      </c>
      <c r="C8" s="5"/>
      <c r="D8" s="5"/>
      <c r="E8" s="5"/>
      <c r="F8" s="5"/>
    </row>
    <row r="9" customFormat="false" ht="27.75" hidden="false" customHeight="true" outlineLevel="0" collapsed="false">
      <c r="A9" s="4" t="n">
        <v>5</v>
      </c>
      <c r="B9" s="5" t="s">
        <v>7</v>
      </c>
      <c r="C9" s="5"/>
      <c r="D9" s="5"/>
      <c r="E9" s="5"/>
      <c r="F9" s="5"/>
    </row>
    <row r="11" customFormat="false" ht="15" hidden="false" customHeight="false" outlineLevel="0" collapsed="false">
      <c r="A11" s="3" t="s">
        <v>8</v>
      </c>
    </row>
    <row r="12" customFormat="false" ht="19.5" hidden="false" customHeight="true" outlineLevel="0" collapsed="false">
      <c r="A12" s="6"/>
      <c r="B12" s="7" t="s">
        <v>9</v>
      </c>
      <c r="C12" s="7"/>
      <c r="D12" s="7"/>
      <c r="E12" s="7"/>
      <c r="F12" s="7"/>
    </row>
    <row r="13" customFormat="false" ht="19.5" hidden="false" customHeight="true" outlineLevel="0" collapsed="false">
      <c r="A13" s="8"/>
      <c r="B13" s="7" t="s">
        <v>10</v>
      </c>
      <c r="C13" s="7"/>
      <c r="D13" s="7"/>
      <c r="E13" s="7"/>
      <c r="F13" s="7"/>
    </row>
    <row r="14" customFormat="false" ht="19.5" hidden="false" customHeight="true" outlineLevel="0" collapsed="false">
      <c r="A14" s="9"/>
      <c r="B14" s="7" t="s">
        <v>11</v>
      </c>
      <c r="C14" s="7"/>
      <c r="D14" s="7"/>
      <c r="E14" s="7"/>
      <c r="F14" s="7"/>
    </row>
    <row r="15" customFormat="false" ht="19.5" hidden="false" customHeight="true" outlineLevel="0" collapsed="false">
      <c r="A15" s="10"/>
      <c r="B15" s="7" t="s">
        <v>12</v>
      </c>
      <c r="C15" s="7"/>
      <c r="D15" s="7"/>
      <c r="E15" s="7"/>
      <c r="F15" s="7"/>
    </row>
    <row r="16" customFormat="false" ht="19.5" hidden="false" customHeight="true" outlineLevel="0" collapsed="false">
      <c r="A16" s="11"/>
      <c r="B16" s="7" t="s">
        <v>13</v>
      </c>
      <c r="C16" s="7"/>
      <c r="D16" s="7"/>
      <c r="E16" s="7"/>
      <c r="F16" s="7"/>
    </row>
    <row r="18" customFormat="false" ht="21.75" hidden="false" customHeight="true" outlineLevel="0" collapsed="false">
      <c r="A18" s="12" t="s">
        <v>14</v>
      </c>
      <c r="B18" s="12" t="s">
        <v>15</v>
      </c>
      <c r="C18" s="12" t="s">
        <v>16</v>
      </c>
      <c r="D18" s="12" t="s">
        <v>17</v>
      </c>
      <c r="E18" s="12" t="s">
        <v>18</v>
      </c>
      <c r="F18" s="12" t="s">
        <v>19</v>
      </c>
    </row>
    <row r="19" customFormat="false" ht="19.5" hidden="false" customHeight="true" outlineLevel="0" collapsed="false">
      <c r="A19" s="13" t="n">
        <v>1</v>
      </c>
      <c r="B19" s="14" t="s">
        <v>20</v>
      </c>
      <c r="C19" s="15" t="s">
        <v>21</v>
      </c>
      <c r="D19" s="16" t="n">
        <v>5</v>
      </c>
      <c r="E19" s="13" t="n">
        <f aca="false">COUNTIF('L1 COUNTIF and SUMIF'!K9:K13,"✓*")</f>
        <v>0</v>
      </c>
      <c r="F19" s="17" t="n">
        <f aca="false">IFERROR(E19/D19,0)</f>
        <v>0</v>
      </c>
    </row>
    <row r="20" customFormat="false" ht="19.5" hidden="false" customHeight="true" outlineLevel="0" collapsed="false">
      <c r="A20" s="13" t="n">
        <v>2</v>
      </c>
      <c r="B20" s="14" t="s">
        <v>22</v>
      </c>
      <c r="C20" s="15" t="s">
        <v>23</v>
      </c>
      <c r="D20" s="16" t="n">
        <v>4</v>
      </c>
      <c r="E20" s="13" t="n">
        <f aca="false">COUNTIF('L2 SUMIFS with several conditio'!K9:K12,"✓*")</f>
        <v>0</v>
      </c>
      <c r="F20" s="17" t="n">
        <f aca="false">IFERROR(E20/D20,0)</f>
        <v>0</v>
      </c>
    </row>
    <row r="21" customFormat="false" ht="19.5" hidden="false" customHeight="true" outlineLevel="0" collapsed="false">
      <c r="A21" s="13" t="n">
        <v>3</v>
      </c>
      <c r="B21" s="14" t="s">
        <v>24</v>
      </c>
      <c r="C21" s="15" t="s">
        <v>25</v>
      </c>
      <c r="D21" s="16" t="n">
        <v>3</v>
      </c>
      <c r="E21" s="13" t="n">
        <f aca="false">COUNTIF('L3 The State × Rate matrix'!K9:K11,"✓*")</f>
        <v>0</v>
      </c>
      <c r="F21" s="17" t="n">
        <f aca="false">IFERROR(E21/D21,0)</f>
        <v>0</v>
      </c>
    </row>
    <row r="22" customFormat="false" ht="19.5" hidden="false" customHeight="true" outlineLevel="0" collapsed="false">
      <c r="A22" s="13" t="n">
        <v>4</v>
      </c>
      <c r="B22" s="14" t="s">
        <v>26</v>
      </c>
      <c r="C22" s="15" t="s">
        <v>23</v>
      </c>
      <c r="D22" s="16" t="n">
        <v>4</v>
      </c>
      <c r="E22" s="13" t="n">
        <f aca="false">COUNTIF('L4 AVERAGEIFS, MAXIFS, MINIFS'!K9:K12,"✓*")</f>
        <v>0</v>
      </c>
      <c r="F22" s="17" t="n">
        <f aca="false">IFERROR(E22/D22,0)</f>
        <v>0</v>
      </c>
    </row>
    <row r="23" customFormat="false" ht="19.5" hidden="false" customHeight="true" outlineLevel="0" collapsed="false">
      <c r="A23" s="13" t="n">
        <v>5</v>
      </c>
      <c r="B23" s="14" t="s">
        <v>27</v>
      </c>
      <c r="C23" s="15" t="s">
        <v>25</v>
      </c>
      <c r="D23" s="16" t="n">
        <v>4</v>
      </c>
      <c r="E23" s="13" t="n">
        <f aca="false">COUNTIF('L5 SUMPRODUCT conditions'!K9:K12,"✓*")</f>
        <v>0</v>
      </c>
      <c r="F23" s="17" t="n">
        <f aca="false">IFERROR(E23/D23,0)</f>
        <v>0</v>
      </c>
    </row>
    <row r="24" customFormat="false" ht="19.5" hidden="false" customHeight="true" outlineLevel="0" collapsed="false">
      <c r="A24" s="13" t="n">
        <v>6</v>
      </c>
      <c r="B24" s="14" t="s">
        <v>28</v>
      </c>
      <c r="C24" s="15" t="s">
        <v>29</v>
      </c>
      <c r="D24" s="16" t="n">
        <v>5</v>
      </c>
      <c r="E24" s="13" t="n">
        <f aca="false">COUNTIF('L6 Boss round — GST return summ'!K9:K13,"✓*")</f>
        <v>0</v>
      </c>
      <c r="F24" s="17" t="n">
        <f aca="false">IFERROR(E24/D24,0)</f>
        <v>0</v>
      </c>
    </row>
    <row r="25" customFormat="false" ht="15" hidden="false" customHeight="false" outlineLevel="0" collapsed="false">
      <c r="B25" s="18" t="s">
        <v>30</v>
      </c>
      <c r="D25" s="13" t="n">
        <f aca="false">SUM(D19:D24)</f>
        <v>25</v>
      </c>
      <c r="E25" s="13" t="n">
        <f aca="false">SUM(E19:E24)</f>
        <v>0</v>
      </c>
      <c r="F25" s="19" t="n">
        <f aca="false">IFERROR(E25/D25,0)</f>
        <v>0</v>
      </c>
    </row>
    <row r="27" customFormat="false" ht="15" hidden="false" customHeight="false" outlineLevel="0" collapsed="false">
      <c r="A27" s="20" t="s">
        <v>31</v>
      </c>
      <c r="B27" s="20"/>
      <c r="C27" s="20"/>
      <c r="D27" s="20"/>
      <c r="E27" s="20"/>
      <c r="F27" s="20"/>
    </row>
  </sheetData>
  <mergeCells count="13">
    <mergeCell ref="A1:F1"/>
    <mergeCell ref="A2:F2"/>
    <mergeCell ref="B5:F5"/>
    <mergeCell ref="B6:F6"/>
    <mergeCell ref="B7:F7"/>
    <mergeCell ref="B8:F8"/>
    <mergeCell ref="B9:F9"/>
    <mergeCell ref="B12:F12"/>
    <mergeCell ref="B13:F13"/>
    <mergeCell ref="B14:F14"/>
    <mergeCell ref="B15:F15"/>
    <mergeCell ref="B16:F16"/>
    <mergeCell ref="A27:F27"/>
  </mergeCells>
  <conditionalFormatting sqref="F19:F25">
    <cfRule type="dataBar" priority="2">
      <dataBar showValue="1" minLength="10" maxLength="90">
        <cfvo type="num" val="0"/>
        <cfvo type="num" val="1"/>
        <color rgb="FF8B5CF6"/>
      </dataBar>
      <extLst>
        <ext xmlns:x14="http://schemas.microsoft.com/office/spreadsheetml/2009/9/main" uri="{B025F937-C7B1-47D3-B67F-A62EFF666E3E}">
          <x14:id>{D912AEB5-6ABD-46B0-9034-A3D8506B4032}</x14:id>
        </ext>
      </extLst>
    </cfRule>
  </conditionalFormatting>
  <hyperlinks>
    <hyperlink ref="B19" r:id="rId1" location="'L1%20COUNTIF%20and%20SUMIF'!A1" display="L1 COUNTIF and SUMIF"/>
    <hyperlink ref="B20" r:id="rId2" location="'L2%20SUMIFS%20with%20several%20conditio'!A1" display="L2 SUMIFS with several conditio"/>
    <hyperlink ref="B21" r:id="rId3" location="'L3%20The%20State%20×%20Rate%20matrix'!A1" display="L3 The State × Rate matrix"/>
    <hyperlink ref="B22" r:id="rId4" location="'L4%20AVERAGEIFS,%20MAXIFS,%20MINIFS'!A1" display="L4 AVERAGEIFS, MAXIFS, MINIFS"/>
    <hyperlink ref="B23" r:id="rId5" location="'L5%20SUMPRODUCT%20conditions'!A1" display="L5 SUMPRODUCT conditions"/>
    <hyperlink ref="B24" r:id="rId6" location="'L6%20Boss%20round%20—%20GST%20return%20summ'!A1" display="L6 Boss round — GST return sum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912AEB5-6ABD-46B0-9034-A3D8506B4032}">
            <x14:dataBar minLength="10" maxLength="90" axisPosition="none" gradient="true">
              <x14:cfvo type="num">
                <xm:f>0</xm:f>
              </x14:cfvo>
              <x14:cfvo type="num">
                <xm:f>1</xm:f>
              </x14:cfvo>
              <x14:negativeFillColor rgb="FF8B5CF6"/>
              <x14:axisColor rgb="FF000000"/>
            </x14:dataBar>
          </x14:cfRule>
          <xm:sqref>F19:F25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M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true" outlineLevel="0" max="14" min="13" style="0" width="13"/>
  </cols>
  <sheetData>
    <row r="1" customFormat="false" ht="31.5" hidden="false" customHeight="true" outlineLevel="0" collapsed="false">
      <c r="A1" s="21" t="s">
        <v>32</v>
      </c>
      <c r="B1" s="21"/>
      <c r="C1" s="21"/>
      <c r="D1" s="21"/>
      <c r="E1" s="21"/>
      <c r="F1" s="21"/>
      <c r="G1" s="21"/>
      <c r="H1" s="21"/>
      <c r="I1" s="21"/>
      <c r="J1" s="21"/>
      <c r="K1" s="21"/>
      <c r="L1" s="21"/>
    </row>
    <row r="2" customFormat="false" ht="19.5" hidden="false" customHeight="true" outlineLevel="0" collapsed="false">
      <c r="A2" s="22" t="s">
        <v>33</v>
      </c>
      <c r="B2" s="22"/>
      <c r="C2" s="22"/>
      <c r="D2" s="22"/>
      <c r="E2" s="22"/>
      <c r="F2" s="22"/>
      <c r="G2" s="22"/>
      <c r="H2" s="22"/>
      <c r="I2" s="22"/>
      <c r="J2" s="22"/>
      <c r="K2" s="22"/>
      <c r="L2" s="22"/>
    </row>
    <row r="3" customFormat="false" ht="18.75" hidden="false" customHeight="true" outlineLevel="0" collapsed="false">
      <c r="A3" s="23" t="s">
        <v>34</v>
      </c>
      <c r="B3" s="23"/>
      <c r="C3" s="23"/>
      <c r="D3" s="23"/>
      <c r="E3" s="23"/>
      <c r="F3" s="23"/>
      <c r="G3" s="23"/>
      <c r="H3" s="23"/>
      <c r="I3" s="23"/>
      <c r="J3" s="23"/>
      <c r="K3" s="23"/>
      <c r="L3" s="23"/>
    </row>
    <row r="4" customFormat="false" ht="18.75" hidden="false" customHeight="true" outlineLevel="0" collapsed="false">
      <c r="A4" s="23"/>
      <c r="B4" s="23"/>
      <c r="C4" s="23"/>
      <c r="D4" s="23"/>
      <c r="E4" s="23"/>
      <c r="F4" s="23"/>
      <c r="G4" s="23"/>
      <c r="H4" s="23"/>
      <c r="I4" s="23"/>
      <c r="J4" s="23"/>
      <c r="K4" s="23"/>
      <c r="L4" s="23"/>
    </row>
    <row r="5" customFormat="false" ht="18.75" hidden="false" customHeight="true" outlineLevel="0" collapsed="false">
      <c r="A5" s="23"/>
      <c r="B5" s="23"/>
      <c r="C5" s="23"/>
      <c r="D5" s="23"/>
      <c r="E5" s="23"/>
      <c r="F5" s="23"/>
      <c r="G5" s="23"/>
      <c r="H5" s="23"/>
      <c r="I5" s="23"/>
      <c r="J5" s="23"/>
      <c r="K5" s="23"/>
      <c r="L5" s="23"/>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H8" s="25" t="s">
        <v>14</v>
      </c>
      <c r="I8" s="25" t="s">
        <v>41</v>
      </c>
      <c r="J8" s="25" t="s">
        <v>42</v>
      </c>
      <c r="K8" s="25" t="s">
        <v>43</v>
      </c>
      <c r="L8" s="25" t="s">
        <v>44</v>
      </c>
    </row>
    <row r="9" customFormat="false" ht="33.75" hidden="false" customHeight="true" outlineLevel="0" collapsed="false">
      <c r="A9" s="26" t="s">
        <v>45</v>
      </c>
      <c r="B9" s="27" t="n">
        <v>45870</v>
      </c>
      <c r="C9" s="26" t="s">
        <v>46</v>
      </c>
      <c r="D9" s="26" t="s">
        <v>47</v>
      </c>
      <c r="E9" s="28" t="n">
        <v>102500</v>
      </c>
      <c r="F9" s="29" t="n">
        <v>5</v>
      </c>
      <c r="H9" s="30" t="n">
        <v>1</v>
      </c>
      <c r="I9" s="31" t="s">
        <v>48</v>
      </c>
      <c r="J9" s="32"/>
      <c r="K9" s="33" t="str">
        <f aca="false">IF(ISBLANK(J9),"◯ Not attempted",IF(NOT(_xlfn.ISFORMULA(J9)),"✎ Use a formula",IF(ISNUMBER(J9),IF(ABS(J9-$M$9)&lt;0.005,"✓ Correct","✗ Check again"),"✗ Not a number")))</f>
        <v>◯ Not attempted</v>
      </c>
      <c r="L9" s="34" t="s">
        <v>49</v>
      </c>
      <c r="M9" s="35" t="n">
        <f aca="false">COUNTIF($D$9:$D$128,"Maharashtra")</f>
        <v>29</v>
      </c>
    </row>
    <row r="10" customFormat="false" ht="33.75" hidden="false" customHeight="true" outlineLevel="0" collapsed="false">
      <c r="A10" s="36" t="s">
        <v>50</v>
      </c>
      <c r="B10" s="37" t="n">
        <v>46067</v>
      </c>
      <c r="C10" s="36" t="s">
        <v>51</v>
      </c>
      <c r="D10" s="36" t="s">
        <v>52</v>
      </c>
      <c r="E10" s="38" t="n">
        <v>293000</v>
      </c>
      <c r="F10" s="39" t="n">
        <v>28</v>
      </c>
      <c r="H10" s="30" t="n">
        <v>2</v>
      </c>
      <c r="I10" s="31" t="s">
        <v>53</v>
      </c>
      <c r="J10" s="40"/>
      <c r="K10" s="33" t="str">
        <f aca="false">IF(ISBLANK(J10),"◯ Not attempted",IF(NOT(_xlfn.ISFORMULA(J10)),"✎ Use a formula",IF(ISNUMBER(J10),IF(ABS(J10-$M$10)&lt;0.005,"✓ Correct","✗ Check again"),"✗ Not a number")))</f>
        <v>◯ Not attempted</v>
      </c>
      <c r="L10" s="34" t="s">
        <v>54</v>
      </c>
      <c r="M10" s="0" t="n">
        <f aca="false">SUMIF($D$9:$D$128,"Gujarat",$E$9:$E$128)</f>
        <v>5823000</v>
      </c>
    </row>
    <row r="11" customFormat="false" ht="33.75" hidden="false" customHeight="true" outlineLevel="0" collapsed="false">
      <c r="A11" s="26" t="s">
        <v>55</v>
      </c>
      <c r="B11" s="27" t="n">
        <v>45957</v>
      </c>
      <c r="C11" s="26" t="s">
        <v>56</v>
      </c>
      <c r="D11" s="26" t="s">
        <v>57</v>
      </c>
      <c r="E11" s="28" t="n">
        <v>407000</v>
      </c>
      <c r="F11" s="29" t="n">
        <v>5</v>
      </c>
      <c r="H11" s="30" t="n">
        <v>3</v>
      </c>
      <c r="I11" s="31" t="s">
        <v>58</v>
      </c>
      <c r="J11" s="32"/>
      <c r="K11" s="33" t="str">
        <f aca="false">IF(ISBLANK(J11),"◯ Not attempted",IF(NOT(_xlfn.ISFORMULA(J11)),"✎ Use a formula",IF(ISNUMBER(J11),IF(ABS(J11-$M$11)&lt;0.005,"✓ Correct","✗ Check again"),"✗ Not a number")))</f>
        <v>◯ Not attempted</v>
      </c>
      <c r="L11" s="34" t="s">
        <v>59</v>
      </c>
      <c r="M11" s="35" t="n">
        <f aca="false">COUNTIF($E$9:$E$128,"&gt;=100000")</f>
        <v>104</v>
      </c>
    </row>
    <row r="12" customFormat="false" ht="33.75" hidden="false" customHeight="true" outlineLevel="0" collapsed="false">
      <c r="A12" s="36" t="s">
        <v>60</v>
      </c>
      <c r="B12" s="37" t="n">
        <v>46018</v>
      </c>
      <c r="C12" s="36" t="s">
        <v>61</v>
      </c>
      <c r="D12" s="36" t="s">
        <v>62</v>
      </c>
      <c r="E12" s="38" t="n">
        <v>398000</v>
      </c>
      <c r="F12" s="39" t="n">
        <v>5</v>
      </c>
      <c r="H12" s="30" t="n">
        <v>4</v>
      </c>
      <c r="I12" s="31" t="s">
        <v>63</v>
      </c>
      <c r="J12" s="40"/>
      <c r="K12" s="33" t="str">
        <f aca="false">IF(ISBLANK(J12),"◯ Not attempted",IF(NOT(_xlfn.ISFORMULA(J12)),"✎ Use a formula",IF(ISNUMBER(J12),IF(ABS(J12-$M$12)&lt;0.005,"✓ Correct","✗ Check again"),"✗ Not a number")))</f>
        <v>◯ Not attempted</v>
      </c>
      <c r="L12" s="34" t="s">
        <v>64</v>
      </c>
      <c r="M12" s="0" t="n">
        <f aca="false">SUMIF($F$9:$F$128,5,$E$9:$E$128)</f>
        <v>8620000</v>
      </c>
    </row>
    <row r="13" customFormat="false" ht="33.75" hidden="false" customHeight="true" outlineLevel="0" collapsed="false">
      <c r="A13" s="26" t="s">
        <v>65</v>
      </c>
      <c r="B13" s="27" t="n">
        <v>45810</v>
      </c>
      <c r="C13" s="26" t="s">
        <v>46</v>
      </c>
      <c r="D13" s="26" t="s">
        <v>52</v>
      </c>
      <c r="E13" s="28" t="n">
        <v>203000</v>
      </c>
      <c r="F13" s="29" t="n">
        <v>12</v>
      </c>
      <c r="H13" s="30" t="n">
        <v>5</v>
      </c>
      <c r="I13" s="31" t="s">
        <v>66</v>
      </c>
      <c r="J13" s="32"/>
      <c r="K13" s="33" t="str">
        <f aca="false">IF(ISBLANK(J13),"◯ Not attempted",IF(NOT(_xlfn.ISFORMULA(J13)),"✎ Use a formula",IF(ISNUMBER(J13),IF(ABS(J13-$M$13)&lt;0.005,"✓ Correct","✗ Check again"),"✗ Not a number")))</f>
        <v>◯ Not attempted</v>
      </c>
      <c r="L13" s="34" t="s">
        <v>67</v>
      </c>
      <c r="M13" s="35" t="n">
        <f aca="false">COUNTIF($D$9:$D$128,"&lt;&gt;Delhi")</f>
        <v>97</v>
      </c>
    </row>
    <row r="14" customFormat="false" ht="15" hidden="false" customHeight="false" outlineLevel="0" collapsed="false">
      <c r="A14" s="36" t="s">
        <v>68</v>
      </c>
      <c r="B14" s="37" t="n">
        <v>45896</v>
      </c>
      <c r="C14" s="36" t="s">
        <v>69</v>
      </c>
      <c r="D14" s="36" t="s">
        <v>70</v>
      </c>
      <c r="E14" s="38" t="n">
        <v>424000</v>
      </c>
      <c r="F14" s="39" t="n">
        <v>28</v>
      </c>
    </row>
    <row r="15" customFormat="false" ht="15" hidden="false" customHeight="false" outlineLevel="0" collapsed="false">
      <c r="A15" s="26" t="s">
        <v>71</v>
      </c>
      <c r="B15" s="27" t="n">
        <v>46109</v>
      </c>
      <c r="C15" s="26" t="s">
        <v>69</v>
      </c>
      <c r="D15" s="26" t="s">
        <v>62</v>
      </c>
      <c r="E15" s="28" t="n">
        <v>120000</v>
      </c>
      <c r="F15" s="29" t="n">
        <v>12</v>
      </c>
    </row>
    <row r="16" customFormat="false" ht="15" hidden="false" customHeight="false" outlineLevel="0" collapsed="false">
      <c r="A16" s="36" t="s">
        <v>72</v>
      </c>
      <c r="B16" s="37" t="n">
        <v>45824</v>
      </c>
      <c r="C16" s="36" t="s">
        <v>73</v>
      </c>
      <c r="D16" s="36" t="s">
        <v>62</v>
      </c>
      <c r="E16" s="38" t="n">
        <v>109000</v>
      </c>
      <c r="F16" s="39" t="n">
        <v>18</v>
      </c>
    </row>
    <row r="17" customFormat="false" ht="15" hidden="false" customHeight="false" outlineLevel="0" collapsed="false">
      <c r="A17" s="26" t="s">
        <v>74</v>
      </c>
      <c r="B17" s="27" t="n">
        <v>46107</v>
      </c>
      <c r="C17" s="26" t="s">
        <v>75</v>
      </c>
      <c r="D17" s="26" t="s">
        <v>47</v>
      </c>
      <c r="E17" s="28" t="n">
        <v>426500</v>
      </c>
      <c r="F17" s="29" t="n">
        <v>18</v>
      </c>
    </row>
    <row r="18" customFormat="false" ht="15" hidden="false" customHeight="false" outlineLevel="0" collapsed="false">
      <c r="A18" s="36" t="s">
        <v>76</v>
      </c>
      <c r="B18" s="37" t="n">
        <v>45875</v>
      </c>
      <c r="C18" s="36" t="s">
        <v>46</v>
      </c>
      <c r="D18" s="36" t="s">
        <v>52</v>
      </c>
      <c r="E18" s="38" t="n">
        <v>451000</v>
      </c>
      <c r="F18" s="39" t="n">
        <v>5</v>
      </c>
    </row>
    <row r="19" customFormat="false" ht="15" hidden="false" customHeight="false" outlineLevel="0" collapsed="false">
      <c r="A19" s="26" t="s">
        <v>77</v>
      </c>
      <c r="B19" s="27" t="n">
        <v>45888</v>
      </c>
      <c r="C19" s="26" t="s">
        <v>46</v>
      </c>
      <c r="D19" s="26" t="s">
        <v>62</v>
      </c>
      <c r="E19" s="28" t="n">
        <v>327000</v>
      </c>
      <c r="F19" s="29" t="n">
        <v>12</v>
      </c>
    </row>
    <row r="20" customFormat="false" ht="15" hidden="false" customHeight="false" outlineLevel="0" collapsed="false">
      <c r="A20" s="36" t="s">
        <v>78</v>
      </c>
      <c r="B20" s="37" t="n">
        <v>45784</v>
      </c>
      <c r="C20" s="36" t="s">
        <v>79</v>
      </c>
      <c r="D20" s="36" t="s">
        <v>62</v>
      </c>
      <c r="E20" s="38" t="n">
        <v>463000</v>
      </c>
      <c r="F20" s="39" t="n">
        <v>28</v>
      </c>
    </row>
    <row r="21" customFormat="false" ht="15" hidden="false" customHeight="false" outlineLevel="0" collapsed="false">
      <c r="A21" s="26" t="s">
        <v>80</v>
      </c>
      <c r="B21" s="27" t="n">
        <v>45886</v>
      </c>
      <c r="C21" s="26" t="s">
        <v>61</v>
      </c>
      <c r="D21" s="26" t="s">
        <v>57</v>
      </c>
      <c r="E21" s="28" t="n">
        <v>74500</v>
      </c>
      <c r="F21" s="29" t="n">
        <v>5</v>
      </c>
    </row>
    <row r="22" customFormat="false" ht="15" hidden="false" customHeight="false" outlineLevel="0" collapsed="false">
      <c r="A22" s="36" t="s">
        <v>81</v>
      </c>
      <c r="B22" s="37" t="n">
        <v>45996</v>
      </c>
      <c r="C22" s="36" t="s">
        <v>82</v>
      </c>
      <c r="D22" s="36" t="s">
        <v>57</v>
      </c>
      <c r="E22" s="38" t="n">
        <v>96500</v>
      </c>
      <c r="F22" s="39" t="n">
        <v>28</v>
      </c>
    </row>
    <row r="23" customFormat="false" ht="15" hidden="false" customHeight="false" outlineLevel="0" collapsed="false">
      <c r="A23" s="26" t="s">
        <v>83</v>
      </c>
      <c r="B23" s="27" t="n">
        <v>45913</v>
      </c>
      <c r="C23" s="26" t="s">
        <v>84</v>
      </c>
      <c r="D23" s="26" t="s">
        <v>47</v>
      </c>
      <c r="E23" s="28" t="n">
        <v>330000</v>
      </c>
      <c r="F23" s="29" t="n">
        <v>12</v>
      </c>
    </row>
    <row r="24" customFormat="false" ht="15" hidden="false" customHeight="false" outlineLevel="0" collapsed="false">
      <c r="A24" s="36" t="s">
        <v>85</v>
      </c>
      <c r="B24" s="37" t="n">
        <v>46068</v>
      </c>
      <c r="C24" s="36" t="s">
        <v>82</v>
      </c>
      <c r="D24" s="36" t="s">
        <v>57</v>
      </c>
      <c r="E24" s="38" t="n">
        <v>364000</v>
      </c>
      <c r="F24" s="39" t="n">
        <v>28</v>
      </c>
    </row>
    <row r="25" customFormat="false" ht="15" hidden="false" customHeight="false" outlineLevel="0" collapsed="false">
      <c r="A25" s="26" t="s">
        <v>86</v>
      </c>
      <c r="B25" s="27" t="n">
        <v>45802</v>
      </c>
      <c r="C25" s="26" t="s">
        <v>87</v>
      </c>
      <c r="D25" s="26" t="s">
        <v>47</v>
      </c>
      <c r="E25" s="28" t="n">
        <v>72000</v>
      </c>
      <c r="F25" s="29" t="n">
        <v>12</v>
      </c>
    </row>
    <row r="26" customFormat="false" ht="15" hidden="false" customHeight="false" outlineLevel="0" collapsed="false">
      <c r="A26" s="36" t="s">
        <v>88</v>
      </c>
      <c r="B26" s="37" t="n">
        <v>45846</v>
      </c>
      <c r="C26" s="36" t="s">
        <v>79</v>
      </c>
      <c r="D26" s="36" t="s">
        <v>62</v>
      </c>
      <c r="E26" s="38" t="n">
        <v>352500</v>
      </c>
      <c r="F26" s="39" t="n">
        <v>5</v>
      </c>
    </row>
    <row r="27" customFormat="false" ht="15" hidden="false" customHeight="false" outlineLevel="0" collapsed="false">
      <c r="A27" s="26" t="s">
        <v>89</v>
      </c>
      <c r="B27" s="27" t="n">
        <v>46011</v>
      </c>
      <c r="C27" s="26" t="s">
        <v>79</v>
      </c>
      <c r="D27" s="26" t="s">
        <v>52</v>
      </c>
      <c r="E27" s="28" t="n">
        <v>5000</v>
      </c>
      <c r="F27" s="29" t="n">
        <v>18</v>
      </c>
    </row>
    <row r="28" customFormat="false" ht="15" hidden="false" customHeight="false" outlineLevel="0" collapsed="false">
      <c r="A28" s="36" t="s">
        <v>90</v>
      </c>
      <c r="B28" s="37" t="n">
        <v>45762</v>
      </c>
      <c r="C28" s="36" t="s">
        <v>82</v>
      </c>
      <c r="D28" s="36" t="s">
        <v>52</v>
      </c>
      <c r="E28" s="38" t="n">
        <v>132500</v>
      </c>
      <c r="F28" s="39" t="n">
        <v>12</v>
      </c>
    </row>
    <row r="29" customFormat="false" ht="15" hidden="false" customHeight="false" outlineLevel="0" collapsed="false">
      <c r="A29" s="26" t="s">
        <v>91</v>
      </c>
      <c r="B29" s="27" t="n">
        <v>46100</v>
      </c>
      <c r="C29" s="26" t="s">
        <v>73</v>
      </c>
      <c r="D29" s="26" t="s">
        <v>52</v>
      </c>
      <c r="E29" s="28" t="n">
        <v>348500</v>
      </c>
      <c r="F29" s="29" t="n">
        <v>28</v>
      </c>
    </row>
    <row r="30" customFormat="false" ht="15" hidden="false" customHeight="false" outlineLevel="0" collapsed="false">
      <c r="A30" s="36" t="s">
        <v>92</v>
      </c>
      <c r="B30" s="37" t="n">
        <v>46001</v>
      </c>
      <c r="C30" s="36" t="s">
        <v>61</v>
      </c>
      <c r="D30" s="36" t="s">
        <v>47</v>
      </c>
      <c r="E30" s="38" t="n">
        <v>81500</v>
      </c>
      <c r="F30" s="39" t="n">
        <v>12</v>
      </c>
    </row>
    <row r="31" customFormat="false" ht="15" hidden="false" customHeight="false" outlineLevel="0" collapsed="false">
      <c r="A31" s="26" t="s">
        <v>93</v>
      </c>
      <c r="B31" s="27" t="n">
        <v>45780</v>
      </c>
      <c r="C31" s="26" t="s">
        <v>82</v>
      </c>
      <c r="D31" s="26" t="s">
        <v>52</v>
      </c>
      <c r="E31" s="28" t="n">
        <v>251500</v>
      </c>
      <c r="F31" s="29" t="n">
        <v>28</v>
      </c>
    </row>
    <row r="32" customFormat="false" ht="15" hidden="false" customHeight="false" outlineLevel="0" collapsed="false">
      <c r="A32" s="36" t="s">
        <v>94</v>
      </c>
      <c r="B32" s="37" t="n">
        <v>45856</v>
      </c>
      <c r="C32" s="36" t="s">
        <v>61</v>
      </c>
      <c r="D32" s="36" t="s">
        <v>57</v>
      </c>
      <c r="E32" s="38" t="n">
        <v>233500</v>
      </c>
      <c r="F32" s="39" t="n">
        <v>18</v>
      </c>
    </row>
    <row r="33" customFormat="false" ht="15" hidden="false" customHeight="false" outlineLevel="0" collapsed="false">
      <c r="A33" s="26" t="s">
        <v>95</v>
      </c>
      <c r="B33" s="27" t="n">
        <v>45963</v>
      </c>
      <c r="C33" s="26" t="s">
        <v>87</v>
      </c>
      <c r="D33" s="26" t="s">
        <v>52</v>
      </c>
      <c r="E33" s="28" t="n">
        <v>22500</v>
      </c>
      <c r="F33" s="29" t="n">
        <v>28</v>
      </c>
    </row>
    <row r="34" customFormat="false" ht="15" hidden="false" customHeight="false" outlineLevel="0" collapsed="false">
      <c r="A34" s="36" t="s">
        <v>96</v>
      </c>
      <c r="B34" s="37" t="n">
        <v>45963</v>
      </c>
      <c r="C34" s="36" t="s">
        <v>69</v>
      </c>
      <c r="D34" s="36" t="s">
        <v>70</v>
      </c>
      <c r="E34" s="38" t="n">
        <v>273500</v>
      </c>
      <c r="F34" s="39" t="n">
        <v>18</v>
      </c>
    </row>
    <row r="35" customFormat="false" ht="15" hidden="false" customHeight="false" outlineLevel="0" collapsed="false">
      <c r="A35" s="26" t="s">
        <v>97</v>
      </c>
      <c r="B35" s="27" t="n">
        <v>45969</v>
      </c>
      <c r="C35" s="26" t="s">
        <v>82</v>
      </c>
      <c r="D35" s="26" t="s">
        <v>70</v>
      </c>
      <c r="E35" s="28" t="n">
        <v>106000</v>
      </c>
      <c r="F35" s="29" t="n">
        <v>28</v>
      </c>
    </row>
    <row r="36" customFormat="false" ht="15" hidden="false" customHeight="false" outlineLevel="0" collapsed="false">
      <c r="A36" s="36" t="s">
        <v>98</v>
      </c>
      <c r="B36" s="37" t="n">
        <v>45829</v>
      </c>
      <c r="C36" s="36" t="s">
        <v>87</v>
      </c>
      <c r="D36" s="36" t="s">
        <v>52</v>
      </c>
      <c r="E36" s="38" t="n">
        <v>279000</v>
      </c>
      <c r="F36" s="39" t="n">
        <v>28</v>
      </c>
    </row>
    <row r="37" customFormat="false" ht="15" hidden="false" customHeight="false" outlineLevel="0" collapsed="false">
      <c r="A37" s="26" t="s">
        <v>99</v>
      </c>
      <c r="B37" s="27" t="n">
        <v>46071</v>
      </c>
      <c r="C37" s="26" t="s">
        <v>82</v>
      </c>
      <c r="D37" s="26" t="s">
        <v>52</v>
      </c>
      <c r="E37" s="28" t="n">
        <v>134000</v>
      </c>
      <c r="F37" s="29" t="n">
        <v>12</v>
      </c>
    </row>
    <row r="38" customFormat="false" ht="15" hidden="false" customHeight="false" outlineLevel="0" collapsed="false">
      <c r="A38" s="36" t="s">
        <v>100</v>
      </c>
      <c r="B38" s="37" t="n">
        <v>45922</v>
      </c>
      <c r="C38" s="36" t="s">
        <v>51</v>
      </c>
      <c r="D38" s="36" t="s">
        <v>57</v>
      </c>
      <c r="E38" s="38" t="n">
        <v>332500</v>
      </c>
      <c r="F38" s="39" t="n">
        <v>18</v>
      </c>
    </row>
    <row r="39" customFormat="false" ht="15" hidden="false" customHeight="false" outlineLevel="0" collapsed="false">
      <c r="A39" s="26" t="s">
        <v>101</v>
      </c>
      <c r="B39" s="27" t="n">
        <v>45932</v>
      </c>
      <c r="C39" s="26" t="s">
        <v>56</v>
      </c>
      <c r="D39" s="26" t="s">
        <v>57</v>
      </c>
      <c r="E39" s="28" t="n">
        <v>411500</v>
      </c>
      <c r="F39" s="29" t="n">
        <v>18</v>
      </c>
    </row>
    <row r="40" customFormat="false" ht="15" hidden="false" customHeight="false" outlineLevel="0" collapsed="false">
      <c r="A40" s="36" t="s">
        <v>102</v>
      </c>
      <c r="B40" s="37" t="n">
        <v>46047</v>
      </c>
      <c r="C40" s="36" t="s">
        <v>51</v>
      </c>
      <c r="D40" s="36" t="s">
        <v>47</v>
      </c>
      <c r="E40" s="38" t="n">
        <v>116000</v>
      </c>
      <c r="F40" s="39" t="n">
        <v>18</v>
      </c>
    </row>
    <row r="41" customFormat="false" ht="15" hidden="false" customHeight="false" outlineLevel="0" collapsed="false">
      <c r="A41" s="26" t="s">
        <v>103</v>
      </c>
      <c r="B41" s="27" t="n">
        <v>46008</v>
      </c>
      <c r="C41" s="26" t="s">
        <v>73</v>
      </c>
      <c r="D41" s="26" t="s">
        <v>62</v>
      </c>
      <c r="E41" s="28" t="n">
        <v>285000</v>
      </c>
      <c r="F41" s="29" t="n">
        <v>18</v>
      </c>
    </row>
    <row r="42" customFormat="false" ht="15" hidden="false" customHeight="false" outlineLevel="0" collapsed="false">
      <c r="A42" s="36" t="s">
        <v>104</v>
      </c>
      <c r="B42" s="37" t="n">
        <v>45949</v>
      </c>
      <c r="C42" s="36" t="s">
        <v>61</v>
      </c>
      <c r="D42" s="36" t="s">
        <v>62</v>
      </c>
      <c r="E42" s="38" t="n">
        <v>473500</v>
      </c>
      <c r="F42" s="39" t="n">
        <v>5</v>
      </c>
    </row>
    <row r="43" customFormat="false" ht="15" hidden="false" customHeight="false" outlineLevel="0" collapsed="false">
      <c r="A43" s="26" t="s">
        <v>105</v>
      </c>
      <c r="B43" s="27" t="n">
        <v>45758</v>
      </c>
      <c r="C43" s="26" t="s">
        <v>79</v>
      </c>
      <c r="D43" s="26" t="s">
        <v>57</v>
      </c>
      <c r="E43" s="28" t="n">
        <v>332000</v>
      </c>
      <c r="F43" s="29" t="n">
        <v>5</v>
      </c>
    </row>
    <row r="44" customFormat="false" ht="15" hidden="false" customHeight="false" outlineLevel="0" collapsed="false">
      <c r="A44" s="36" t="s">
        <v>106</v>
      </c>
      <c r="B44" s="37" t="n">
        <v>46082</v>
      </c>
      <c r="C44" s="36" t="s">
        <v>51</v>
      </c>
      <c r="D44" s="36" t="s">
        <v>62</v>
      </c>
      <c r="E44" s="38" t="n">
        <v>310500</v>
      </c>
      <c r="F44" s="39" t="n">
        <v>5</v>
      </c>
    </row>
    <row r="45" customFormat="false" ht="15" hidden="false" customHeight="false" outlineLevel="0" collapsed="false">
      <c r="A45" s="26" t="s">
        <v>107</v>
      </c>
      <c r="B45" s="27" t="n">
        <v>45947</v>
      </c>
      <c r="C45" s="26" t="s">
        <v>75</v>
      </c>
      <c r="D45" s="26" t="s">
        <v>70</v>
      </c>
      <c r="E45" s="28" t="n">
        <v>443000</v>
      </c>
      <c r="F45" s="29" t="n">
        <v>5</v>
      </c>
    </row>
    <row r="46" customFormat="false" ht="15" hidden="false" customHeight="false" outlineLevel="0" collapsed="false">
      <c r="A46" s="36" t="s">
        <v>108</v>
      </c>
      <c r="B46" s="37" t="n">
        <v>45831</v>
      </c>
      <c r="C46" s="36" t="s">
        <v>51</v>
      </c>
      <c r="D46" s="36" t="s">
        <v>62</v>
      </c>
      <c r="E46" s="38" t="n">
        <v>442500</v>
      </c>
      <c r="F46" s="39" t="n">
        <v>12</v>
      </c>
    </row>
    <row r="47" customFormat="false" ht="15" hidden="false" customHeight="false" outlineLevel="0" collapsed="false">
      <c r="A47" s="26" t="s">
        <v>109</v>
      </c>
      <c r="B47" s="27" t="n">
        <v>45910</v>
      </c>
      <c r="C47" s="26" t="s">
        <v>82</v>
      </c>
      <c r="D47" s="26" t="s">
        <v>70</v>
      </c>
      <c r="E47" s="28" t="n">
        <v>85000</v>
      </c>
      <c r="F47" s="29" t="n">
        <v>28</v>
      </c>
    </row>
    <row r="48" customFormat="false" ht="15" hidden="false" customHeight="false" outlineLevel="0" collapsed="false">
      <c r="A48" s="36" t="s">
        <v>110</v>
      </c>
      <c r="B48" s="37" t="n">
        <v>46006</v>
      </c>
      <c r="C48" s="36" t="s">
        <v>87</v>
      </c>
      <c r="D48" s="36" t="s">
        <v>62</v>
      </c>
      <c r="E48" s="38" t="n">
        <v>375000</v>
      </c>
      <c r="F48" s="39" t="n">
        <v>12</v>
      </c>
    </row>
    <row r="49" customFormat="false" ht="15" hidden="false" customHeight="false" outlineLevel="0" collapsed="false">
      <c r="A49" s="26" t="s">
        <v>111</v>
      </c>
      <c r="B49" s="27" t="n">
        <v>45922</v>
      </c>
      <c r="C49" s="26" t="s">
        <v>61</v>
      </c>
      <c r="D49" s="26" t="s">
        <v>70</v>
      </c>
      <c r="E49" s="28" t="n">
        <v>97500</v>
      </c>
      <c r="F49" s="29" t="n">
        <v>28</v>
      </c>
    </row>
    <row r="50" customFormat="false" ht="15" hidden="false" customHeight="false" outlineLevel="0" collapsed="false">
      <c r="A50" s="36" t="s">
        <v>112</v>
      </c>
      <c r="B50" s="37" t="n">
        <v>45758</v>
      </c>
      <c r="C50" s="36" t="s">
        <v>69</v>
      </c>
      <c r="D50" s="36" t="s">
        <v>47</v>
      </c>
      <c r="E50" s="38" t="n">
        <v>123500</v>
      </c>
      <c r="F50" s="39" t="n">
        <v>28</v>
      </c>
    </row>
    <row r="51" customFormat="false" ht="15" hidden="false" customHeight="false" outlineLevel="0" collapsed="false">
      <c r="A51" s="26" t="s">
        <v>113</v>
      </c>
      <c r="B51" s="27" t="n">
        <v>46109</v>
      </c>
      <c r="C51" s="26" t="s">
        <v>114</v>
      </c>
      <c r="D51" s="26" t="s">
        <v>62</v>
      </c>
      <c r="E51" s="28" t="n">
        <v>392500</v>
      </c>
      <c r="F51" s="29" t="n">
        <v>12</v>
      </c>
    </row>
    <row r="52" customFormat="false" ht="15" hidden="false" customHeight="false" outlineLevel="0" collapsed="false">
      <c r="A52" s="36" t="s">
        <v>115</v>
      </c>
      <c r="B52" s="37" t="n">
        <v>45786</v>
      </c>
      <c r="C52" s="36" t="s">
        <v>56</v>
      </c>
      <c r="D52" s="36" t="s">
        <v>70</v>
      </c>
      <c r="E52" s="38" t="n">
        <v>162000</v>
      </c>
      <c r="F52" s="39" t="n">
        <v>18</v>
      </c>
    </row>
    <row r="53" customFormat="false" ht="15" hidden="false" customHeight="false" outlineLevel="0" collapsed="false">
      <c r="A53" s="26" t="s">
        <v>116</v>
      </c>
      <c r="B53" s="27" t="n">
        <v>45951</v>
      </c>
      <c r="C53" s="26" t="s">
        <v>46</v>
      </c>
      <c r="D53" s="26" t="s">
        <v>57</v>
      </c>
      <c r="E53" s="28" t="n">
        <v>391000</v>
      </c>
      <c r="F53" s="29" t="n">
        <v>28</v>
      </c>
    </row>
    <row r="54" customFormat="false" ht="15" hidden="false" customHeight="false" outlineLevel="0" collapsed="false">
      <c r="A54" s="36" t="s">
        <v>117</v>
      </c>
      <c r="B54" s="37" t="n">
        <v>46007</v>
      </c>
      <c r="C54" s="36" t="s">
        <v>73</v>
      </c>
      <c r="D54" s="36" t="s">
        <v>70</v>
      </c>
      <c r="E54" s="38" t="n">
        <v>464000</v>
      </c>
      <c r="F54" s="39" t="n">
        <v>12</v>
      </c>
    </row>
    <row r="55" customFormat="false" ht="15" hidden="false" customHeight="false" outlineLevel="0" collapsed="false">
      <c r="A55" s="26" t="s">
        <v>118</v>
      </c>
      <c r="B55" s="27" t="n">
        <v>45869</v>
      </c>
      <c r="C55" s="26" t="s">
        <v>69</v>
      </c>
      <c r="D55" s="26" t="s">
        <v>52</v>
      </c>
      <c r="E55" s="28" t="n">
        <v>363000</v>
      </c>
      <c r="F55" s="29" t="n">
        <v>5</v>
      </c>
    </row>
    <row r="56" customFormat="false" ht="15" hidden="false" customHeight="false" outlineLevel="0" collapsed="false">
      <c r="A56" s="36" t="s">
        <v>119</v>
      </c>
      <c r="B56" s="37" t="n">
        <v>45839</v>
      </c>
      <c r="C56" s="36" t="s">
        <v>82</v>
      </c>
      <c r="D56" s="36" t="s">
        <v>70</v>
      </c>
      <c r="E56" s="38" t="n">
        <v>60000</v>
      </c>
      <c r="F56" s="39" t="n">
        <v>28</v>
      </c>
    </row>
    <row r="57" customFormat="false" ht="15" hidden="false" customHeight="false" outlineLevel="0" collapsed="false">
      <c r="A57" s="26" t="s">
        <v>120</v>
      </c>
      <c r="B57" s="27" t="n">
        <v>46039</v>
      </c>
      <c r="C57" s="26" t="s">
        <v>79</v>
      </c>
      <c r="D57" s="26" t="s">
        <v>62</v>
      </c>
      <c r="E57" s="28" t="n">
        <v>217500</v>
      </c>
      <c r="F57" s="29" t="n">
        <v>18</v>
      </c>
    </row>
    <row r="58" customFormat="false" ht="15" hidden="false" customHeight="false" outlineLevel="0" collapsed="false">
      <c r="A58" s="36" t="s">
        <v>121</v>
      </c>
      <c r="B58" s="37" t="n">
        <v>45786</v>
      </c>
      <c r="C58" s="36" t="s">
        <v>82</v>
      </c>
      <c r="D58" s="36" t="s">
        <v>47</v>
      </c>
      <c r="E58" s="38" t="n">
        <v>140500</v>
      </c>
      <c r="F58" s="39" t="n">
        <v>28</v>
      </c>
    </row>
    <row r="59" customFormat="false" ht="15" hidden="false" customHeight="false" outlineLevel="0" collapsed="false">
      <c r="A59" s="26" t="s">
        <v>122</v>
      </c>
      <c r="B59" s="27" t="n">
        <v>45788</v>
      </c>
      <c r="C59" s="26" t="s">
        <v>114</v>
      </c>
      <c r="D59" s="26" t="s">
        <v>57</v>
      </c>
      <c r="E59" s="28" t="n">
        <v>391500</v>
      </c>
      <c r="F59" s="29" t="n">
        <v>28</v>
      </c>
    </row>
    <row r="60" customFormat="false" ht="15" hidden="false" customHeight="false" outlineLevel="0" collapsed="false">
      <c r="A60" s="36" t="s">
        <v>123</v>
      </c>
      <c r="B60" s="37" t="n">
        <v>45763</v>
      </c>
      <c r="C60" s="36" t="s">
        <v>61</v>
      </c>
      <c r="D60" s="36" t="s">
        <v>62</v>
      </c>
      <c r="E60" s="38" t="n">
        <v>344000</v>
      </c>
      <c r="F60" s="39" t="n">
        <v>18</v>
      </c>
    </row>
    <row r="61" customFormat="false" ht="15" hidden="false" customHeight="false" outlineLevel="0" collapsed="false">
      <c r="A61" s="26" t="s">
        <v>124</v>
      </c>
      <c r="B61" s="27" t="n">
        <v>45979</v>
      </c>
      <c r="C61" s="26" t="s">
        <v>79</v>
      </c>
      <c r="D61" s="26" t="s">
        <v>57</v>
      </c>
      <c r="E61" s="28" t="n">
        <v>253500</v>
      </c>
      <c r="F61" s="29" t="n">
        <v>18</v>
      </c>
    </row>
    <row r="62" customFormat="false" ht="15" hidden="false" customHeight="false" outlineLevel="0" collapsed="false">
      <c r="A62" s="36" t="s">
        <v>125</v>
      </c>
      <c r="B62" s="37" t="n">
        <v>46067</v>
      </c>
      <c r="C62" s="36" t="s">
        <v>46</v>
      </c>
      <c r="D62" s="36" t="s">
        <v>47</v>
      </c>
      <c r="E62" s="38" t="n">
        <v>14000</v>
      </c>
      <c r="F62" s="39" t="n">
        <v>5</v>
      </c>
    </row>
    <row r="63" customFormat="false" ht="15" hidden="false" customHeight="false" outlineLevel="0" collapsed="false">
      <c r="A63" s="26" t="s">
        <v>126</v>
      </c>
      <c r="B63" s="27" t="n">
        <v>45914</v>
      </c>
      <c r="C63" s="26" t="s">
        <v>73</v>
      </c>
      <c r="D63" s="26" t="s">
        <v>47</v>
      </c>
      <c r="E63" s="28" t="n">
        <v>61000</v>
      </c>
      <c r="F63" s="29" t="n">
        <v>12</v>
      </c>
    </row>
    <row r="64" customFormat="false" ht="15" hidden="false" customHeight="false" outlineLevel="0" collapsed="false">
      <c r="A64" s="36" t="s">
        <v>127</v>
      </c>
      <c r="B64" s="37" t="n">
        <v>46068</v>
      </c>
      <c r="C64" s="36" t="s">
        <v>75</v>
      </c>
      <c r="D64" s="36" t="s">
        <v>52</v>
      </c>
      <c r="E64" s="38" t="n">
        <v>108500</v>
      </c>
      <c r="F64" s="39" t="n">
        <v>5</v>
      </c>
    </row>
    <row r="65" customFormat="false" ht="15" hidden="false" customHeight="false" outlineLevel="0" collapsed="false">
      <c r="A65" s="26" t="s">
        <v>128</v>
      </c>
      <c r="B65" s="27" t="n">
        <v>45890</v>
      </c>
      <c r="C65" s="26" t="s">
        <v>51</v>
      </c>
      <c r="D65" s="26" t="s">
        <v>47</v>
      </c>
      <c r="E65" s="28" t="n">
        <v>479000</v>
      </c>
      <c r="F65" s="29" t="n">
        <v>18</v>
      </c>
    </row>
    <row r="66" customFormat="false" ht="15" hidden="false" customHeight="false" outlineLevel="0" collapsed="false">
      <c r="A66" s="36" t="s">
        <v>129</v>
      </c>
      <c r="B66" s="37" t="n">
        <v>46052</v>
      </c>
      <c r="C66" s="36" t="s">
        <v>114</v>
      </c>
      <c r="D66" s="36" t="s">
        <v>70</v>
      </c>
      <c r="E66" s="38" t="n">
        <v>418000</v>
      </c>
      <c r="F66" s="39" t="n">
        <v>12</v>
      </c>
    </row>
    <row r="67" customFormat="false" ht="15" hidden="false" customHeight="false" outlineLevel="0" collapsed="false">
      <c r="A67" s="26" t="s">
        <v>130</v>
      </c>
      <c r="B67" s="27" t="n">
        <v>45930</v>
      </c>
      <c r="C67" s="26" t="s">
        <v>56</v>
      </c>
      <c r="D67" s="26" t="s">
        <v>57</v>
      </c>
      <c r="E67" s="28" t="n">
        <v>198500</v>
      </c>
      <c r="F67" s="29" t="n">
        <v>12</v>
      </c>
    </row>
    <row r="68" customFormat="false" ht="15" hidden="false" customHeight="false" outlineLevel="0" collapsed="false">
      <c r="A68" s="36" t="s">
        <v>131</v>
      </c>
      <c r="B68" s="37" t="n">
        <v>45954</v>
      </c>
      <c r="C68" s="36" t="s">
        <v>87</v>
      </c>
      <c r="D68" s="36" t="s">
        <v>70</v>
      </c>
      <c r="E68" s="38" t="n">
        <v>317000</v>
      </c>
      <c r="F68" s="39" t="n">
        <v>18</v>
      </c>
    </row>
    <row r="69" customFormat="false" ht="15" hidden="false" customHeight="false" outlineLevel="0" collapsed="false">
      <c r="A69" s="26" t="s">
        <v>132</v>
      </c>
      <c r="B69" s="27" t="n">
        <v>45913</v>
      </c>
      <c r="C69" s="26" t="s">
        <v>46</v>
      </c>
      <c r="D69" s="26" t="s">
        <v>57</v>
      </c>
      <c r="E69" s="28" t="n">
        <v>152000</v>
      </c>
      <c r="F69" s="29" t="n">
        <v>18</v>
      </c>
    </row>
    <row r="70" customFormat="false" ht="15" hidden="false" customHeight="false" outlineLevel="0" collapsed="false">
      <c r="A70" s="36" t="s">
        <v>133</v>
      </c>
      <c r="B70" s="37" t="n">
        <v>45828</v>
      </c>
      <c r="C70" s="36" t="s">
        <v>75</v>
      </c>
      <c r="D70" s="36" t="s">
        <v>70</v>
      </c>
      <c r="E70" s="38" t="n">
        <v>266000</v>
      </c>
      <c r="F70" s="39" t="n">
        <v>18</v>
      </c>
    </row>
    <row r="71" customFormat="false" ht="15" hidden="false" customHeight="false" outlineLevel="0" collapsed="false">
      <c r="A71" s="26" t="s">
        <v>134</v>
      </c>
      <c r="B71" s="27" t="n">
        <v>45943</v>
      </c>
      <c r="C71" s="26" t="s">
        <v>84</v>
      </c>
      <c r="D71" s="26" t="s">
        <v>62</v>
      </c>
      <c r="E71" s="28" t="n">
        <v>151000</v>
      </c>
      <c r="F71" s="29" t="n">
        <v>5</v>
      </c>
    </row>
    <row r="72" customFormat="false" ht="15" hidden="false" customHeight="false" outlineLevel="0" collapsed="false">
      <c r="A72" s="36" t="s">
        <v>135</v>
      </c>
      <c r="B72" s="37" t="n">
        <v>45885</v>
      </c>
      <c r="C72" s="36" t="s">
        <v>84</v>
      </c>
      <c r="D72" s="36" t="s">
        <v>62</v>
      </c>
      <c r="E72" s="38" t="n">
        <v>276000</v>
      </c>
      <c r="F72" s="39" t="n">
        <v>28</v>
      </c>
    </row>
    <row r="73" customFormat="false" ht="15" hidden="false" customHeight="false" outlineLevel="0" collapsed="false">
      <c r="A73" s="26" t="s">
        <v>136</v>
      </c>
      <c r="B73" s="27" t="n">
        <v>46051</v>
      </c>
      <c r="C73" s="26" t="s">
        <v>79</v>
      </c>
      <c r="D73" s="26" t="s">
        <v>57</v>
      </c>
      <c r="E73" s="28" t="n">
        <v>218500</v>
      </c>
      <c r="F73" s="29" t="n">
        <v>5</v>
      </c>
    </row>
    <row r="74" customFormat="false" ht="15" hidden="false" customHeight="false" outlineLevel="0" collapsed="false">
      <c r="A74" s="36" t="s">
        <v>137</v>
      </c>
      <c r="B74" s="37" t="n">
        <v>45815</v>
      </c>
      <c r="C74" s="36" t="s">
        <v>61</v>
      </c>
      <c r="D74" s="36" t="s">
        <v>70</v>
      </c>
      <c r="E74" s="38" t="n">
        <v>327500</v>
      </c>
      <c r="F74" s="39" t="n">
        <v>12</v>
      </c>
    </row>
    <row r="75" customFormat="false" ht="15" hidden="false" customHeight="false" outlineLevel="0" collapsed="false">
      <c r="A75" s="26" t="s">
        <v>138</v>
      </c>
      <c r="B75" s="27" t="n">
        <v>45917</v>
      </c>
      <c r="C75" s="26" t="s">
        <v>56</v>
      </c>
      <c r="D75" s="26" t="s">
        <v>47</v>
      </c>
      <c r="E75" s="28" t="n">
        <v>408500</v>
      </c>
      <c r="F75" s="29" t="n">
        <v>5</v>
      </c>
    </row>
    <row r="76" customFormat="false" ht="15" hidden="false" customHeight="false" outlineLevel="0" collapsed="false">
      <c r="A76" s="36" t="s">
        <v>139</v>
      </c>
      <c r="B76" s="37" t="n">
        <v>45818</v>
      </c>
      <c r="C76" s="36" t="s">
        <v>79</v>
      </c>
      <c r="D76" s="36" t="s">
        <v>70</v>
      </c>
      <c r="E76" s="38" t="n">
        <v>161500</v>
      </c>
      <c r="F76" s="39" t="n">
        <v>5</v>
      </c>
    </row>
    <row r="77" customFormat="false" ht="15" hidden="false" customHeight="false" outlineLevel="0" collapsed="false">
      <c r="A77" s="26" t="s">
        <v>140</v>
      </c>
      <c r="B77" s="27" t="n">
        <v>45841</v>
      </c>
      <c r="C77" s="26" t="s">
        <v>84</v>
      </c>
      <c r="D77" s="26" t="s">
        <v>47</v>
      </c>
      <c r="E77" s="28" t="n">
        <v>353000</v>
      </c>
      <c r="F77" s="29" t="n">
        <v>5</v>
      </c>
    </row>
    <row r="78" customFormat="false" ht="15" hidden="false" customHeight="false" outlineLevel="0" collapsed="false">
      <c r="A78" s="36" t="s">
        <v>141</v>
      </c>
      <c r="B78" s="37" t="n">
        <v>45927</v>
      </c>
      <c r="C78" s="36" t="s">
        <v>75</v>
      </c>
      <c r="D78" s="36" t="s">
        <v>57</v>
      </c>
      <c r="E78" s="38" t="n">
        <v>388500</v>
      </c>
      <c r="F78" s="39" t="n">
        <v>18</v>
      </c>
    </row>
    <row r="79" customFormat="false" ht="15" hidden="false" customHeight="false" outlineLevel="0" collapsed="false">
      <c r="A79" s="26" t="s">
        <v>142</v>
      </c>
      <c r="B79" s="27" t="n">
        <v>45800</v>
      </c>
      <c r="C79" s="26" t="s">
        <v>73</v>
      </c>
      <c r="D79" s="26" t="s">
        <v>70</v>
      </c>
      <c r="E79" s="28" t="n">
        <v>313000</v>
      </c>
      <c r="F79" s="29" t="n">
        <v>28</v>
      </c>
    </row>
    <row r="80" customFormat="false" ht="15" hidden="false" customHeight="false" outlineLevel="0" collapsed="false">
      <c r="A80" s="36" t="s">
        <v>143</v>
      </c>
      <c r="B80" s="37" t="n">
        <v>46052</v>
      </c>
      <c r="C80" s="36" t="s">
        <v>82</v>
      </c>
      <c r="D80" s="36" t="s">
        <v>52</v>
      </c>
      <c r="E80" s="38" t="n">
        <v>149500</v>
      </c>
      <c r="F80" s="39" t="n">
        <v>12</v>
      </c>
    </row>
    <row r="81" customFormat="false" ht="15" hidden="false" customHeight="false" outlineLevel="0" collapsed="false">
      <c r="A81" s="26" t="s">
        <v>144</v>
      </c>
      <c r="B81" s="27" t="n">
        <v>45983</v>
      </c>
      <c r="C81" s="26" t="s">
        <v>51</v>
      </c>
      <c r="D81" s="26" t="s">
        <v>52</v>
      </c>
      <c r="E81" s="28" t="n">
        <v>340500</v>
      </c>
      <c r="F81" s="29" t="n">
        <v>12</v>
      </c>
    </row>
    <row r="82" customFormat="false" ht="15" hidden="false" customHeight="false" outlineLevel="0" collapsed="false">
      <c r="A82" s="36" t="s">
        <v>145</v>
      </c>
      <c r="B82" s="37" t="n">
        <v>45909</v>
      </c>
      <c r="C82" s="36" t="s">
        <v>114</v>
      </c>
      <c r="D82" s="36" t="s">
        <v>47</v>
      </c>
      <c r="E82" s="38" t="n">
        <v>29000</v>
      </c>
      <c r="F82" s="39" t="n">
        <v>28</v>
      </c>
    </row>
    <row r="83" customFormat="false" ht="15" hidden="false" customHeight="false" outlineLevel="0" collapsed="false">
      <c r="A83" s="26" t="s">
        <v>146</v>
      </c>
      <c r="B83" s="27" t="n">
        <v>45899</v>
      </c>
      <c r="C83" s="26" t="s">
        <v>73</v>
      </c>
      <c r="D83" s="26" t="s">
        <v>62</v>
      </c>
      <c r="E83" s="28" t="n">
        <v>143500</v>
      </c>
      <c r="F83" s="29" t="n">
        <v>12</v>
      </c>
    </row>
    <row r="84" customFormat="false" ht="15" hidden="false" customHeight="false" outlineLevel="0" collapsed="false">
      <c r="A84" s="36" t="s">
        <v>147</v>
      </c>
      <c r="B84" s="37" t="n">
        <v>46034</v>
      </c>
      <c r="C84" s="36" t="s">
        <v>46</v>
      </c>
      <c r="D84" s="36" t="s">
        <v>47</v>
      </c>
      <c r="E84" s="38" t="n">
        <v>3500</v>
      </c>
      <c r="F84" s="39" t="n">
        <v>28</v>
      </c>
    </row>
    <row r="85" customFormat="false" ht="15" hidden="false" customHeight="false" outlineLevel="0" collapsed="false">
      <c r="A85" s="26" t="s">
        <v>148</v>
      </c>
      <c r="B85" s="27" t="n">
        <v>45916</v>
      </c>
      <c r="C85" s="26" t="s">
        <v>114</v>
      </c>
      <c r="D85" s="26" t="s">
        <v>47</v>
      </c>
      <c r="E85" s="28" t="n">
        <v>229000</v>
      </c>
      <c r="F85" s="29" t="n">
        <v>5</v>
      </c>
    </row>
    <row r="86" customFormat="false" ht="15" hidden="false" customHeight="false" outlineLevel="0" collapsed="false">
      <c r="A86" s="36" t="s">
        <v>149</v>
      </c>
      <c r="B86" s="37" t="n">
        <v>46044</v>
      </c>
      <c r="C86" s="36" t="s">
        <v>82</v>
      </c>
      <c r="D86" s="36" t="s">
        <v>47</v>
      </c>
      <c r="E86" s="38" t="n">
        <v>429500</v>
      </c>
      <c r="F86" s="39" t="n">
        <v>5</v>
      </c>
    </row>
    <row r="87" customFormat="false" ht="15" hidden="false" customHeight="false" outlineLevel="0" collapsed="false">
      <c r="A87" s="26" t="s">
        <v>150</v>
      </c>
      <c r="B87" s="27" t="n">
        <v>46089</v>
      </c>
      <c r="C87" s="26" t="s">
        <v>56</v>
      </c>
      <c r="D87" s="26" t="s">
        <v>47</v>
      </c>
      <c r="E87" s="28" t="n">
        <v>131000</v>
      </c>
      <c r="F87" s="29" t="n">
        <v>18</v>
      </c>
    </row>
    <row r="88" customFormat="false" ht="15" hidden="false" customHeight="false" outlineLevel="0" collapsed="false">
      <c r="A88" s="36" t="s">
        <v>151</v>
      </c>
      <c r="B88" s="37" t="n">
        <v>45792</v>
      </c>
      <c r="C88" s="36" t="s">
        <v>69</v>
      </c>
      <c r="D88" s="36" t="s">
        <v>47</v>
      </c>
      <c r="E88" s="38" t="n">
        <v>107500</v>
      </c>
      <c r="F88" s="39" t="n">
        <v>28</v>
      </c>
    </row>
    <row r="89" customFormat="false" ht="15" hidden="false" customHeight="false" outlineLevel="0" collapsed="false">
      <c r="A89" s="26" t="s">
        <v>152</v>
      </c>
      <c r="B89" s="27" t="n">
        <v>45978</v>
      </c>
      <c r="C89" s="26" t="s">
        <v>73</v>
      </c>
      <c r="D89" s="26" t="s">
        <v>52</v>
      </c>
      <c r="E89" s="28" t="n">
        <v>200500</v>
      </c>
      <c r="F89" s="29" t="n">
        <v>12</v>
      </c>
    </row>
    <row r="90" customFormat="false" ht="15" hidden="false" customHeight="false" outlineLevel="0" collapsed="false">
      <c r="A90" s="36" t="s">
        <v>153</v>
      </c>
      <c r="B90" s="37" t="n">
        <v>45873</v>
      </c>
      <c r="C90" s="36" t="s">
        <v>87</v>
      </c>
      <c r="D90" s="36" t="s">
        <v>62</v>
      </c>
      <c r="E90" s="38" t="n">
        <v>112500</v>
      </c>
      <c r="F90" s="39" t="n">
        <v>18</v>
      </c>
    </row>
    <row r="91" customFormat="false" ht="15" hidden="false" customHeight="false" outlineLevel="0" collapsed="false">
      <c r="A91" s="26" t="s">
        <v>154</v>
      </c>
      <c r="B91" s="27" t="n">
        <v>46068</v>
      </c>
      <c r="C91" s="26" t="s">
        <v>114</v>
      </c>
      <c r="D91" s="26" t="s">
        <v>52</v>
      </c>
      <c r="E91" s="28" t="n">
        <v>277000</v>
      </c>
      <c r="F91" s="29" t="n">
        <v>12</v>
      </c>
    </row>
    <row r="92" customFormat="false" ht="15" hidden="false" customHeight="false" outlineLevel="0" collapsed="false">
      <c r="A92" s="36" t="s">
        <v>155</v>
      </c>
      <c r="B92" s="37" t="n">
        <v>45924</v>
      </c>
      <c r="C92" s="36" t="s">
        <v>69</v>
      </c>
      <c r="D92" s="36" t="s">
        <v>62</v>
      </c>
      <c r="E92" s="38" t="n">
        <v>448500</v>
      </c>
      <c r="F92" s="39" t="n">
        <v>28</v>
      </c>
    </row>
    <row r="93" customFormat="false" ht="15" hidden="false" customHeight="false" outlineLevel="0" collapsed="false">
      <c r="A93" s="26" t="s">
        <v>156</v>
      </c>
      <c r="B93" s="27" t="n">
        <v>45832</v>
      </c>
      <c r="C93" s="26" t="s">
        <v>79</v>
      </c>
      <c r="D93" s="26" t="s">
        <v>70</v>
      </c>
      <c r="E93" s="28" t="n">
        <v>396500</v>
      </c>
      <c r="F93" s="29" t="n">
        <v>5</v>
      </c>
    </row>
    <row r="94" customFormat="false" ht="15" hidden="false" customHeight="false" outlineLevel="0" collapsed="false">
      <c r="A94" s="36" t="s">
        <v>157</v>
      </c>
      <c r="B94" s="37" t="n">
        <v>45938</v>
      </c>
      <c r="C94" s="36" t="s">
        <v>114</v>
      </c>
      <c r="D94" s="36" t="s">
        <v>62</v>
      </c>
      <c r="E94" s="38" t="n">
        <v>274500</v>
      </c>
      <c r="F94" s="39" t="n">
        <v>18</v>
      </c>
    </row>
    <row r="95" customFormat="false" ht="15" hidden="false" customHeight="false" outlineLevel="0" collapsed="false">
      <c r="A95" s="26" t="s">
        <v>158</v>
      </c>
      <c r="B95" s="27" t="n">
        <v>46107</v>
      </c>
      <c r="C95" s="26" t="s">
        <v>69</v>
      </c>
      <c r="D95" s="26" t="s">
        <v>62</v>
      </c>
      <c r="E95" s="28" t="n">
        <v>184000</v>
      </c>
      <c r="F95" s="29" t="n">
        <v>28</v>
      </c>
    </row>
    <row r="96" customFormat="false" ht="15" hidden="false" customHeight="false" outlineLevel="0" collapsed="false">
      <c r="A96" s="36" t="s">
        <v>159</v>
      </c>
      <c r="B96" s="37" t="n">
        <v>45793</v>
      </c>
      <c r="C96" s="36" t="s">
        <v>46</v>
      </c>
      <c r="D96" s="36" t="s">
        <v>47</v>
      </c>
      <c r="E96" s="38" t="n">
        <v>290500</v>
      </c>
      <c r="F96" s="39" t="n">
        <v>5</v>
      </c>
    </row>
    <row r="97" customFormat="false" ht="15" hidden="false" customHeight="false" outlineLevel="0" collapsed="false">
      <c r="A97" s="26" t="s">
        <v>160</v>
      </c>
      <c r="B97" s="27" t="n">
        <v>45918</v>
      </c>
      <c r="C97" s="26" t="s">
        <v>46</v>
      </c>
      <c r="D97" s="26" t="s">
        <v>52</v>
      </c>
      <c r="E97" s="28" t="n">
        <v>458000</v>
      </c>
      <c r="F97" s="29" t="n">
        <v>12</v>
      </c>
    </row>
    <row r="98" customFormat="false" ht="15" hidden="false" customHeight="false" outlineLevel="0" collapsed="false">
      <c r="A98" s="36" t="s">
        <v>161</v>
      </c>
      <c r="B98" s="37" t="n">
        <v>45883</v>
      </c>
      <c r="C98" s="36" t="s">
        <v>114</v>
      </c>
      <c r="D98" s="36" t="s">
        <v>52</v>
      </c>
      <c r="E98" s="38" t="n">
        <v>294500</v>
      </c>
      <c r="F98" s="39" t="n">
        <v>28</v>
      </c>
    </row>
    <row r="99" customFormat="false" ht="15" hidden="false" customHeight="false" outlineLevel="0" collapsed="false">
      <c r="A99" s="26" t="s">
        <v>162</v>
      </c>
      <c r="B99" s="27" t="n">
        <v>45845</v>
      </c>
      <c r="C99" s="26" t="s">
        <v>61</v>
      </c>
      <c r="D99" s="26" t="s">
        <v>57</v>
      </c>
      <c r="E99" s="28" t="n">
        <v>154500</v>
      </c>
      <c r="F99" s="29" t="n">
        <v>28</v>
      </c>
    </row>
    <row r="100" customFormat="false" ht="15" hidden="false" customHeight="false" outlineLevel="0" collapsed="false">
      <c r="A100" s="36" t="s">
        <v>163</v>
      </c>
      <c r="B100" s="37" t="n">
        <v>45928</v>
      </c>
      <c r="C100" s="36" t="s">
        <v>87</v>
      </c>
      <c r="D100" s="36" t="s">
        <v>47</v>
      </c>
      <c r="E100" s="38" t="n">
        <v>424500</v>
      </c>
      <c r="F100" s="39" t="n">
        <v>12</v>
      </c>
    </row>
    <row r="101" customFormat="false" ht="15" hidden="false" customHeight="false" outlineLevel="0" collapsed="false">
      <c r="A101" s="26" t="s">
        <v>164</v>
      </c>
      <c r="B101" s="27" t="n">
        <v>45795</v>
      </c>
      <c r="C101" s="26" t="s">
        <v>51</v>
      </c>
      <c r="D101" s="26" t="s">
        <v>52</v>
      </c>
      <c r="E101" s="28" t="n">
        <v>171500</v>
      </c>
      <c r="F101" s="29" t="n">
        <v>5</v>
      </c>
    </row>
    <row r="102" customFormat="false" ht="15" hidden="false" customHeight="false" outlineLevel="0" collapsed="false">
      <c r="A102" s="36" t="s">
        <v>165</v>
      </c>
      <c r="B102" s="37" t="n">
        <v>45884</v>
      </c>
      <c r="C102" s="36" t="s">
        <v>82</v>
      </c>
      <c r="D102" s="36" t="s">
        <v>62</v>
      </c>
      <c r="E102" s="38" t="n">
        <v>291000</v>
      </c>
      <c r="F102" s="39" t="n">
        <v>18</v>
      </c>
    </row>
    <row r="103" customFormat="false" ht="15" hidden="false" customHeight="false" outlineLevel="0" collapsed="false">
      <c r="A103" s="26" t="s">
        <v>166</v>
      </c>
      <c r="B103" s="27" t="n">
        <v>45976</v>
      </c>
      <c r="C103" s="26" t="s">
        <v>82</v>
      </c>
      <c r="D103" s="26" t="s">
        <v>47</v>
      </c>
      <c r="E103" s="28" t="n">
        <v>367000</v>
      </c>
      <c r="F103" s="29" t="n">
        <v>12</v>
      </c>
    </row>
    <row r="104" customFormat="false" ht="15" hidden="false" customHeight="false" outlineLevel="0" collapsed="false">
      <c r="A104" s="36" t="s">
        <v>167</v>
      </c>
      <c r="B104" s="37" t="n">
        <v>45824</v>
      </c>
      <c r="C104" s="36" t="s">
        <v>69</v>
      </c>
      <c r="D104" s="36" t="s">
        <v>62</v>
      </c>
      <c r="E104" s="38" t="n">
        <v>328500</v>
      </c>
      <c r="F104" s="39" t="n">
        <v>5</v>
      </c>
    </row>
    <row r="105" customFormat="false" ht="15" hidden="false" customHeight="false" outlineLevel="0" collapsed="false">
      <c r="A105" s="26" t="s">
        <v>168</v>
      </c>
      <c r="B105" s="27" t="n">
        <v>45992</v>
      </c>
      <c r="C105" s="26" t="s">
        <v>84</v>
      </c>
      <c r="D105" s="26" t="s">
        <v>47</v>
      </c>
      <c r="E105" s="28" t="n">
        <v>147500</v>
      </c>
      <c r="F105" s="29" t="n">
        <v>12</v>
      </c>
    </row>
    <row r="106" customFormat="false" ht="15" hidden="false" customHeight="false" outlineLevel="0" collapsed="false">
      <c r="A106" s="36" t="s">
        <v>169</v>
      </c>
      <c r="B106" s="37" t="n">
        <v>46018</v>
      </c>
      <c r="C106" s="36" t="s">
        <v>46</v>
      </c>
      <c r="D106" s="36" t="s">
        <v>62</v>
      </c>
      <c r="E106" s="38" t="n">
        <v>202500</v>
      </c>
      <c r="F106" s="39" t="n">
        <v>12</v>
      </c>
    </row>
    <row r="107" customFormat="false" ht="15" hidden="false" customHeight="false" outlineLevel="0" collapsed="false">
      <c r="A107" s="26" t="s">
        <v>170</v>
      </c>
      <c r="B107" s="27" t="n">
        <v>45980</v>
      </c>
      <c r="C107" s="26" t="s">
        <v>84</v>
      </c>
      <c r="D107" s="26" t="s">
        <v>70</v>
      </c>
      <c r="E107" s="28" t="n">
        <v>384500</v>
      </c>
      <c r="F107" s="29" t="n">
        <v>5</v>
      </c>
    </row>
    <row r="108" customFormat="false" ht="15" hidden="false" customHeight="false" outlineLevel="0" collapsed="false">
      <c r="A108" s="36" t="s">
        <v>171</v>
      </c>
      <c r="B108" s="37" t="n">
        <v>46106</v>
      </c>
      <c r="C108" s="36" t="s">
        <v>51</v>
      </c>
      <c r="D108" s="36" t="s">
        <v>52</v>
      </c>
      <c r="E108" s="38" t="n">
        <v>194500</v>
      </c>
      <c r="F108" s="39" t="n">
        <v>12</v>
      </c>
    </row>
    <row r="109" customFormat="false" ht="15" hidden="false" customHeight="false" outlineLevel="0" collapsed="false">
      <c r="A109" s="26" t="s">
        <v>172</v>
      </c>
      <c r="B109" s="27" t="n">
        <v>46016</v>
      </c>
      <c r="C109" s="26" t="s">
        <v>56</v>
      </c>
      <c r="D109" s="26" t="s">
        <v>47</v>
      </c>
      <c r="E109" s="28" t="n">
        <v>375000</v>
      </c>
      <c r="F109" s="29" t="n">
        <v>5</v>
      </c>
    </row>
    <row r="110" customFormat="false" ht="15" hidden="false" customHeight="false" outlineLevel="0" collapsed="false">
      <c r="A110" s="36" t="s">
        <v>173</v>
      </c>
      <c r="B110" s="37" t="n">
        <v>45843</v>
      </c>
      <c r="C110" s="36" t="s">
        <v>75</v>
      </c>
      <c r="D110" s="36" t="s">
        <v>47</v>
      </c>
      <c r="E110" s="38" t="n">
        <v>244000</v>
      </c>
      <c r="F110" s="39" t="n">
        <v>5</v>
      </c>
    </row>
    <row r="111" customFormat="false" ht="15" hidden="false" customHeight="false" outlineLevel="0" collapsed="false">
      <c r="A111" s="26" t="s">
        <v>174</v>
      </c>
      <c r="B111" s="27" t="n">
        <v>45964</v>
      </c>
      <c r="C111" s="26" t="s">
        <v>46</v>
      </c>
      <c r="D111" s="26" t="s">
        <v>47</v>
      </c>
      <c r="E111" s="28" t="n">
        <v>263000</v>
      </c>
      <c r="F111" s="29" t="n">
        <v>18</v>
      </c>
    </row>
    <row r="112" customFormat="false" ht="15" hidden="false" customHeight="false" outlineLevel="0" collapsed="false">
      <c r="A112" s="36" t="s">
        <v>175</v>
      </c>
      <c r="B112" s="37" t="n">
        <v>45961</v>
      </c>
      <c r="C112" s="36" t="s">
        <v>51</v>
      </c>
      <c r="D112" s="36" t="s">
        <v>52</v>
      </c>
      <c r="E112" s="38" t="n">
        <v>182500</v>
      </c>
      <c r="F112" s="39" t="n">
        <v>12</v>
      </c>
    </row>
    <row r="113" customFormat="false" ht="15" hidden="false" customHeight="false" outlineLevel="0" collapsed="false">
      <c r="A113" s="26" t="s">
        <v>176</v>
      </c>
      <c r="B113" s="27" t="n">
        <v>45919</v>
      </c>
      <c r="C113" s="26" t="s">
        <v>82</v>
      </c>
      <c r="D113" s="26" t="s">
        <v>62</v>
      </c>
      <c r="E113" s="28" t="n">
        <v>271500</v>
      </c>
      <c r="F113" s="29" t="n">
        <v>18</v>
      </c>
    </row>
    <row r="114" customFormat="false" ht="15" hidden="false" customHeight="false" outlineLevel="0" collapsed="false">
      <c r="A114" s="36" t="s">
        <v>177</v>
      </c>
      <c r="B114" s="37" t="n">
        <v>45804</v>
      </c>
      <c r="C114" s="36" t="s">
        <v>46</v>
      </c>
      <c r="D114" s="36" t="s">
        <v>70</v>
      </c>
      <c r="E114" s="38" t="n">
        <v>374500</v>
      </c>
      <c r="F114" s="39" t="n">
        <v>5</v>
      </c>
    </row>
    <row r="115" customFormat="false" ht="15" hidden="false" customHeight="false" outlineLevel="0" collapsed="false">
      <c r="A115" s="26" t="s">
        <v>178</v>
      </c>
      <c r="B115" s="27" t="n">
        <v>45874</v>
      </c>
      <c r="C115" s="26" t="s">
        <v>75</v>
      </c>
      <c r="D115" s="26" t="s">
        <v>47</v>
      </c>
      <c r="E115" s="28" t="n">
        <v>401000</v>
      </c>
      <c r="F115" s="29" t="n">
        <v>18</v>
      </c>
    </row>
    <row r="116" customFormat="false" ht="15" hidden="false" customHeight="false" outlineLevel="0" collapsed="false">
      <c r="A116" s="36" t="s">
        <v>179</v>
      </c>
      <c r="B116" s="37" t="n">
        <v>46042</v>
      </c>
      <c r="C116" s="36" t="s">
        <v>79</v>
      </c>
      <c r="D116" s="36" t="s">
        <v>57</v>
      </c>
      <c r="E116" s="38" t="n">
        <v>186500</v>
      </c>
      <c r="F116" s="39" t="n">
        <v>28</v>
      </c>
    </row>
    <row r="117" customFormat="false" ht="15" hidden="false" customHeight="false" outlineLevel="0" collapsed="false">
      <c r="A117" s="26" t="s">
        <v>180</v>
      </c>
      <c r="B117" s="27" t="n">
        <v>46063</v>
      </c>
      <c r="C117" s="26" t="s">
        <v>51</v>
      </c>
      <c r="D117" s="26" t="s">
        <v>47</v>
      </c>
      <c r="E117" s="28" t="n">
        <v>97000</v>
      </c>
      <c r="F117" s="29" t="n">
        <v>12</v>
      </c>
    </row>
    <row r="118" customFormat="false" ht="15" hidden="false" customHeight="false" outlineLevel="0" collapsed="false">
      <c r="A118" s="36" t="s">
        <v>181</v>
      </c>
      <c r="B118" s="37" t="n">
        <v>45974</v>
      </c>
      <c r="C118" s="36" t="s">
        <v>61</v>
      </c>
      <c r="D118" s="36" t="s">
        <v>57</v>
      </c>
      <c r="E118" s="38" t="n">
        <v>478500</v>
      </c>
      <c r="F118" s="39" t="n">
        <v>18</v>
      </c>
    </row>
    <row r="119" customFormat="false" ht="15" hidden="false" customHeight="false" outlineLevel="0" collapsed="false">
      <c r="A119" s="26" t="s">
        <v>182</v>
      </c>
      <c r="B119" s="27" t="n">
        <v>45850</v>
      </c>
      <c r="C119" s="26" t="s">
        <v>79</v>
      </c>
      <c r="D119" s="26" t="s">
        <v>52</v>
      </c>
      <c r="E119" s="28" t="n">
        <v>274000</v>
      </c>
      <c r="F119" s="29" t="n">
        <v>5</v>
      </c>
    </row>
    <row r="120" customFormat="false" ht="15" hidden="false" customHeight="false" outlineLevel="0" collapsed="false">
      <c r="A120" s="36" t="s">
        <v>183</v>
      </c>
      <c r="B120" s="37" t="n">
        <v>45837</v>
      </c>
      <c r="C120" s="36" t="s">
        <v>51</v>
      </c>
      <c r="D120" s="36" t="s">
        <v>62</v>
      </c>
      <c r="E120" s="38" t="n">
        <v>375000</v>
      </c>
      <c r="F120" s="39" t="n">
        <v>18</v>
      </c>
    </row>
    <row r="121" customFormat="false" ht="15" hidden="false" customHeight="false" outlineLevel="0" collapsed="false">
      <c r="A121" s="26" t="s">
        <v>184</v>
      </c>
      <c r="B121" s="27" t="n">
        <v>46037</v>
      </c>
      <c r="C121" s="26" t="s">
        <v>114</v>
      </c>
      <c r="D121" s="26" t="s">
        <v>57</v>
      </c>
      <c r="E121" s="28" t="n">
        <v>181500</v>
      </c>
      <c r="F121" s="29" t="n">
        <v>28</v>
      </c>
    </row>
    <row r="122" customFormat="false" ht="15" hidden="false" customHeight="false" outlineLevel="0" collapsed="false">
      <c r="A122" s="36" t="s">
        <v>185</v>
      </c>
      <c r="B122" s="37" t="n">
        <v>46112</v>
      </c>
      <c r="C122" s="36" t="s">
        <v>69</v>
      </c>
      <c r="D122" s="36" t="s">
        <v>57</v>
      </c>
      <c r="E122" s="38" t="n">
        <v>16500</v>
      </c>
      <c r="F122" s="39" t="n">
        <v>18</v>
      </c>
    </row>
    <row r="123" customFormat="false" ht="15" hidden="false" customHeight="false" outlineLevel="0" collapsed="false">
      <c r="A123" s="26" t="s">
        <v>186</v>
      </c>
      <c r="B123" s="27" t="n">
        <v>45823</v>
      </c>
      <c r="C123" s="26" t="s">
        <v>114</v>
      </c>
      <c r="D123" s="26" t="s">
        <v>70</v>
      </c>
      <c r="E123" s="28" t="n">
        <v>423000</v>
      </c>
      <c r="F123" s="29" t="n">
        <v>28</v>
      </c>
    </row>
    <row r="124" customFormat="false" ht="15" hidden="false" customHeight="false" outlineLevel="0" collapsed="false">
      <c r="A124" s="36" t="s">
        <v>187</v>
      </c>
      <c r="B124" s="37" t="n">
        <v>45900</v>
      </c>
      <c r="C124" s="36" t="s">
        <v>69</v>
      </c>
      <c r="D124" s="36" t="s">
        <v>62</v>
      </c>
      <c r="E124" s="38" t="n">
        <v>291000</v>
      </c>
      <c r="F124" s="39" t="n">
        <v>12</v>
      </c>
    </row>
    <row r="125" customFormat="false" ht="15" hidden="false" customHeight="false" outlineLevel="0" collapsed="false">
      <c r="A125" s="26" t="s">
        <v>188</v>
      </c>
      <c r="B125" s="27" t="n">
        <v>45870</v>
      </c>
      <c r="C125" s="26" t="s">
        <v>56</v>
      </c>
      <c r="D125" s="26" t="s">
        <v>52</v>
      </c>
      <c r="E125" s="28" t="n">
        <v>105000</v>
      </c>
      <c r="F125" s="29" t="n">
        <v>12</v>
      </c>
    </row>
    <row r="126" customFormat="false" ht="15" hidden="false" customHeight="false" outlineLevel="0" collapsed="false">
      <c r="A126" s="36" t="s">
        <v>189</v>
      </c>
      <c r="B126" s="37" t="n">
        <v>45873</v>
      </c>
      <c r="C126" s="36" t="s">
        <v>87</v>
      </c>
      <c r="D126" s="36" t="s">
        <v>57</v>
      </c>
      <c r="E126" s="38" t="n">
        <v>443000</v>
      </c>
      <c r="F126" s="39" t="n">
        <v>28</v>
      </c>
    </row>
    <row r="127" customFormat="false" ht="15" hidden="false" customHeight="false" outlineLevel="0" collapsed="false">
      <c r="A127" s="26" t="s">
        <v>190</v>
      </c>
      <c r="B127" s="27" t="n">
        <v>45829</v>
      </c>
      <c r="C127" s="26" t="s">
        <v>87</v>
      </c>
      <c r="D127" s="26" t="s">
        <v>57</v>
      </c>
      <c r="E127" s="28" t="n">
        <v>117500</v>
      </c>
      <c r="F127" s="29" t="n">
        <v>28</v>
      </c>
    </row>
    <row r="128" customFormat="false" ht="15" hidden="false" customHeight="false" outlineLevel="0" collapsed="false">
      <c r="A128" s="36" t="s">
        <v>191</v>
      </c>
      <c r="B128" s="37" t="n">
        <v>46058</v>
      </c>
      <c r="C128" s="36" t="s">
        <v>75</v>
      </c>
      <c r="D128" s="36" t="s">
        <v>47</v>
      </c>
      <c r="E128" s="38" t="n">
        <v>79000</v>
      </c>
      <c r="F128" s="39" t="n">
        <v>12</v>
      </c>
    </row>
  </sheetData>
  <mergeCells count="3">
    <mergeCell ref="A1:L1"/>
    <mergeCell ref="A2:L2"/>
    <mergeCell ref="A3:L5"/>
  </mergeCells>
  <conditionalFormatting sqref="K9:K13">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M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true" outlineLevel="0" max="14" min="13" style="0" width="13"/>
  </cols>
  <sheetData>
    <row r="1" customFormat="false" ht="31.5" hidden="false" customHeight="true" outlineLevel="0" collapsed="false">
      <c r="A1" s="41" t="s">
        <v>192</v>
      </c>
      <c r="B1" s="41"/>
      <c r="C1" s="41"/>
      <c r="D1" s="41"/>
      <c r="E1" s="41"/>
      <c r="F1" s="41"/>
      <c r="G1" s="41"/>
      <c r="H1" s="41"/>
      <c r="I1" s="41"/>
      <c r="J1" s="41"/>
      <c r="K1" s="41"/>
      <c r="L1" s="41"/>
    </row>
    <row r="2" customFormat="false" ht="19.5" hidden="false" customHeight="true" outlineLevel="0" collapsed="false">
      <c r="A2" s="42" t="s">
        <v>193</v>
      </c>
      <c r="B2" s="42"/>
      <c r="C2" s="42"/>
      <c r="D2" s="42"/>
      <c r="E2" s="42"/>
      <c r="F2" s="42"/>
      <c r="G2" s="42"/>
      <c r="H2" s="42"/>
      <c r="I2" s="42"/>
      <c r="J2" s="42"/>
      <c r="K2" s="42"/>
      <c r="L2" s="42"/>
    </row>
    <row r="3" customFormat="false" ht="18.75" hidden="false" customHeight="true" outlineLevel="0" collapsed="false">
      <c r="A3" s="43" t="s">
        <v>194</v>
      </c>
      <c r="B3" s="43"/>
      <c r="C3" s="43"/>
      <c r="D3" s="43"/>
      <c r="E3" s="43"/>
      <c r="F3" s="43"/>
      <c r="G3" s="43"/>
      <c r="H3" s="43"/>
      <c r="I3" s="43"/>
      <c r="J3" s="43"/>
      <c r="K3" s="43"/>
      <c r="L3" s="43"/>
    </row>
    <row r="4" customFormat="false" ht="18.75" hidden="false" customHeight="true" outlineLevel="0" collapsed="false">
      <c r="A4" s="43"/>
      <c r="B4" s="43"/>
      <c r="C4" s="43"/>
      <c r="D4" s="43"/>
      <c r="E4" s="43"/>
      <c r="F4" s="43"/>
      <c r="G4" s="43"/>
      <c r="H4" s="43"/>
      <c r="I4" s="43"/>
      <c r="J4" s="43"/>
      <c r="K4" s="43"/>
      <c r="L4" s="43"/>
    </row>
    <row r="5" customFormat="false" ht="18.75" hidden="false" customHeight="true" outlineLevel="0" collapsed="false">
      <c r="A5" s="43"/>
      <c r="B5" s="43"/>
      <c r="C5" s="43"/>
      <c r="D5" s="43"/>
      <c r="E5" s="43"/>
      <c r="F5" s="43"/>
      <c r="G5" s="43"/>
      <c r="H5" s="43"/>
      <c r="I5" s="43"/>
      <c r="J5" s="43"/>
      <c r="K5" s="43"/>
      <c r="L5" s="43"/>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H8" s="44" t="s">
        <v>14</v>
      </c>
      <c r="I8" s="44" t="s">
        <v>41</v>
      </c>
      <c r="J8" s="44" t="s">
        <v>42</v>
      </c>
      <c r="K8" s="44" t="s">
        <v>43</v>
      </c>
      <c r="L8" s="44" t="s">
        <v>44</v>
      </c>
    </row>
    <row r="9" customFormat="false" ht="33.75" hidden="false" customHeight="true" outlineLevel="0" collapsed="false">
      <c r="A9" s="26" t="s">
        <v>45</v>
      </c>
      <c r="B9" s="27" t="n">
        <v>45870</v>
      </c>
      <c r="C9" s="26" t="s">
        <v>46</v>
      </c>
      <c r="D9" s="26" t="s">
        <v>47</v>
      </c>
      <c r="E9" s="28" t="n">
        <v>102500</v>
      </c>
      <c r="F9" s="29" t="n">
        <v>5</v>
      </c>
      <c r="H9" s="45" t="n">
        <v>1</v>
      </c>
      <c r="I9" s="31" t="s">
        <v>195</v>
      </c>
      <c r="J9" s="40"/>
      <c r="K9" s="33" t="str">
        <f aca="false">IF(ISBLANK(J9),"◯ Not attempted",IF(NOT(_xlfn.ISFORMULA(J9)),"✎ Use a formula",IF(ISNUMBER(J9),IF(ABS(J9-$M$9)&lt;0.005,"✓ Correct","✗ Check again"),"✗ Not a number")))</f>
        <v>◯ Not attempted</v>
      </c>
      <c r="L9" s="34" t="s">
        <v>196</v>
      </c>
      <c r="M9" s="0" t="n">
        <f aca="false">SUMIFS($E$9:$E$128,$D$9:$D$128,"Maharashtra",$F$9:$F$128,18)</f>
        <v>1816500</v>
      </c>
    </row>
    <row r="10" customFormat="false" ht="33.75" hidden="false" customHeight="true" outlineLevel="0" collapsed="false">
      <c r="A10" s="36" t="s">
        <v>50</v>
      </c>
      <c r="B10" s="37" t="n">
        <v>46067</v>
      </c>
      <c r="C10" s="36" t="s">
        <v>51</v>
      </c>
      <c r="D10" s="36" t="s">
        <v>52</v>
      </c>
      <c r="E10" s="38" t="n">
        <v>293000</v>
      </c>
      <c r="F10" s="39" t="n">
        <v>28</v>
      </c>
      <c r="H10" s="45" t="n">
        <v>2</v>
      </c>
      <c r="I10" s="31" t="s">
        <v>197</v>
      </c>
      <c r="J10" s="32"/>
      <c r="K10" s="33" t="str">
        <f aca="false">IF(ISBLANK(J10),"◯ Not attempted",IF(NOT(_xlfn.ISFORMULA(J10)),"✎ Use a formula",IF(ISNUMBER(J10),IF(ABS(J10-$M$10)&lt;0.005,"✓ Correct","✗ Check again"),"✗ Not a number")))</f>
        <v>◯ Not attempted</v>
      </c>
      <c r="L10" s="34" t="s">
        <v>198</v>
      </c>
      <c r="M10" s="35" t="n">
        <f aca="false">COUNTIFS($D$9:$D$128,"Karnataka",$E$9:$E$128,"&gt;=50000",$E$9:$E$128,"&lt;=200000")</f>
        <v>6</v>
      </c>
    </row>
    <row r="11" customFormat="false" ht="33.75" hidden="false" customHeight="true" outlineLevel="0" collapsed="false">
      <c r="A11" s="26" t="s">
        <v>55</v>
      </c>
      <c r="B11" s="27" t="n">
        <v>45957</v>
      </c>
      <c r="C11" s="26" t="s">
        <v>56</v>
      </c>
      <c r="D11" s="26" t="s">
        <v>57</v>
      </c>
      <c r="E11" s="28" t="n">
        <v>407000</v>
      </c>
      <c r="F11" s="29" t="n">
        <v>5</v>
      </c>
      <c r="H11" s="45" t="n">
        <v>3</v>
      </c>
      <c r="I11" s="31" t="s">
        <v>199</v>
      </c>
      <c r="J11" s="40"/>
      <c r="K11" s="33" t="str">
        <f aca="false">IF(ISBLANK(J11),"◯ Not attempted",IF(NOT(_xlfn.ISFORMULA(J11)),"✎ Use a formula",IF(ISNUMBER(J11),IF(ABS(J11-$M$11)&lt;0.005,"✓ Correct","✗ Check again"),"✗ Not a number")))</f>
        <v>◯ Not attempted</v>
      </c>
      <c r="L11" s="34" t="s">
        <v>200</v>
      </c>
      <c r="M11" s="0" t="n">
        <f aca="false">SUMIFS($E$9:$E$128,$D$9:$D$128,"Delhi",$B$9:$B$128,"&gt;="&amp;DATE(2026,1,1),$B$9:$B$128,"&lt;="&amp;DATE(2026,3,31))</f>
        <v>1505000</v>
      </c>
    </row>
    <row r="12" customFormat="false" ht="33.75" hidden="false" customHeight="true" outlineLevel="0" collapsed="false">
      <c r="A12" s="36" t="s">
        <v>60</v>
      </c>
      <c r="B12" s="37" t="n">
        <v>46018</v>
      </c>
      <c r="C12" s="36" t="s">
        <v>61</v>
      </c>
      <c r="D12" s="36" t="s">
        <v>62</v>
      </c>
      <c r="E12" s="38" t="n">
        <v>398000</v>
      </c>
      <c r="F12" s="39" t="n">
        <v>5</v>
      </c>
      <c r="H12" s="45" t="n">
        <v>4</v>
      </c>
      <c r="I12" s="31" t="s">
        <v>201</v>
      </c>
      <c r="J12" s="40"/>
      <c r="K12" s="33" t="str">
        <f aca="false">IF(ISBLANK(J12),"◯ Not attempted",IF(NOT(_xlfn.ISFORMULA(J12)),"✎ Use a formula",IF(ISNUMBER(J12),IF(ABS(J12-$M$12)&lt;0.005,"✓ Correct","✗ Check again"),"✗ Not a number")))</f>
        <v>◯ Not attempted</v>
      </c>
      <c r="L12" s="34" t="s">
        <v>202</v>
      </c>
      <c r="M12" s="0" t="n">
        <f aca="false">SUMIFS($E$9:$E$128,$C$9:$C$128,"ABC Traders",$D$9:$D$128,"Tamil Nadu")</f>
        <v>697500</v>
      </c>
    </row>
    <row r="13" customFormat="false" ht="15" hidden="false" customHeight="false" outlineLevel="0" collapsed="false">
      <c r="A13" s="26" t="s">
        <v>65</v>
      </c>
      <c r="B13" s="27" t="n">
        <v>45810</v>
      </c>
      <c r="C13" s="26" t="s">
        <v>46</v>
      </c>
      <c r="D13" s="26" t="s">
        <v>52</v>
      </c>
      <c r="E13" s="28" t="n">
        <v>203000</v>
      </c>
      <c r="F13" s="29" t="n">
        <v>12</v>
      </c>
    </row>
    <row r="14" customFormat="false" ht="15" hidden="false" customHeight="false" outlineLevel="0" collapsed="false">
      <c r="A14" s="36" t="s">
        <v>68</v>
      </c>
      <c r="B14" s="37" t="n">
        <v>45896</v>
      </c>
      <c r="C14" s="36" t="s">
        <v>69</v>
      </c>
      <c r="D14" s="36" t="s">
        <v>70</v>
      </c>
      <c r="E14" s="38" t="n">
        <v>424000</v>
      </c>
      <c r="F14" s="39" t="n">
        <v>28</v>
      </c>
    </row>
    <row r="15" customFormat="false" ht="15" hidden="false" customHeight="false" outlineLevel="0" collapsed="false">
      <c r="A15" s="26" t="s">
        <v>71</v>
      </c>
      <c r="B15" s="27" t="n">
        <v>46109</v>
      </c>
      <c r="C15" s="26" t="s">
        <v>69</v>
      </c>
      <c r="D15" s="26" t="s">
        <v>62</v>
      </c>
      <c r="E15" s="28" t="n">
        <v>120000</v>
      </c>
      <c r="F15" s="29" t="n">
        <v>12</v>
      </c>
    </row>
    <row r="16" customFormat="false" ht="15" hidden="false" customHeight="false" outlineLevel="0" collapsed="false">
      <c r="A16" s="36" t="s">
        <v>72</v>
      </c>
      <c r="B16" s="37" t="n">
        <v>45824</v>
      </c>
      <c r="C16" s="36" t="s">
        <v>73</v>
      </c>
      <c r="D16" s="36" t="s">
        <v>62</v>
      </c>
      <c r="E16" s="38" t="n">
        <v>109000</v>
      </c>
      <c r="F16" s="39" t="n">
        <v>18</v>
      </c>
    </row>
    <row r="17" customFormat="false" ht="15" hidden="false" customHeight="false" outlineLevel="0" collapsed="false">
      <c r="A17" s="26" t="s">
        <v>74</v>
      </c>
      <c r="B17" s="27" t="n">
        <v>46107</v>
      </c>
      <c r="C17" s="26" t="s">
        <v>75</v>
      </c>
      <c r="D17" s="26" t="s">
        <v>47</v>
      </c>
      <c r="E17" s="28" t="n">
        <v>426500</v>
      </c>
      <c r="F17" s="29" t="n">
        <v>18</v>
      </c>
    </row>
    <row r="18" customFormat="false" ht="15" hidden="false" customHeight="false" outlineLevel="0" collapsed="false">
      <c r="A18" s="36" t="s">
        <v>76</v>
      </c>
      <c r="B18" s="37" t="n">
        <v>45875</v>
      </c>
      <c r="C18" s="36" t="s">
        <v>46</v>
      </c>
      <c r="D18" s="36" t="s">
        <v>52</v>
      </c>
      <c r="E18" s="38" t="n">
        <v>451000</v>
      </c>
      <c r="F18" s="39" t="n">
        <v>5</v>
      </c>
    </row>
    <row r="19" customFormat="false" ht="15" hidden="false" customHeight="false" outlineLevel="0" collapsed="false">
      <c r="A19" s="26" t="s">
        <v>77</v>
      </c>
      <c r="B19" s="27" t="n">
        <v>45888</v>
      </c>
      <c r="C19" s="26" t="s">
        <v>46</v>
      </c>
      <c r="D19" s="26" t="s">
        <v>62</v>
      </c>
      <c r="E19" s="28" t="n">
        <v>327000</v>
      </c>
      <c r="F19" s="29" t="n">
        <v>12</v>
      </c>
    </row>
    <row r="20" customFormat="false" ht="15" hidden="false" customHeight="false" outlineLevel="0" collapsed="false">
      <c r="A20" s="36" t="s">
        <v>78</v>
      </c>
      <c r="B20" s="37" t="n">
        <v>45784</v>
      </c>
      <c r="C20" s="36" t="s">
        <v>79</v>
      </c>
      <c r="D20" s="36" t="s">
        <v>62</v>
      </c>
      <c r="E20" s="38" t="n">
        <v>463000</v>
      </c>
      <c r="F20" s="39" t="n">
        <v>28</v>
      </c>
    </row>
    <row r="21" customFormat="false" ht="15" hidden="false" customHeight="false" outlineLevel="0" collapsed="false">
      <c r="A21" s="26" t="s">
        <v>80</v>
      </c>
      <c r="B21" s="27" t="n">
        <v>45886</v>
      </c>
      <c r="C21" s="26" t="s">
        <v>61</v>
      </c>
      <c r="D21" s="26" t="s">
        <v>57</v>
      </c>
      <c r="E21" s="28" t="n">
        <v>74500</v>
      </c>
      <c r="F21" s="29" t="n">
        <v>5</v>
      </c>
    </row>
    <row r="22" customFormat="false" ht="15" hidden="false" customHeight="false" outlineLevel="0" collapsed="false">
      <c r="A22" s="36" t="s">
        <v>81</v>
      </c>
      <c r="B22" s="37" t="n">
        <v>45996</v>
      </c>
      <c r="C22" s="36" t="s">
        <v>82</v>
      </c>
      <c r="D22" s="36" t="s">
        <v>57</v>
      </c>
      <c r="E22" s="38" t="n">
        <v>96500</v>
      </c>
      <c r="F22" s="39" t="n">
        <v>28</v>
      </c>
    </row>
    <row r="23" customFormat="false" ht="15" hidden="false" customHeight="false" outlineLevel="0" collapsed="false">
      <c r="A23" s="26" t="s">
        <v>83</v>
      </c>
      <c r="B23" s="27" t="n">
        <v>45913</v>
      </c>
      <c r="C23" s="26" t="s">
        <v>84</v>
      </c>
      <c r="D23" s="26" t="s">
        <v>47</v>
      </c>
      <c r="E23" s="28" t="n">
        <v>330000</v>
      </c>
      <c r="F23" s="29" t="n">
        <v>12</v>
      </c>
    </row>
    <row r="24" customFormat="false" ht="15" hidden="false" customHeight="false" outlineLevel="0" collapsed="false">
      <c r="A24" s="36" t="s">
        <v>85</v>
      </c>
      <c r="B24" s="37" t="n">
        <v>46068</v>
      </c>
      <c r="C24" s="36" t="s">
        <v>82</v>
      </c>
      <c r="D24" s="36" t="s">
        <v>57</v>
      </c>
      <c r="E24" s="38" t="n">
        <v>364000</v>
      </c>
      <c r="F24" s="39" t="n">
        <v>28</v>
      </c>
    </row>
    <row r="25" customFormat="false" ht="15" hidden="false" customHeight="false" outlineLevel="0" collapsed="false">
      <c r="A25" s="26" t="s">
        <v>86</v>
      </c>
      <c r="B25" s="27" t="n">
        <v>45802</v>
      </c>
      <c r="C25" s="26" t="s">
        <v>87</v>
      </c>
      <c r="D25" s="26" t="s">
        <v>47</v>
      </c>
      <c r="E25" s="28" t="n">
        <v>72000</v>
      </c>
      <c r="F25" s="29" t="n">
        <v>12</v>
      </c>
    </row>
    <row r="26" customFormat="false" ht="15" hidden="false" customHeight="false" outlineLevel="0" collapsed="false">
      <c r="A26" s="36" t="s">
        <v>88</v>
      </c>
      <c r="B26" s="37" t="n">
        <v>45846</v>
      </c>
      <c r="C26" s="36" t="s">
        <v>79</v>
      </c>
      <c r="D26" s="36" t="s">
        <v>62</v>
      </c>
      <c r="E26" s="38" t="n">
        <v>352500</v>
      </c>
      <c r="F26" s="39" t="n">
        <v>5</v>
      </c>
    </row>
    <row r="27" customFormat="false" ht="15" hidden="false" customHeight="false" outlineLevel="0" collapsed="false">
      <c r="A27" s="26" t="s">
        <v>89</v>
      </c>
      <c r="B27" s="27" t="n">
        <v>46011</v>
      </c>
      <c r="C27" s="26" t="s">
        <v>79</v>
      </c>
      <c r="D27" s="26" t="s">
        <v>52</v>
      </c>
      <c r="E27" s="28" t="n">
        <v>5000</v>
      </c>
      <c r="F27" s="29" t="n">
        <v>18</v>
      </c>
    </row>
    <row r="28" customFormat="false" ht="15" hidden="false" customHeight="false" outlineLevel="0" collapsed="false">
      <c r="A28" s="36" t="s">
        <v>90</v>
      </c>
      <c r="B28" s="37" t="n">
        <v>45762</v>
      </c>
      <c r="C28" s="36" t="s">
        <v>82</v>
      </c>
      <c r="D28" s="36" t="s">
        <v>52</v>
      </c>
      <c r="E28" s="38" t="n">
        <v>132500</v>
      </c>
      <c r="F28" s="39" t="n">
        <v>12</v>
      </c>
    </row>
    <row r="29" customFormat="false" ht="15" hidden="false" customHeight="false" outlineLevel="0" collapsed="false">
      <c r="A29" s="26" t="s">
        <v>91</v>
      </c>
      <c r="B29" s="27" t="n">
        <v>46100</v>
      </c>
      <c r="C29" s="26" t="s">
        <v>73</v>
      </c>
      <c r="D29" s="26" t="s">
        <v>52</v>
      </c>
      <c r="E29" s="28" t="n">
        <v>348500</v>
      </c>
      <c r="F29" s="29" t="n">
        <v>28</v>
      </c>
    </row>
    <row r="30" customFormat="false" ht="15" hidden="false" customHeight="false" outlineLevel="0" collapsed="false">
      <c r="A30" s="36" t="s">
        <v>92</v>
      </c>
      <c r="B30" s="37" t="n">
        <v>46001</v>
      </c>
      <c r="C30" s="36" t="s">
        <v>61</v>
      </c>
      <c r="D30" s="36" t="s">
        <v>47</v>
      </c>
      <c r="E30" s="38" t="n">
        <v>81500</v>
      </c>
      <c r="F30" s="39" t="n">
        <v>12</v>
      </c>
    </row>
    <row r="31" customFormat="false" ht="15" hidden="false" customHeight="false" outlineLevel="0" collapsed="false">
      <c r="A31" s="26" t="s">
        <v>93</v>
      </c>
      <c r="B31" s="27" t="n">
        <v>45780</v>
      </c>
      <c r="C31" s="26" t="s">
        <v>82</v>
      </c>
      <c r="D31" s="26" t="s">
        <v>52</v>
      </c>
      <c r="E31" s="28" t="n">
        <v>251500</v>
      </c>
      <c r="F31" s="29" t="n">
        <v>28</v>
      </c>
    </row>
    <row r="32" customFormat="false" ht="15" hidden="false" customHeight="false" outlineLevel="0" collapsed="false">
      <c r="A32" s="36" t="s">
        <v>94</v>
      </c>
      <c r="B32" s="37" t="n">
        <v>45856</v>
      </c>
      <c r="C32" s="36" t="s">
        <v>61</v>
      </c>
      <c r="D32" s="36" t="s">
        <v>57</v>
      </c>
      <c r="E32" s="38" t="n">
        <v>233500</v>
      </c>
      <c r="F32" s="39" t="n">
        <v>18</v>
      </c>
    </row>
    <row r="33" customFormat="false" ht="15" hidden="false" customHeight="false" outlineLevel="0" collapsed="false">
      <c r="A33" s="26" t="s">
        <v>95</v>
      </c>
      <c r="B33" s="27" t="n">
        <v>45963</v>
      </c>
      <c r="C33" s="26" t="s">
        <v>87</v>
      </c>
      <c r="D33" s="26" t="s">
        <v>52</v>
      </c>
      <c r="E33" s="28" t="n">
        <v>22500</v>
      </c>
      <c r="F33" s="29" t="n">
        <v>28</v>
      </c>
    </row>
    <row r="34" customFormat="false" ht="15" hidden="false" customHeight="false" outlineLevel="0" collapsed="false">
      <c r="A34" s="36" t="s">
        <v>96</v>
      </c>
      <c r="B34" s="37" t="n">
        <v>45963</v>
      </c>
      <c r="C34" s="36" t="s">
        <v>69</v>
      </c>
      <c r="D34" s="36" t="s">
        <v>70</v>
      </c>
      <c r="E34" s="38" t="n">
        <v>273500</v>
      </c>
      <c r="F34" s="39" t="n">
        <v>18</v>
      </c>
    </row>
    <row r="35" customFormat="false" ht="15" hidden="false" customHeight="false" outlineLevel="0" collapsed="false">
      <c r="A35" s="26" t="s">
        <v>97</v>
      </c>
      <c r="B35" s="27" t="n">
        <v>45969</v>
      </c>
      <c r="C35" s="26" t="s">
        <v>82</v>
      </c>
      <c r="D35" s="26" t="s">
        <v>70</v>
      </c>
      <c r="E35" s="28" t="n">
        <v>106000</v>
      </c>
      <c r="F35" s="29" t="n">
        <v>28</v>
      </c>
    </row>
    <row r="36" customFormat="false" ht="15" hidden="false" customHeight="false" outlineLevel="0" collapsed="false">
      <c r="A36" s="36" t="s">
        <v>98</v>
      </c>
      <c r="B36" s="37" t="n">
        <v>45829</v>
      </c>
      <c r="C36" s="36" t="s">
        <v>87</v>
      </c>
      <c r="D36" s="36" t="s">
        <v>52</v>
      </c>
      <c r="E36" s="38" t="n">
        <v>279000</v>
      </c>
      <c r="F36" s="39" t="n">
        <v>28</v>
      </c>
    </row>
    <row r="37" customFormat="false" ht="15" hidden="false" customHeight="false" outlineLevel="0" collapsed="false">
      <c r="A37" s="26" t="s">
        <v>99</v>
      </c>
      <c r="B37" s="27" t="n">
        <v>46071</v>
      </c>
      <c r="C37" s="26" t="s">
        <v>82</v>
      </c>
      <c r="D37" s="26" t="s">
        <v>52</v>
      </c>
      <c r="E37" s="28" t="n">
        <v>134000</v>
      </c>
      <c r="F37" s="29" t="n">
        <v>12</v>
      </c>
    </row>
    <row r="38" customFormat="false" ht="15" hidden="false" customHeight="false" outlineLevel="0" collapsed="false">
      <c r="A38" s="36" t="s">
        <v>100</v>
      </c>
      <c r="B38" s="37" t="n">
        <v>45922</v>
      </c>
      <c r="C38" s="36" t="s">
        <v>51</v>
      </c>
      <c r="D38" s="36" t="s">
        <v>57</v>
      </c>
      <c r="E38" s="38" t="n">
        <v>332500</v>
      </c>
      <c r="F38" s="39" t="n">
        <v>18</v>
      </c>
    </row>
    <row r="39" customFormat="false" ht="15" hidden="false" customHeight="false" outlineLevel="0" collapsed="false">
      <c r="A39" s="26" t="s">
        <v>101</v>
      </c>
      <c r="B39" s="27" t="n">
        <v>45932</v>
      </c>
      <c r="C39" s="26" t="s">
        <v>56</v>
      </c>
      <c r="D39" s="26" t="s">
        <v>57</v>
      </c>
      <c r="E39" s="28" t="n">
        <v>411500</v>
      </c>
      <c r="F39" s="29" t="n">
        <v>18</v>
      </c>
    </row>
    <row r="40" customFormat="false" ht="15" hidden="false" customHeight="false" outlineLevel="0" collapsed="false">
      <c r="A40" s="36" t="s">
        <v>102</v>
      </c>
      <c r="B40" s="37" t="n">
        <v>46047</v>
      </c>
      <c r="C40" s="36" t="s">
        <v>51</v>
      </c>
      <c r="D40" s="36" t="s">
        <v>47</v>
      </c>
      <c r="E40" s="38" t="n">
        <v>116000</v>
      </c>
      <c r="F40" s="39" t="n">
        <v>18</v>
      </c>
    </row>
    <row r="41" customFormat="false" ht="15" hidden="false" customHeight="false" outlineLevel="0" collapsed="false">
      <c r="A41" s="26" t="s">
        <v>103</v>
      </c>
      <c r="B41" s="27" t="n">
        <v>46008</v>
      </c>
      <c r="C41" s="26" t="s">
        <v>73</v>
      </c>
      <c r="D41" s="26" t="s">
        <v>62</v>
      </c>
      <c r="E41" s="28" t="n">
        <v>285000</v>
      </c>
      <c r="F41" s="29" t="n">
        <v>18</v>
      </c>
    </row>
    <row r="42" customFormat="false" ht="15" hidden="false" customHeight="false" outlineLevel="0" collapsed="false">
      <c r="A42" s="36" t="s">
        <v>104</v>
      </c>
      <c r="B42" s="37" t="n">
        <v>45949</v>
      </c>
      <c r="C42" s="36" t="s">
        <v>61</v>
      </c>
      <c r="D42" s="36" t="s">
        <v>62</v>
      </c>
      <c r="E42" s="38" t="n">
        <v>473500</v>
      </c>
      <c r="F42" s="39" t="n">
        <v>5</v>
      </c>
    </row>
    <row r="43" customFormat="false" ht="15" hidden="false" customHeight="false" outlineLevel="0" collapsed="false">
      <c r="A43" s="26" t="s">
        <v>105</v>
      </c>
      <c r="B43" s="27" t="n">
        <v>45758</v>
      </c>
      <c r="C43" s="26" t="s">
        <v>79</v>
      </c>
      <c r="D43" s="26" t="s">
        <v>57</v>
      </c>
      <c r="E43" s="28" t="n">
        <v>332000</v>
      </c>
      <c r="F43" s="29" t="n">
        <v>5</v>
      </c>
    </row>
    <row r="44" customFormat="false" ht="15" hidden="false" customHeight="false" outlineLevel="0" collapsed="false">
      <c r="A44" s="36" t="s">
        <v>106</v>
      </c>
      <c r="B44" s="37" t="n">
        <v>46082</v>
      </c>
      <c r="C44" s="36" t="s">
        <v>51</v>
      </c>
      <c r="D44" s="36" t="s">
        <v>62</v>
      </c>
      <c r="E44" s="38" t="n">
        <v>310500</v>
      </c>
      <c r="F44" s="39" t="n">
        <v>5</v>
      </c>
    </row>
    <row r="45" customFormat="false" ht="15" hidden="false" customHeight="false" outlineLevel="0" collapsed="false">
      <c r="A45" s="26" t="s">
        <v>107</v>
      </c>
      <c r="B45" s="27" t="n">
        <v>45947</v>
      </c>
      <c r="C45" s="26" t="s">
        <v>75</v>
      </c>
      <c r="D45" s="26" t="s">
        <v>70</v>
      </c>
      <c r="E45" s="28" t="n">
        <v>443000</v>
      </c>
      <c r="F45" s="29" t="n">
        <v>5</v>
      </c>
    </row>
    <row r="46" customFormat="false" ht="15" hidden="false" customHeight="false" outlineLevel="0" collapsed="false">
      <c r="A46" s="36" t="s">
        <v>108</v>
      </c>
      <c r="B46" s="37" t="n">
        <v>45831</v>
      </c>
      <c r="C46" s="36" t="s">
        <v>51</v>
      </c>
      <c r="D46" s="36" t="s">
        <v>62</v>
      </c>
      <c r="E46" s="38" t="n">
        <v>442500</v>
      </c>
      <c r="F46" s="39" t="n">
        <v>12</v>
      </c>
    </row>
    <row r="47" customFormat="false" ht="15" hidden="false" customHeight="false" outlineLevel="0" collapsed="false">
      <c r="A47" s="26" t="s">
        <v>109</v>
      </c>
      <c r="B47" s="27" t="n">
        <v>45910</v>
      </c>
      <c r="C47" s="26" t="s">
        <v>82</v>
      </c>
      <c r="D47" s="26" t="s">
        <v>70</v>
      </c>
      <c r="E47" s="28" t="n">
        <v>85000</v>
      </c>
      <c r="F47" s="29" t="n">
        <v>28</v>
      </c>
    </row>
    <row r="48" customFormat="false" ht="15" hidden="false" customHeight="false" outlineLevel="0" collapsed="false">
      <c r="A48" s="36" t="s">
        <v>110</v>
      </c>
      <c r="B48" s="37" t="n">
        <v>46006</v>
      </c>
      <c r="C48" s="36" t="s">
        <v>87</v>
      </c>
      <c r="D48" s="36" t="s">
        <v>62</v>
      </c>
      <c r="E48" s="38" t="n">
        <v>375000</v>
      </c>
      <c r="F48" s="39" t="n">
        <v>12</v>
      </c>
    </row>
    <row r="49" customFormat="false" ht="15" hidden="false" customHeight="false" outlineLevel="0" collapsed="false">
      <c r="A49" s="26" t="s">
        <v>111</v>
      </c>
      <c r="B49" s="27" t="n">
        <v>45922</v>
      </c>
      <c r="C49" s="26" t="s">
        <v>61</v>
      </c>
      <c r="D49" s="26" t="s">
        <v>70</v>
      </c>
      <c r="E49" s="28" t="n">
        <v>97500</v>
      </c>
      <c r="F49" s="29" t="n">
        <v>28</v>
      </c>
    </row>
    <row r="50" customFormat="false" ht="15" hidden="false" customHeight="false" outlineLevel="0" collapsed="false">
      <c r="A50" s="36" t="s">
        <v>112</v>
      </c>
      <c r="B50" s="37" t="n">
        <v>45758</v>
      </c>
      <c r="C50" s="36" t="s">
        <v>69</v>
      </c>
      <c r="D50" s="36" t="s">
        <v>47</v>
      </c>
      <c r="E50" s="38" t="n">
        <v>123500</v>
      </c>
      <c r="F50" s="39" t="n">
        <v>28</v>
      </c>
    </row>
    <row r="51" customFormat="false" ht="15" hidden="false" customHeight="false" outlineLevel="0" collapsed="false">
      <c r="A51" s="26" t="s">
        <v>113</v>
      </c>
      <c r="B51" s="27" t="n">
        <v>46109</v>
      </c>
      <c r="C51" s="26" t="s">
        <v>114</v>
      </c>
      <c r="D51" s="26" t="s">
        <v>62</v>
      </c>
      <c r="E51" s="28" t="n">
        <v>392500</v>
      </c>
      <c r="F51" s="29" t="n">
        <v>12</v>
      </c>
    </row>
    <row r="52" customFormat="false" ht="15" hidden="false" customHeight="false" outlineLevel="0" collapsed="false">
      <c r="A52" s="36" t="s">
        <v>115</v>
      </c>
      <c r="B52" s="37" t="n">
        <v>45786</v>
      </c>
      <c r="C52" s="36" t="s">
        <v>56</v>
      </c>
      <c r="D52" s="36" t="s">
        <v>70</v>
      </c>
      <c r="E52" s="38" t="n">
        <v>162000</v>
      </c>
      <c r="F52" s="39" t="n">
        <v>18</v>
      </c>
    </row>
    <row r="53" customFormat="false" ht="15" hidden="false" customHeight="false" outlineLevel="0" collapsed="false">
      <c r="A53" s="26" t="s">
        <v>116</v>
      </c>
      <c r="B53" s="27" t="n">
        <v>45951</v>
      </c>
      <c r="C53" s="26" t="s">
        <v>46</v>
      </c>
      <c r="D53" s="26" t="s">
        <v>57</v>
      </c>
      <c r="E53" s="28" t="n">
        <v>391000</v>
      </c>
      <c r="F53" s="29" t="n">
        <v>28</v>
      </c>
    </row>
    <row r="54" customFormat="false" ht="15" hidden="false" customHeight="false" outlineLevel="0" collapsed="false">
      <c r="A54" s="36" t="s">
        <v>117</v>
      </c>
      <c r="B54" s="37" t="n">
        <v>46007</v>
      </c>
      <c r="C54" s="36" t="s">
        <v>73</v>
      </c>
      <c r="D54" s="36" t="s">
        <v>70</v>
      </c>
      <c r="E54" s="38" t="n">
        <v>464000</v>
      </c>
      <c r="F54" s="39" t="n">
        <v>12</v>
      </c>
    </row>
    <row r="55" customFormat="false" ht="15" hidden="false" customHeight="false" outlineLevel="0" collapsed="false">
      <c r="A55" s="26" t="s">
        <v>118</v>
      </c>
      <c r="B55" s="27" t="n">
        <v>45869</v>
      </c>
      <c r="C55" s="26" t="s">
        <v>69</v>
      </c>
      <c r="D55" s="26" t="s">
        <v>52</v>
      </c>
      <c r="E55" s="28" t="n">
        <v>363000</v>
      </c>
      <c r="F55" s="29" t="n">
        <v>5</v>
      </c>
    </row>
    <row r="56" customFormat="false" ht="15" hidden="false" customHeight="false" outlineLevel="0" collapsed="false">
      <c r="A56" s="36" t="s">
        <v>119</v>
      </c>
      <c r="B56" s="37" t="n">
        <v>45839</v>
      </c>
      <c r="C56" s="36" t="s">
        <v>82</v>
      </c>
      <c r="D56" s="36" t="s">
        <v>70</v>
      </c>
      <c r="E56" s="38" t="n">
        <v>60000</v>
      </c>
      <c r="F56" s="39" t="n">
        <v>28</v>
      </c>
    </row>
    <row r="57" customFormat="false" ht="15" hidden="false" customHeight="false" outlineLevel="0" collapsed="false">
      <c r="A57" s="26" t="s">
        <v>120</v>
      </c>
      <c r="B57" s="27" t="n">
        <v>46039</v>
      </c>
      <c r="C57" s="26" t="s">
        <v>79</v>
      </c>
      <c r="D57" s="26" t="s">
        <v>62</v>
      </c>
      <c r="E57" s="28" t="n">
        <v>217500</v>
      </c>
      <c r="F57" s="29" t="n">
        <v>18</v>
      </c>
    </row>
    <row r="58" customFormat="false" ht="15" hidden="false" customHeight="false" outlineLevel="0" collapsed="false">
      <c r="A58" s="36" t="s">
        <v>121</v>
      </c>
      <c r="B58" s="37" t="n">
        <v>45786</v>
      </c>
      <c r="C58" s="36" t="s">
        <v>82</v>
      </c>
      <c r="D58" s="36" t="s">
        <v>47</v>
      </c>
      <c r="E58" s="38" t="n">
        <v>140500</v>
      </c>
      <c r="F58" s="39" t="n">
        <v>28</v>
      </c>
    </row>
    <row r="59" customFormat="false" ht="15" hidden="false" customHeight="false" outlineLevel="0" collapsed="false">
      <c r="A59" s="26" t="s">
        <v>122</v>
      </c>
      <c r="B59" s="27" t="n">
        <v>45788</v>
      </c>
      <c r="C59" s="26" t="s">
        <v>114</v>
      </c>
      <c r="D59" s="26" t="s">
        <v>57</v>
      </c>
      <c r="E59" s="28" t="n">
        <v>391500</v>
      </c>
      <c r="F59" s="29" t="n">
        <v>28</v>
      </c>
    </row>
    <row r="60" customFormat="false" ht="15" hidden="false" customHeight="false" outlineLevel="0" collapsed="false">
      <c r="A60" s="36" t="s">
        <v>123</v>
      </c>
      <c r="B60" s="37" t="n">
        <v>45763</v>
      </c>
      <c r="C60" s="36" t="s">
        <v>61</v>
      </c>
      <c r="D60" s="36" t="s">
        <v>62</v>
      </c>
      <c r="E60" s="38" t="n">
        <v>344000</v>
      </c>
      <c r="F60" s="39" t="n">
        <v>18</v>
      </c>
    </row>
    <row r="61" customFormat="false" ht="15" hidden="false" customHeight="false" outlineLevel="0" collapsed="false">
      <c r="A61" s="26" t="s">
        <v>124</v>
      </c>
      <c r="B61" s="27" t="n">
        <v>45979</v>
      </c>
      <c r="C61" s="26" t="s">
        <v>79</v>
      </c>
      <c r="D61" s="26" t="s">
        <v>57</v>
      </c>
      <c r="E61" s="28" t="n">
        <v>253500</v>
      </c>
      <c r="F61" s="29" t="n">
        <v>18</v>
      </c>
    </row>
    <row r="62" customFormat="false" ht="15" hidden="false" customHeight="false" outlineLevel="0" collapsed="false">
      <c r="A62" s="36" t="s">
        <v>125</v>
      </c>
      <c r="B62" s="37" t="n">
        <v>46067</v>
      </c>
      <c r="C62" s="36" t="s">
        <v>46</v>
      </c>
      <c r="D62" s="36" t="s">
        <v>47</v>
      </c>
      <c r="E62" s="38" t="n">
        <v>14000</v>
      </c>
      <c r="F62" s="39" t="n">
        <v>5</v>
      </c>
    </row>
    <row r="63" customFormat="false" ht="15" hidden="false" customHeight="false" outlineLevel="0" collapsed="false">
      <c r="A63" s="26" t="s">
        <v>126</v>
      </c>
      <c r="B63" s="27" t="n">
        <v>45914</v>
      </c>
      <c r="C63" s="26" t="s">
        <v>73</v>
      </c>
      <c r="D63" s="26" t="s">
        <v>47</v>
      </c>
      <c r="E63" s="28" t="n">
        <v>61000</v>
      </c>
      <c r="F63" s="29" t="n">
        <v>12</v>
      </c>
    </row>
    <row r="64" customFormat="false" ht="15" hidden="false" customHeight="false" outlineLevel="0" collapsed="false">
      <c r="A64" s="36" t="s">
        <v>127</v>
      </c>
      <c r="B64" s="37" t="n">
        <v>46068</v>
      </c>
      <c r="C64" s="36" t="s">
        <v>75</v>
      </c>
      <c r="D64" s="36" t="s">
        <v>52</v>
      </c>
      <c r="E64" s="38" t="n">
        <v>108500</v>
      </c>
      <c r="F64" s="39" t="n">
        <v>5</v>
      </c>
    </row>
    <row r="65" customFormat="false" ht="15" hidden="false" customHeight="false" outlineLevel="0" collapsed="false">
      <c r="A65" s="26" t="s">
        <v>128</v>
      </c>
      <c r="B65" s="27" t="n">
        <v>45890</v>
      </c>
      <c r="C65" s="26" t="s">
        <v>51</v>
      </c>
      <c r="D65" s="26" t="s">
        <v>47</v>
      </c>
      <c r="E65" s="28" t="n">
        <v>479000</v>
      </c>
      <c r="F65" s="29" t="n">
        <v>18</v>
      </c>
    </row>
    <row r="66" customFormat="false" ht="15" hidden="false" customHeight="false" outlineLevel="0" collapsed="false">
      <c r="A66" s="36" t="s">
        <v>129</v>
      </c>
      <c r="B66" s="37" t="n">
        <v>46052</v>
      </c>
      <c r="C66" s="36" t="s">
        <v>114</v>
      </c>
      <c r="D66" s="36" t="s">
        <v>70</v>
      </c>
      <c r="E66" s="38" t="n">
        <v>418000</v>
      </c>
      <c r="F66" s="39" t="n">
        <v>12</v>
      </c>
    </row>
    <row r="67" customFormat="false" ht="15" hidden="false" customHeight="false" outlineLevel="0" collapsed="false">
      <c r="A67" s="26" t="s">
        <v>130</v>
      </c>
      <c r="B67" s="27" t="n">
        <v>45930</v>
      </c>
      <c r="C67" s="26" t="s">
        <v>56</v>
      </c>
      <c r="D67" s="26" t="s">
        <v>57</v>
      </c>
      <c r="E67" s="28" t="n">
        <v>198500</v>
      </c>
      <c r="F67" s="29" t="n">
        <v>12</v>
      </c>
    </row>
    <row r="68" customFormat="false" ht="15" hidden="false" customHeight="false" outlineLevel="0" collapsed="false">
      <c r="A68" s="36" t="s">
        <v>131</v>
      </c>
      <c r="B68" s="37" t="n">
        <v>45954</v>
      </c>
      <c r="C68" s="36" t="s">
        <v>87</v>
      </c>
      <c r="D68" s="36" t="s">
        <v>70</v>
      </c>
      <c r="E68" s="38" t="n">
        <v>317000</v>
      </c>
      <c r="F68" s="39" t="n">
        <v>18</v>
      </c>
    </row>
    <row r="69" customFormat="false" ht="15" hidden="false" customHeight="false" outlineLevel="0" collapsed="false">
      <c r="A69" s="26" t="s">
        <v>132</v>
      </c>
      <c r="B69" s="27" t="n">
        <v>45913</v>
      </c>
      <c r="C69" s="26" t="s">
        <v>46</v>
      </c>
      <c r="D69" s="26" t="s">
        <v>57</v>
      </c>
      <c r="E69" s="28" t="n">
        <v>152000</v>
      </c>
      <c r="F69" s="29" t="n">
        <v>18</v>
      </c>
    </row>
    <row r="70" customFormat="false" ht="15" hidden="false" customHeight="false" outlineLevel="0" collapsed="false">
      <c r="A70" s="36" t="s">
        <v>133</v>
      </c>
      <c r="B70" s="37" t="n">
        <v>45828</v>
      </c>
      <c r="C70" s="36" t="s">
        <v>75</v>
      </c>
      <c r="D70" s="36" t="s">
        <v>70</v>
      </c>
      <c r="E70" s="38" t="n">
        <v>266000</v>
      </c>
      <c r="F70" s="39" t="n">
        <v>18</v>
      </c>
    </row>
    <row r="71" customFormat="false" ht="15" hidden="false" customHeight="false" outlineLevel="0" collapsed="false">
      <c r="A71" s="26" t="s">
        <v>134</v>
      </c>
      <c r="B71" s="27" t="n">
        <v>45943</v>
      </c>
      <c r="C71" s="26" t="s">
        <v>84</v>
      </c>
      <c r="D71" s="26" t="s">
        <v>62</v>
      </c>
      <c r="E71" s="28" t="n">
        <v>151000</v>
      </c>
      <c r="F71" s="29" t="n">
        <v>5</v>
      </c>
    </row>
    <row r="72" customFormat="false" ht="15" hidden="false" customHeight="false" outlineLevel="0" collapsed="false">
      <c r="A72" s="36" t="s">
        <v>135</v>
      </c>
      <c r="B72" s="37" t="n">
        <v>45885</v>
      </c>
      <c r="C72" s="36" t="s">
        <v>84</v>
      </c>
      <c r="D72" s="36" t="s">
        <v>62</v>
      </c>
      <c r="E72" s="38" t="n">
        <v>276000</v>
      </c>
      <c r="F72" s="39" t="n">
        <v>28</v>
      </c>
    </row>
    <row r="73" customFormat="false" ht="15" hidden="false" customHeight="false" outlineLevel="0" collapsed="false">
      <c r="A73" s="26" t="s">
        <v>136</v>
      </c>
      <c r="B73" s="27" t="n">
        <v>46051</v>
      </c>
      <c r="C73" s="26" t="s">
        <v>79</v>
      </c>
      <c r="D73" s="26" t="s">
        <v>57</v>
      </c>
      <c r="E73" s="28" t="n">
        <v>218500</v>
      </c>
      <c r="F73" s="29" t="n">
        <v>5</v>
      </c>
    </row>
    <row r="74" customFormat="false" ht="15" hidden="false" customHeight="false" outlineLevel="0" collapsed="false">
      <c r="A74" s="36" t="s">
        <v>137</v>
      </c>
      <c r="B74" s="37" t="n">
        <v>45815</v>
      </c>
      <c r="C74" s="36" t="s">
        <v>61</v>
      </c>
      <c r="D74" s="36" t="s">
        <v>70</v>
      </c>
      <c r="E74" s="38" t="n">
        <v>327500</v>
      </c>
      <c r="F74" s="39" t="n">
        <v>12</v>
      </c>
    </row>
    <row r="75" customFormat="false" ht="15" hidden="false" customHeight="false" outlineLevel="0" collapsed="false">
      <c r="A75" s="26" t="s">
        <v>138</v>
      </c>
      <c r="B75" s="27" t="n">
        <v>45917</v>
      </c>
      <c r="C75" s="26" t="s">
        <v>56</v>
      </c>
      <c r="D75" s="26" t="s">
        <v>47</v>
      </c>
      <c r="E75" s="28" t="n">
        <v>408500</v>
      </c>
      <c r="F75" s="29" t="n">
        <v>5</v>
      </c>
    </row>
    <row r="76" customFormat="false" ht="15" hidden="false" customHeight="false" outlineLevel="0" collapsed="false">
      <c r="A76" s="36" t="s">
        <v>139</v>
      </c>
      <c r="B76" s="37" t="n">
        <v>45818</v>
      </c>
      <c r="C76" s="36" t="s">
        <v>79</v>
      </c>
      <c r="D76" s="36" t="s">
        <v>70</v>
      </c>
      <c r="E76" s="38" t="n">
        <v>161500</v>
      </c>
      <c r="F76" s="39" t="n">
        <v>5</v>
      </c>
    </row>
    <row r="77" customFormat="false" ht="15" hidden="false" customHeight="false" outlineLevel="0" collapsed="false">
      <c r="A77" s="26" t="s">
        <v>140</v>
      </c>
      <c r="B77" s="27" t="n">
        <v>45841</v>
      </c>
      <c r="C77" s="26" t="s">
        <v>84</v>
      </c>
      <c r="D77" s="26" t="s">
        <v>47</v>
      </c>
      <c r="E77" s="28" t="n">
        <v>353000</v>
      </c>
      <c r="F77" s="29" t="n">
        <v>5</v>
      </c>
    </row>
    <row r="78" customFormat="false" ht="15" hidden="false" customHeight="false" outlineLevel="0" collapsed="false">
      <c r="A78" s="36" t="s">
        <v>141</v>
      </c>
      <c r="B78" s="37" t="n">
        <v>45927</v>
      </c>
      <c r="C78" s="36" t="s">
        <v>75</v>
      </c>
      <c r="D78" s="36" t="s">
        <v>57</v>
      </c>
      <c r="E78" s="38" t="n">
        <v>388500</v>
      </c>
      <c r="F78" s="39" t="n">
        <v>18</v>
      </c>
    </row>
    <row r="79" customFormat="false" ht="15" hidden="false" customHeight="false" outlineLevel="0" collapsed="false">
      <c r="A79" s="26" t="s">
        <v>142</v>
      </c>
      <c r="B79" s="27" t="n">
        <v>45800</v>
      </c>
      <c r="C79" s="26" t="s">
        <v>73</v>
      </c>
      <c r="D79" s="26" t="s">
        <v>70</v>
      </c>
      <c r="E79" s="28" t="n">
        <v>313000</v>
      </c>
      <c r="F79" s="29" t="n">
        <v>28</v>
      </c>
    </row>
    <row r="80" customFormat="false" ht="15" hidden="false" customHeight="false" outlineLevel="0" collapsed="false">
      <c r="A80" s="36" t="s">
        <v>143</v>
      </c>
      <c r="B80" s="37" t="n">
        <v>46052</v>
      </c>
      <c r="C80" s="36" t="s">
        <v>82</v>
      </c>
      <c r="D80" s="36" t="s">
        <v>52</v>
      </c>
      <c r="E80" s="38" t="n">
        <v>149500</v>
      </c>
      <c r="F80" s="39" t="n">
        <v>12</v>
      </c>
    </row>
    <row r="81" customFormat="false" ht="15" hidden="false" customHeight="false" outlineLevel="0" collapsed="false">
      <c r="A81" s="26" t="s">
        <v>144</v>
      </c>
      <c r="B81" s="27" t="n">
        <v>45983</v>
      </c>
      <c r="C81" s="26" t="s">
        <v>51</v>
      </c>
      <c r="D81" s="26" t="s">
        <v>52</v>
      </c>
      <c r="E81" s="28" t="n">
        <v>340500</v>
      </c>
      <c r="F81" s="29" t="n">
        <v>12</v>
      </c>
    </row>
    <row r="82" customFormat="false" ht="15" hidden="false" customHeight="false" outlineLevel="0" collapsed="false">
      <c r="A82" s="36" t="s">
        <v>145</v>
      </c>
      <c r="B82" s="37" t="n">
        <v>45909</v>
      </c>
      <c r="C82" s="36" t="s">
        <v>114</v>
      </c>
      <c r="D82" s="36" t="s">
        <v>47</v>
      </c>
      <c r="E82" s="38" t="n">
        <v>29000</v>
      </c>
      <c r="F82" s="39" t="n">
        <v>28</v>
      </c>
    </row>
    <row r="83" customFormat="false" ht="15" hidden="false" customHeight="false" outlineLevel="0" collapsed="false">
      <c r="A83" s="26" t="s">
        <v>146</v>
      </c>
      <c r="B83" s="27" t="n">
        <v>45899</v>
      </c>
      <c r="C83" s="26" t="s">
        <v>73</v>
      </c>
      <c r="D83" s="26" t="s">
        <v>62</v>
      </c>
      <c r="E83" s="28" t="n">
        <v>143500</v>
      </c>
      <c r="F83" s="29" t="n">
        <v>12</v>
      </c>
    </row>
    <row r="84" customFormat="false" ht="15" hidden="false" customHeight="false" outlineLevel="0" collapsed="false">
      <c r="A84" s="36" t="s">
        <v>147</v>
      </c>
      <c r="B84" s="37" t="n">
        <v>46034</v>
      </c>
      <c r="C84" s="36" t="s">
        <v>46</v>
      </c>
      <c r="D84" s="36" t="s">
        <v>47</v>
      </c>
      <c r="E84" s="38" t="n">
        <v>3500</v>
      </c>
      <c r="F84" s="39" t="n">
        <v>28</v>
      </c>
    </row>
    <row r="85" customFormat="false" ht="15" hidden="false" customHeight="false" outlineLevel="0" collapsed="false">
      <c r="A85" s="26" t="s">
        <v>148</v>
      </c>
      <c r="B85" s="27" t="n">
        <v>45916</v>
      </c>
      <c r="C85" s="26" t="s">
        <v>114</v>
      </c>
      <c r="D85" s="26" t="s">
        <v>47</v>
      </c>
      <c r="E85" s="28" t="n">
        <v>229000</v>
      </c>
      <c r="F85" s="29" t="n">
        <v>5</v>
      </c>
    </row>
    <row r="86" customFormat="false" ht="15" hidden="false" customHeight="false" outlineLevel="0" collapsed="false">
      <c r="A86" s="36" t="s">
        <v>149</v>
      </c>
      <c r="B86" s="37" t="n">
        <v>46044</v>
      </c>
      <c r="C86" s="36" t="s">
        <v>82</v>
      </c>
      <c r="D86" s="36" t="s">
        <v>47</v>
      </c>
      <c r="E86" s="38" t="n">
        <v>429500</v>
      </c>
      <c r="F86" s="39" t="n">
        <v>5</v>
      </c>
    </row>
    <row r="87" customFormat="false" ht="15" hidden="false" customHeight="false" outlineLevel="0" collapsed="false">
      <c r="A87" s="26" t="s">
        <v>150</v>
      </c>
      <c r="B87" s="27" t="n">
        <v>46089</v>
      </c>
      <c r="C87" s="26" t="s">
        <v>56</v>
      </c>
      <c r="D87" s="26" t="s">
        <v>47</v>
      </c>
      <c r="E87" s="28" t="n">
        <v>131000</v>
      </c>
      <c r="F87" s="29" t="n">
        <v>18</v>
      </c>
    </row>
    <row r="88" customFormat="false" ht="15" hidden="false" customHeight="false" outlineLevel="0" collapsed="false">
      <c r="A88" s="36" t="s">
        <v>151</v>
      </c>
      <c r="B88" s="37" t="n">
        <v>45792</v>
      </c>
      <c r="C88" s="36" t="s">
        <v>69</v>
      </c>
      <c r="D88" s="36" t="s">
        <v>47</v>
      </c>
      <c r="E88" s="38" t="n">
        <v>107500</v>
      </c>
      <c r="F88" s="39" t="n">
        <v>28</v>
      </c>
    </row>
    <row r="89" customFormat="false" ht="15" hidden="false" customHeight="false" outlineLevel="0" collapsed="false">
      <c r="A89" s="26" t="s">
        <v>152</v>
      </c>
      <c r="B89" s="27" t="n">
        <v>45978</v>
      </c>
      <c r="C89" s="26" t="s">
        <v>73</v>
      </c>
      <c r="D89" s="26" t="s">
        <v>52</v>
      </c>
      <c r="E89" s="28" t="n">
        <v>200500</v>
      </c>
      <c r="F89" s="29" t="n">
        <v>12</v>
      </c>
    </row>
    <row r="90" customFormat="false" ht="15" hidden="false" customHeight="false" outlineLevel="0" collapsed="false">
      <c r="A90" s="36" t="s">
        <v>153</v>
      </c>
      <c r="B90" s="37" t="n">
        <v>45873</v>
      </c>
      <c r="C90" s="36" t="s">
        <v>87</v>
      </c>
      <c r="D90" s="36" t="s">
        <v>62</v>
      </c>
      <c r="E90" s="38" t="n">
        <v>112500</v>
      </c>
      <c r="F90" s="39" t="n">
        <v>18</v>
      </c>
    </row>
    <row r="91" customFormat="false" ht="15" hidden="false" customHeight="false" outlineLevel="0" collapsed="false">
      <c r="A91" s="26" t="s">
        <v>154</v>
      </c>
      <c r="B91" s="27" t="n">
        <v>46068</v>
      </c>
      <c r="C91" s="26" t="s">
        <v>114</v>
      </c>
      <c r="D91" s="26" t="s">
        <v>52</v>
      </c>
      <c r="E91" s="28" t="n">
        <v>277000</v>
      </c>
      <c r="F91" s="29" t="n">
        <v>12</v>
      </c>
    </row>
    <row r="92" customFormat="false" ht="15" hidden="false" customHeight="false" outlineLevel="0" collapsed="false">
      <c r="A92" s="36" t="s">
        <v>155</v>
      </c>
      <c r="B92" s="37" t="n">
        <v>45924</v>
      </c>
      <c r="C92" s="36" t="s">
        <v>69</v>
      </c>
      <c r="D92" s="36" t="s">
        <v>62</v>
      </c>
      <c r="E92" s="38" t="n">
        <v>448500</v>
      </c>
      <c r="F92" s="39" t="n">
        <v>28</v>
      </c>
    </row>
    <row r="93" customFormat="false" ht="15" hidden="false" customHeight="false" outlineLevel="0" collapsed="false">
      <c r="A93" s="26" t="s">
        <v>156</v>
      </c>
      <c r="B93" s="27" t="n">
        <v>45832</v>
      </c>
      <c r="C93" s="26" t="s">
        <v>79</v>
      </c>
      <c r="D93" s="26" t="s">
        <v>70</v>
      </c>
      <c r="E93" s="28" t="n">
        <v>396500</v>
      </c>
      <c r="F93" s="29" t="n">
        <v>5</v>
      </c>
    </row>
    <row r="94" customFormat="false" ht="15" hidden="false" customHeight="false" outlineLevel="0" collapsed="false">
      <c r="A94" s="36" t="s">
        <v>157</v>
      </c>
      <c r="B94" s="37" t="n">
        <v>45938</v>
      </c>
      <c r="C94" s="36" t="s">
        <v>114</v>
      </c>
      <c r="D94" s="36" t="s">
        <v>62</v>
      </c>
      <c r="E94" s="38" t="n">
        <v>274500</v>
      </c>
      <c r="F94" s="39" t="n">
        <v>18</v>
      </c>
    </row>
    <row r="95" customFormat="false" ht="15" hidden="false" customHeight="false" outlineLevel="0" collapsed="false">
      <c r="A95" s="26" t="s">
        <v>158</v>
      </c>
      <c r="B95" s="27" t="n">
        <v>46107</v>
      </c>
      <c r="C95" s="26" t="s">
        <v>69</v>
      </c>
      <c r="D95" s="26" t="s">
        <v>62</v>
      </c>
      <c r="E95" s="28" t="n">
        <v>184000</v>
      </c>
      <c r="F95" s="29" t="n">
        <v>28</v>
      </c>
    </row>
    <row r="96" customFormat="false" ht="15" hidden="false" customHeight="false" outlineLevel="0" collapsed="false">
      <c r="A96" s="36" t="s">
        <v>159</v>
      </c>
      <c r="B96" s="37" t="n">
        <v>45793</v>
      </c>
      <c r="C96" s="36" t="s">
        <v>46</v>
      </c>
      <c r="D96" s="36" t="s">
        <v>47</v>
      </c>
      <c r="E96" s="38" t="n">
        <v>290500</v>
      </c>
      <c r="F96" s="39" t="n">
        <v>5</v>
      </c>
    </row>
    <row r="97" customFormat="false" ht="15" hidden="false" customHeight="false" outlineLevel="0" collapsed="false">
      <c r="A97" s="26" t="s">
        <v>160</v>
      </c>
      <c r="B97" s="27" t="n">
        <v>45918</v>
      </c>
      <c r="C97" s="26" t="s">
        <v>46</v>
      </c>
      <c r="D97" s="26" t="s">
        <v>52</v>
      </c>
      <c r="E97" s="28" t="n">
        <v>458000</v>
      </c>
      <c r="F97" s="29" t="n">
        <v>12</v>
      </c>
    </row>
    <row r="98" customFormat="false" ht="15" hidden="false" customHeight="false" outlineLevel="0" collapsed="false">
      <c r="A98" s="36" t="s">
        <v>161</v>
      </c>
      <c r="B98" s="37" t="n">
        <v>45883</v>
      </c>
      <c r="C98" s="36" t="s">
        <v>114</v>
      </c>
      <c r="D98" s="36" t="s">
        <v>52</v>
      </c>
      <c r="E98" s="38" t="n">
        <v>294500</v>
      </c>
      <c r="F98" s="39" t="n">
        <v>28</v>
      </c>
    </row>
    <row r="99" customFormat="false" ht="15" hidden="false" customHeight="false" outlineLevel="0" collapsed="false">
      <c r="A99" s="26" t="s">
        <v>162</v>
      </c>
      <c r="B99" s="27" t="n">
        <v>45845</v>
      </c>
      <c r="C99" s="26" t="s">
        <v>61</v>
      </c>
      <c r="D99" s="26" t="s">
        <v>57</v>
      </c>
      <c r="E99" s="28" t="n">
        <v>154500</v>
      </c>
      <c r="F99" s="29" t="n">
        <v>28</v>
      </c>
    </row>
    <row r="100" customFormat="false" ht="15" hidden="false" customHeight="false" outlineLevel="0" collapsed="false">
      <c r="A100" s="36" t="s">
        <v>163</v>
      </c>
      <c r="B100" s="37" t="n">
        <v>45928</v>
      </c>
      <c r="C100" s="36" t="s">
        <v>87</v>
      </c>
      <c r="D100" s="36" t="s">
        <v>47</v>
      </c>
      <c r="E100" s="38" t="n">
        <v>424500</v>
      </c>
      <c r="F100" s="39" t="n">
        <v>12</v>
      </c>
    </row>
    <row r="101" customFormat="false" ht="15" hidden="false" customHeight="false" outlineLevel="0" collapsed="false">
      <c r="A101" s="26" t="s">
        <v>164</v>
      </c>
      <c r="B101" s="27" t="n">
        <v>45795</v>
      </c>
      <c r="C101" s="26" t="s">
        <v>51</v>
      </c>
      <c r="D101" s="26" t="s">
        <v>52</v>
      </c>
      <c r="E101" s="28" t="n">
        <v>171500</v>
      </c>
      <c r="F101" s="29" t="n">
        <v>5</v>
      </c>
    </row>
    <row r="102" customFormat="false" ht="15" hidden="false" customHeight="false" outlineLevel="0" collapsed="false">
      <c r="A102" s="36" t="s">
        <v>165</v>
      </c>
      <c r="B102" s="37" t="n">
        <v>45884</v>
      </c>
      <c r="C102" s="36" t="s">
        <v>82</v>
      </c>
      <c r="D102" s="36" t="s">
        <v>62</v>
      </c>
      <c r="E102" s="38" t="n">
        <v>291000</v>
      </c>
      <c r="F102" s="39" t="n">
        <v>18</v>
      </c>
    </row>
    <row r="103" customFormat="false" ht="15" hidden="false" customHeight="false" outlineLevel="0" collapsed="false">
      <c r="A103" s="26" t="s">
        <v>166</v>
      </c>
      <c r="B103" s="27" t="n">
        <v>45976</v>
      </c>
      <c r="C103" s="26" t="s">
        <v>82</v>
      </c>
      <c r="D103" s="26" t="s">
        <v>47</v>
      </c>
      <c r="E103" s="28" t="n">
        <v>367000</v>
      </c>
      <c r="F103" s="29" t="n">
        <v>12</v>
      </c>
    </row>
    <row r="104" customFormat="false" ht="15" hidden="false" customHeight="false" outlineLevel="0" collapsed="false">
      <c r="A104" s="36" t="s">
        <v>167</v>
      </c>
      <c r="B104" s="37" t="n">
        <v>45824</v>
      </c>
      <c r="C104" s="36" t="s">
        <v>69</v>
      </c>
      <c r="D104" s="36" t="s">
        <v>62</v>
      </c>
      <c r="E104" s="38" t="n">
        <v>328500</v>
      </c>
      <c r="F104" s="39" t="n">
        <v>5</v>
      </c>
    </row>
    <row r="105" customFormat="false" ht="15" hidden="false" customHeight="false" outlineLevel="0" collapsed="false">
      <c r="A105" s="26" t="s">
        <v>168</v>
      </c>
      <c r="B105" s="27" t="n">
        <v>45992</v>
      </c>
      <c r="C105" s="26" t="s">
        <v>84</v>
      </c>
      <c r="D105" s="26" t="s">
        <v>47</v>
      </c>
      <c r="E105" s="28" t="n">
        <v>147500</v>
      </c>
      <c r="F105" s="29" t="n">
        <v>12</v>
      </c>
    </row>
    <row r="106" customFormat="false" ht="15" hidden="false" customHeight="false" outlineLevel="0" collapsed="false">
      <c r="A106" s="36" t="s">
        <v>169</v>
      </c>
      <c r="B106" s="37" t="n">
        <v>46018</v>
      </c>
      <c r="C106" s="36" t="s">
        <v>46</v>
      </c>
      <c r="D106" s="36" t="s">
        <v>62</v>
      </c>
      <c r="E106" s="38" t="n">
        <v>202500</v>
      </c>
      <c r="F106" s="39" t="n">
        <v>12</v>
      </c>
    </row>
    <row r="107" customFormat="false" ht="15" hidden="false" customHeight="false" outlineLevel="0" collapsed="false">
      <c r="A107" s="26" t="s">
        <v>170</v>
      </c>
      <c r="B107" s="27" t="n">
        <v>45980</v>
      </c>
      <c r="C107" s="26" t="s">
        <v>84</v>
      </c>
      <c r="D107" s="26" t="s">
        <v>70</v>
      </c>
      <c r="E107" s="28" t="n">
        <v>384500</v>
      </c>
      <c r="F107" s="29" t="n">
        <v>5</v>
      </c>
    </row>
    <row r="108" customFormat="false" ht="15" hidden="false" customHeight="false" outlineLevel="0" collapsed="false">
      <c r="A108" s="36" t="s">
        <v>171</v>
      </c>
      <c r="B108" s="37" t="n">
        <v>46106</v>
      </c>
      <c r="C108" s="36" t="s">
        <v>51</v>
      </c>
      <c r="D108" s="36" t="s">
        <v>52</v>
      </c>
      <c r="E108" s="38" t="n">
        <v>194500</v>
      </c>
      <c r="F108" s="39" t="n">
        <v>12</v>
      </c>
    </row>
    <row r="109" customFormat="false" ht="15" hidden="false" customHeight="false" outlineLevel="0" collapsed="false">
      <c r="A109" s="26" t="s">
        <v>172</v>
      </c>
      <c r="B109" s="27" t="n">
        <v>46016</v>
      </c>
      <c r="C109" s="26" t="s">
        <v>56</v>
      </c>
      <c r="D109" s="26" t="s">
        <v>47</v>
      </c>
      <c r="E109" s="28" t="n">
        <v>375000</v>
      </c>
      <c r="F109" s="29" t="n">
        <v>5</v>
      </c>
    </row>
    <row r="110" customFormat="false" ht="15" hidden="false" customHeight="false" outlineLevel="0" collapsed="false">
      <c r="A110" s="36" t="s">
        <v>173</v>
      </c>
      <c r="B110" s="37" t="n">
        <v>45843</v>
      </c>
      <c r="C110" s="36" t="s">
        <v>75</v>
      </c>
      <c r="D110" s="36" t="s">
        <v>47</v>
      </c>
      <c r="E110" s="38" t="n">
        <v>244000</v>
      </c>
      <c r="F110" s="39" t="n">
        <v>5</v>
      </c>
    </row>
    <row r="111" customFormat="false" ht="15" hidden="false" customHeight="false" outlineLevel="0" collapsed="false">
      <c r="A111" s="26" t="s">
        <v>174</v>
      </c>
      <c r="B111" s="27" t="n">
        <v>45964</v>
      </c>
      <c r="C111" s="26" t="s">
        <v>46</v>
      </c>
      <c r="D111" s="26" t="s">
        <v>47</v>
      </c>
      <c r="E111" s="28" t="n">
        <v>263000</v>
      </c>
      <c r="F111" s="29" t="n">
        <v>18</v>
      </c>
    </row>
    <row r="112" customFormat="false" ht="15" hidden="false" customHeight="false" outlineLevel="0" collapsed="false">
      <c r="A112" s="36" t="s">
        <v>175</v>
      </c>
      <c r="B112" s="37" t="n">
        <v>45961</v>
      </c>
      <c r="C112" s="36" t="s">
        <v>51</v>
      </c>
      <c r="D112" s="36" t="s">
        <v>52</v>
      </c>
      <c r="E112" s="38" t="n">
        <v>182500</v>
      </c>
      <c r="F112" s="39" t="n">
        <v>12</v>
      </c>
    </row>
    <row r="113" customFormat="false" ht="15" hidden="false" customHeight="false" outlineLevel="0" collapsed="false">
      <c r="A113" s="26" t="s">
        <v>176</v>
      </c>
      <c r="B113" s="27" t="n">
        <v>45919</v>
      </c>
      <c r="C113" s="26" t="s">
        <v>82</v>
      </c>
      <c r="D113" s="26" t="s">
        <v>62</v>
      </c>
      <c r="E113" s="28" t="n">
        <v>271500</v>
      </c>
      <c r="F113" s="29" t="n">
        <v>18</v>
      </c>
    </row>
    <row r="114" customFormat="false" ht="15" hidden="false" customHeight="false" outlineLevel="0" collapsed="false">
      <c r="A114" s="36" t="s">
        <v>177</v>
      </c>
      <c r="B114" s="37" t="n">
        <v>45804</v>
      </c>
      <c r="C114" s="36" t="s">
        <v>46</v>
      </c>
      <c r="D114" s="36" t="s">
        <v>70</v>
      </c>
      <c r="E114" s="38" t="n">
        <v>374500</v>
      </c>
      <c r="F114" s="39" t="n">
        <v>5</v>
      </c>
    </row>
    <row r="115" customFormat="false" ht="15" hidden="false" customHeight="false" outlineLevel="0" collapsed="false">
      <c r="A115" s="26" t="s">
        <v>178</v>
      </c>
      <c r="B115" s="27" t="n">
        <v>45874</v>
      </c>
      <c r="C115" s="26" t="s">
        <v>75</v>
      </c>
      <c r="D115" s="26" t="s">
        <v>47</v>
      </c>
      <c r="E115" s="28" t="n">
        <v>401000</v>
      </c>
      <c r="F115" s="29" t="n">
        <v>18</v>
      </c>
    </row>
    <row r="116" customFormat="false" ht="15" hidden="false" customHeight="false" outlineLevel="0" collapsed="false">
      <c r="A116" s="36" t="s">
        <v>179</v>
      </c>
      <c r="B116" s="37" t="n">
        <v>46042</v>
      </c>
      <c r="C116" s="36" t="s">
        <v>79</v>
      </c>
      <c r="D116" s="36" t="s">
        <v>57</v>
      </c>
      <c r="E116" s="38" t="n">
        <v>186500</v>
      </c>
      <c r="F116" s="39" t="n">
        <v>28</v>
      </c>
    </row>
    <row r="117" customFormat="false" ht="15" hidden="false" customHeight="false" outlineLevel="0" collapsed="false">
      <c r="A117" s="26" t="s">
        <v>180</v>
      </c>
      <c r="B117" s="27" t="n">
        <v>46063</v>
      </c>
      <c r="C117" s="26" t="s">
        <v>51</v>
      </c>
      <c r="D117" s="26" t="s">
        <v>47</v>
      </c>
      <c r="E117" s="28" t="n">
        <v>97000</v>
      </c>
      <c r="F117" s="29" t="n">
        <v>12</v>
      </c>
    </row>
    <row r="118" customFormat="false" ht="15" hidden="false" customHeight="false" outlineLevel="0" collapsed="false">
      <c r="A118" s="36" t="s">
        <v>181</v>
      </c>
      <c r="B118" s="37" t="n">
        <v>45974</v>
      </c>
      <c r="C118" s="36" t="s">
        <v>61</v>
      </c>
      <c r="D118" s="36" t="s">
        <v>57</v>
      </c>
      <c r="E118" s="38" t="n">
        <v>478500</v>
      </c>
      <c r="F118" s="39" t="n">
        <v>18</v>
      </c>
    </row>
    <row r="119" customFormat="false" ht="15" hidden="false" customHeight="false" outlineLevel="0" collapsed="false">
      <c r="A119" s="26" t="s">
        <v>182</v>
      </c>
      <c r="B119" s="27" t="n">
        <v>45850</v>
      </c>
      <c r="C119" s="26" t="s">
        <v>79</v>
      </c>
      <c r="D119" s="26" t="s">
        <v>52</v>
      </c>
      <c r="E119" s="28" t="n">
        <v>274000</v>
      </c>
      <c r="F119" s="29" t="n">
        <v>5</v>
      </c>
    </row>
    <row r="120" customFormat="false" ht="15" hidden="false" customHeight="false" outlineLevel="0" collapsed="false">
      <c r="A120" s="36" t="s">
        <v>183</v>
      </c>
      <c r="B120" s="37" t="n">
        <v>45837</v>
      </c>
      <c r="C120" s="36" t="s">
        <v>51</v>
      </c>
      <c r="D120" s="36" t="s">
        <v>62</v>
      </c>
      <c r="E120" s="38" t="n">
        <v>375000</v>
      </c>
      <c r="F120" s="39" t="n">
        <v>18</v>
      </c>
    </row>
    <row r="121" customFormat="false" ht="15" hidden="false" customHeight="false" outlineLevel="0" collapsed="false">
      <c r="A121" s="26" t="s">
        <v>184</v>
      </c>
      <c r="B121" s="27" t="n">
        <v>46037</v>
      </c>
      <c r="C121" s="26" t="s">
        <v>114</v>
      </c>
      <c r="D121" s="26" t="s">
        <v>57</v>
      </c>
      <c r="E121" s="28" t="n">
        <v>181500</v>
      </c>
      <c r="F121" s="29" t="n">
        <v>28</v>
      </c>
    </row>
    <row r="122" customFormat="false" ht="15" hidden="false" customHeight="false" outlineLevel="0" collapsed="false">
      <c r="A122" s="36" t="s">
        <v>185</v>
      </c>
      <c r="B122" s="37" t="n">
        <v>46112</v>
      </c>
      <c r="C122" s="36" t="s">
        <v>69</v>
      </c>
      <c r="D122" s="36" t="s">
        <v>57</v>
      </c>
      <c r="E122" s="38" t="n">
        <v>16500</v>
      </c>
      <c r="F122" s="39" t="n">
        <v>18</v>
      </c>
    </row>
    <row r="123" customFormat="false" ht="15" hidden="false" customHeight="false" outlineLevel="0" collapsed="false">
      <c r="A123" s="26" t="s">
        <v>186</v>
      </c>
      <c r="B123" s="27" t="n">
        <v>45823</v>
      </c>
      <c r="C123" s="26" t="s">
        <v>114</v>
      </c>
      <c r="D123" s="26" t="s">
        <v>70</v>
      </c>
      <c r="E123" s="28" t="n">
        <v>423000</v>
      </c>
      <c r="F123" s="29" t="n">
        <v>28</v>
      </c>
    </row>
    <row r="124" customFormat="false" ht="15" hidden="false" customHeight="false" outlineLevel="0" collapsed="false">
      <c r="A124" s="36" t="s">
        <v>187</v>
      </c>
      <c r="B124" s="37" t="n">
        <v>45900</v>
      </c>
      <c r="C124" s="36" t="s">
        <v>69</v>
      </c>
      <c r="D124" s="36" t="s">
        <v>62</v>
      </c>
      <c r="E124" s="38" t="n">
        <v>291000</v>
      </c>
      <c r="F124" s="39" t="n">
        <v>12</v>
      </c>
    </row>
    <row r="125" customFormat="false" ht="15" hidden="false" customHeight="false" outlineLevel="0" collapsed="false">
      <c r="A125" s="26" t="s">
        <v>188</v>
      </c>
      <c r="B125" s="27" t="n">
        <v>45870</v>
      </c>
      <c r="C125" s="26" t="s">
        <v>56</v>
      </c>
      <c r="D125" s="26" t="s">
        <v>52</v>
      </c>
      <c r="E125" s="28" t="n">
        <v>105000</v>
      </c>
      <c r="F125" s="29" t="n">
        <v>12</v>
      </c>
    </row>
    <row r="126" customFormat="false" ht="15" hidden="false" customHeight="false" outlineLevel="0" collapsed="false">
      <c r="A126" s="36" t="s">
        <v>189</v>
      </c>
      <c r="B126" s="37" t="n">
        <v>45873</v>
      </c>
      <c r="C126" s="36" t="s">
        <v>87</v>
      </c>
      <c r="D126" s="36" t="s">
        <v>57</v>
      </c>
      <c r="E126" s="38" t="n">
        <v>443000</v>
      </c>
      <c r="F126" s="39" t="n">
        <v>28</v>
      </c>
    </row>
    <row r="127" customFormat="false" ht="15" hidden="false" customHeight="false" outlineLevel="0" collapsed="false">
      <c r="A127" s="26" t="s">
        <v>190</v>
      </c>
      <c r="B127" s="27" t="n">
        <v>45829</v>
      </c>
      <c r="C127" s="26" t="s">
        <v>87</v>
      </c>
      <c r="D127" s="26" t="s">
        <v>57</v>
      </c>
      <c r="E127" s="28" t="n">
        <v>117500</v>
      </c>
      <c r="F127" s="29" t="n">
        <v>28</v>
      </c>
    </row>
    <row r="128" customFormat="false" ht="15" hidden="false" customHeight="false" outlineLevel="0" collapsed="false">
      <c r="A128" s="36" t="s">
        <v>191</v>
      </c>
      <c r="B128" s="37" t="n">
        <v>46058</v>
      </c>
      <c r="C128" s="36" t="s">
        <v>75</v>
      </c>
      <c r="D128" s="36" t="s">
        <v>47</v>
      </c>
      <c r="E128" s="38" t="n">
        <v>79000</v>
      </c>
      <c r="F128" s="39" t="n">
        <v>12</v>
      </c>
    </row>
  </sheetData>
  <mergeCells count="3">
    <mergeCell ref="A1:L1"/>
    <mergeCell ref="A2:L2"/>
    <mergeCell ref="A3:L5"/>
  </mergeCells>
  <conditionalFormatting sqref="K9:K12">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R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false" outlineLevel="0" max="13" min="13" style="0" width="14"/>
    <col collapsed="false" customWidth="true" hidden="true" outlineLevel="0" max="19" min="14" style="0" width="13"/>
  </cols>
  <sheetData>
    <row r="1" customFormat="false" ht="31.5" hidden="false" customHeight="true" outlineLevel="0" collapsed="false">
      <c r="A1" s="46" t="s">
        <v>203</v>
      </c>
      <c r="B1" s="46"/>
      <c r="C1" s="46"/>
      <c r="D1" s="46"/>
      <c r="E1" s="46"/>
      <c r="F1" s="46"/>
      <c r="G1" s="46"/>
      <c r="H1" s="46"/>
      <c r="I1" s="46"/>
      <c r="J1" s="46"/>
      <c r="K1" s="46"/>
      <c r="L1" s="46"/>
      <c r="M1" s="46"/>
    </row>
    <row r="2" customFormat="false" ht="19.5" hidden="false" customHeight="true" outlineLevel="0" collapsed="false">
      <c r="A2" s="47" t="s">
        <v>204</v>
      </c>
      <c r="B2" s="47"/>
      <c r="C2" s="47"/>
      <c r="D2" s="47"/>
      <c r="E2" s="47"/>
      <c r="F2" s="47"/>
      <c r="G2" s="47"/>
      <c r="H2" s="47"/>
      <c r="I2" s="47"/>
      <c r="J2" s="47"/>
      <c r="K2" s="47"/>
      <c r="L2" s="47"/>
      <c r="M2" s="47"/>
    </row>
    <row r="3" customFormat="false" ht="18.75" hidden="false" customHeight="true" outlineLevel="0" collapsed="false">
      <c r="A3" s="48" t="s">
        <v>205</v>
      </c>
      <c r="B3" s="48"/>
      <c r="C3" s="48"/>
      <c r="D3" s="48"/>
      <c r="E3" s="48"/>
      <c r="F3" s="48"/>
      <c r="G3" s="48"/>
      <c r="H3" s="48"/>
      <c r="I3" s="48"/>
      <c r="J3" s="48"/>
      <c r="K3" s="48"/>
      <c r="L3" s="48"/>
      <c r="M3" s="48"/>
    </row>
    <row r="4" customFormat="false" ht="18.75" hidden="false" customHeight="true" outlineLevel="0" collapsed="false">
      <c r="A4" s="48"/>
      <c r="B4" s="48"/>
      <c r="C4" s="48"/>
      <c r="D4" s="48"/>
      <c r="E4" s="48"/>
      <c r="F4" s="48"/>
      <c r="G4" s="48"/>
      <c r="H4" s="48"/>
      <c r="I4" s="48"/>
      <c r="J4" s="48"/>
      <c r="K4" s="48"/>
      <c r="L4" s="48"/>
      <c r="M4" s="48"/>
    </row>
    <row r="5" customFormat="false" ht="18.75" hidden="false" customHeight="true" outlineLevel="0" collapsed="false">
      <c r="A5" s="48"/>
      <c r="B5" s="48"/>
      <c r="C5" s="48"/>
      <c r="D5" s="48"/>
      <c r="E5" s="48"/>
      <c r="F5" s="48"/>
      <c r="G5" s="48"/>
      <c r="H5" s="48"/>
      <c r="I5" s="48"/>
      <c r="J5" s="48"/>
      <c r="K5" s="48"/>
      <c r="L5" s="48"/>
      <c r="M5" s="48"/>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H8" s="12" t="s">
        <v>14</v>
      </c>
      <c r="I8" s="12" t="s">
        <v>41</v>
      </c>
      <c r="J8" s="12" t="s">
        <v>42</v>
      </c>
      <c r="K8" s="12" t="s">
        <v>43</v>
      </c>
      <c r="L8" s="12" t="s">
        <v>44</v>
      </c>
    </row>
    <row r="9" customFormat="false" ht="33.75" hidden="false" customHeight="true" outlineLevel="0" collapsed="false">
      <c r="A9" s="26" t="s">
        <v>45</v>
      </c>
      <c r="B9" s="27" t="n">
        <v>45870</v>
      </c>
      <c r="C9" s="26" t="s">
        <v>46</v>
      </c>
      <c r="D9" s="26" t="s">
        <v>47</v>
      </c>
      <c r="E9" s="28" t="n">
        <v>102500</v>
      </c>
      <c r="F9" s="29" t="n">
        <v>5</v>
      </c>
      <c r="H9" s="49" t="n">
        <v>1</v>
      </c>
      <c r="I9" s="31" t="s">
        <v>206</v>
      </c>
      <c r="J9" s="50" t="s">
        <v>207</v>
      </c>
      <c r="K9" s="33" t="str">
        <f aca="false">IF(COUNT($J$15:$M$19)=0,"◯ Not attempted",IF(NOT(_xlfn.ISFORMULA(J15)),"✎ Use a formula",IFERROR(IF(SUMPRODUCT(--(ABS($J$15:$M$19-$O$15:$R$19)&lt;0.01))=20,"✓ Correct","✗ "&amp;(20-SUMPRODUCT(--(ABS($J$15:$M$19-$O$15:$R$19)&lt;0.01)))&amp;" cells differ"),"✗ Check the grid")))</f>
        <v>◯ Not attempted</v>
      </c>
      <c r="L9" s="34" t="s">
        <v>208</v>
      </c>
    </row>
    <row r="10" customFormat="false" ht="33.75" hidden="false" customHeight="true" outlineLevel="0" collapsed="false">
      <c r="A10" s="36" t="s">
        <v>50</v>
      </c>
      <c r="B10" s="37" t="n">
        <v>46067</v>
      </c>
      <c r="C10" s="36" t="s">
        <v>51</v>
      </c>
      <c r="D10" s="36" t="s">
        <v>52</v>
      </c>
      <c r="E10" s="38" t="n">
        <v>293000</v>
      </c>
      <c r="F10" s="39" t="n">
        <v>28</v>
      </c>
      <c r="H10" s="49" t="n">
        <v>2</v>
      </c>
      <c r="I10" s="31" t="s">
        <v>209</v>
      </c>
      <c r="J10" s="40"/>
      <c r="K10" s="33" t="str">
        <f aca="false">IF(ISBLANK(J10),"◯ Not attempted",IF(NOT(_xlfn.ISFORMULA(J10)),"✎ Use a formula",IF(ISNUMBER(J10),IF(ABS(J10-$N$10)&lt;0.005,"✓ Correct","✗ Check again"),"✗ Not a number")))</f>
        <v>◯ Not attempted</v>
      </c>
      <c r="L10" s="34" t="s">
        <v>210</v>
      </c>
      <c r="N10" s="51" t="n">
        <f aca="false">SUM($E$9:$E$128)</f>
        <v>30844000</v>
      </c>
    </row>
    <row r="11" customFormat="false" ht="33.75" hidden="false" customHeight="true" outlineLevel="0" collapsed="false">
      <c r="A11" s="26" t="s">
        <v>55</v>
      </c>
      <c r="B11" s="27" t="n">
        <v>45957</v>
      </c>
      <c r="C11" s="26" t="s">
        <v>56</v>
      </c>
      <c r="D11" s="26" t="s">
        <v>57</v>
      </c>
      <c r="E11" s="28" t="n">
        <v>407000</v>
      </c>
      <c r="F11" s="29" t="n">
        <v>5</v>
      </c>
      <c r="H11" s="49" t="n">
        <v>3</v>
      </c>
      <c r="I11" s="31" t="s">
        <v>211</v>
      </c>
      <c r="J11" s="52"/>
      <c r="K11" s="33" t="str">
        <f aca="false">IF(ISBLANK(J11),"◯ Not attempted",IF(NOT(_xlfn.ISFORMULA(J11)),"✎ Use a formula",IF(UPPER(TRIM(J11&amp;""))=UPPER(TRIM($N$11&amp;"")),"✓ Correct","✗ Check again")))</f>
        <v>◯ Not attempted</v>
      </c>
      <c r="L11" s="34" t="s">
        <v>212</v>
      </c>
      <c r="N11" s="0" t="str">
        <f aca="false">"Karnataka"</f>
        <v>Karnataka</v>
      </c>
    </row>
    <row r="12" customFormat="false" ht="15" hidden="false" customHeight="false" outlineLevel="0" collapsed="false">
      <c r="A12" s="36" t="s">
        <v>60</v>
      </c>
      <c r="B12" s="37" t="n">
        <v>46018</v>
      </c>
      <c r="C12" s="36" t="s">
        <v>61</v>
      </c>
      <c r="D12" s="36" t="s">
        <v>62</v>
      </c>
      <c r="E12" s="38" t="n">
        <v>398000</v>
      </c>
      <c r="F12" s="39" t="n">
        <v>5</v>
      </c>
    </row>
    <row r="13" customFormat="false" ht="15" hidden="false" customHeight="false" outlineLevel="0" collapsed="false">
      <c r="A13" s="26" t="s">
        <v>65</v>
      </c>
      <c r="B13" s="27" t="n">
        <v>45810</v>
      </c>
      <c r="C13" s="26" t="s">
        <v>46</v>
      </c>
      <c r="D13" s="26" t="s">
        <v>52</v>
      </c>
      <c r="E13" s="28" t="n">
        <v>203000</v>
      </c>
      <c r="F13" s="29" t="n">
        <v>12</v>
      </c>
      <c r="I13" s="53" t="s">
        <v>213</v>
      </c>
    </row>
    <row r="14" customFormat="false" ht="15" hidden="false" customHeight="false" outlineLevel="0" collapsed="false">
      <c r="A14" s="36" t="s">
        <v>68</v>
      </c>
      <c r="B14" s="37" t="n">
        <v>45896</v>
      </c>
      <c r="C14" s="36" t="s">
        <v>69</v>
      </c>
      <c r="D14" s="36" t="s">
        <v>70</v>
      </c>
      <c r="E14" s="38" t="n">
        <v>424000</v>
      </c>
      <c r="F14" s="39" t="n">
        <v>28</v>
      </c>
      <c r="I14" s="54"/>
      <c r="J14" s="54" t="n">
        <v>5</v>
      </c>
      <c r="K14" s="54" t="n">
        <v>12</v>
      </c>
      <c r="L14" s="54" t="n">
        <v>18</v>
      </c>
      <c r="M14" s="54" t="n">
        <v>28</v>
      </c>
    </row>
    <row r="15" customFormat="false" ht="15" hidden="false" customHeight="false" outlineLevel="0" collapsed="false">
      <c r="A15" s="26" t="s">
        <v>71</v>
      </c>
      <c r="B15" s="27" t="n">
        <v>46109</v>
      </c>
      <c r="C15" s="26" t="s">
        <v>69</v>
      </c>
      <c r="D15" s="26" t="s">
        <v>62</v>
      </c>
      <c r="E15" s="28" t="n">
        <v>120000</v>
      </c>
      <c r="F15" s="29" t="n">
        <v>12</v>
      </c>
      <c r="I15" s="55" t="s">
        <v>47</v>
      </c>
      <c r="J15" s="56"/>
      <c r="K15" s="56"/>
      <c r="L15" s="56"/>
      <c r="M15" s="56"/>
      <c r="O15" s="51" t="n">
        <f aca="false">SUMIFS($E$9:$E$128,$D$9:$D$128,$I15,$F$9:$F$128,J$14)</f>
        <v>2446000</v>
      </c>
      <c r="P15" s="51" t="n">
        <f aca="false">SUMIFS($E$9:$E$128,$D$9:$D$128,$I15,$F$9:$F$128,K$14)</f>
        <v>1659500</v>
      </c>
      <c r="Q15" s="51" t="n">
        <f aca="false">SUMIFS($E$9:$E$128,$D$9:$D$128,$I15,$F$9:$F$128,L$14)</f>
        <v>1816500</v>
      </c>
      <c r="R15" s="51" t="n">
        <f aca="false">SUMIFS($E$9:$E$128,$D$9:$D$128,$I15,$F$9:$F$128,M$14)</f>
        <v>404000</v>
      </c>
    </row>
    <row r="16" customFormat="false" ht="15" hidden="false" customHeight="false" outlineLevel="0" collapsed="false">
      <c r="A16" s="36" t="s">
        <v>72</v>
      </c>
      <c r="B16" s="37" t="n">
        <v>45824</v>
      </c>
      <c r="C16" s="36" t="s">
        <v>73</v>
      </c>
      <c r="D16" s="36" t="s">
        <v>62</v>
      </c>
      <c r="E16" s="38" t="n">
        <v>109000</v>
      </c>
      <c r="F16" s="39" t="n">
        <v>18</v>
      </c>
      <c r="I16" s="55" t="s">
        <v>57</v>
      </c>
      <c r="J16" s="56"/>
      <c r="K16" s="56"/>
      <c r="L16" s="56"/>
      <c r="M16" s="56"/>
      <c r="O16" s="51" t="n">
        <f aca="false">SUMIFS($E$9:$E$128,$D$9:$D$128,$I16,$F$9:$F$128,J$14)</f>
        <v>1032000</v>
      </c>
      <c r="P16" s="51" t="n">
        <f aca="false">SUMIFS($E$9:$E$128,$D$9:$D$128,$I16,$F$9:$F$128,K$14)</f>
        <v>198500</v>
      </c>
      <c r="Q16" s="51" t="n">
        <f aca="false">SUMIFS($E$9:$E$128,$D$9:$D$128,$I16,$F$9:$F$128,L$14)</f>
        <v>2266500</v>
      </c>
      <c r="R16" s="51" t="n">
        <f aca="false">SUMIFS($E$9:$E$128,$D$9:$D$128,$I16,$F$9:$F$128,M$14)</f>
        <v>2326000</v>
      </c>
    </row>
    <row r="17" customFormat="false" ht="15" hidden="false" customHeight="false" outlineLevel="0" collapsed="false">
      <c r="A17" s="26" t="s">
        <v>74</v>
      </c>
      <c r="B17" s="27" t="n">
        <v>46107</v>
      </c>
      <c r="C17" s="26" t="s">
        <v>75</v>
      </c>
      <c r="D17" s="26" t="s">
        <v>47</v>
      </c>
      <c r="E17" s="28" t="n">
        <v>426500</v>
      </c>
      <c r="F17" s="29" t="n">
        <v>18</v>
      </c>
      <c r="I17" s="55" t="s">
        <v>62</v>
      </c>
      <c r="J17" s="56"/>
      <c r="K17" s="56"/>
      <c r="L17" s="56"/>
      <c r="M17" s="56"/>
      <c r="O17" s="51" t="n">
        <f aca="false">SUMIFS($E$9:$E$128,$D$9:$D$128,$I17,$F$9:$F$128,J$14)</f>
        <v>2014000</v>
      </c>
      <c r="P17" s="51" t="n">
        <f aca="false">SUMIFS($E$9:$E$128,$D$9:$D$128,$I17,$F$9:$F$128,K$14)</f>
        <v>2294000</v>
      </c>
      <c r="Q17" s="51" t="n">
        <f aca="false">SUMIFS($E$9:$E$128,$D$9:$D$128,$I17,$F$9:$F$128,L$14)</f>
        <v>2280000</v>
      </c>
      <c r="R17" s="51" t="n">
        <f aca="false">SUMIFS($E$9:$E$128,$D$9:$D$128,$I17,$F$9:$F$128,M$14)</f>
        <v>1371500</v>
      </c>
    </row>
    <row r="18" customFormat="false" ht="15" hidden="false" customHeight="false" outlineLevel="0" collapsed="false">
      <c r="A18" s="36" t="s">
        <v>76</v>
      </c>
      <c r="B18" s="37" t="n">
        <v>45875</v>
      </c>
      <c r="C18" s="36" t="s">
        <v>46</v>
      </c>
      <c r="D18" s="36" t="s">
        <v>52</v>
      </c>
      <c r="E18" s="38" t="n">
        <v>451000</v>
      </c>
      <c r="F18" s="39" t="n">
        <v>5</v>
      </c>
      <c r="I18" s="55" t="s">
        <v>70</v>
      </c>
      <c r="J18" s="56"/>
      <c r="K18" s="56"/>
      <c r="L18" s="56"/>
      <c r="M18" s="56"/>
      <c r="O18" s="51" t="n">
        <f aca="false">SUMIFS($E$9:$E$128,$D$9:$D$128,$I18,$F$9:$F$128,J$14)</f>
        <v>1760000</v>
      </c>
      <c r="P18" s="51" t="n">
        <f aca="false">SUMIFS($E$9:$E$128,$D$9:$D$128,$I18,$F$9:$F$128,K$14)</f>
        <v>1209500</v>
      </c>
      <c r="Q18" s="51" t="n">
        <f aca="false">SUMIFS($E$9:$E$128,$D$9:$D$128,$I18,$F$9:$F$128,L$14)</f>
        <v>1018500</v>
      </c>
      <c r="R18" s="51" t="n">
        <f aca="false">SUMIFS($E$9:$E$128,$D$9:$D$128,$I18,$F$9:$F$128,M$14)</f>
        <v>1508500</v>
      </c>
    </row>
    <row r="19" customFormat="false" ht="15" hidden="false" customHeight="false" outlineLevel="0" collapsed="false">
      <c r="A19" s="26" t="s">
        <v>77</v>
      </c>
      <c r="B19" s="27" t="n">
        <v>45888</v>
      </c>
      <c r="C19" s="26" t="s">
        <v>46</v>
      </c>
      <c r="D19" s="26" t="s">
        <v>62</v>
      </c>
      <c r="E19" s="28" t="n">
        <v>327000</v>
      </c>
      <c r="F19" s="29" t="n">
        <v>12</v>
      </c>
      <c r="I19" s="55" t="s">
        <v>52</v>
      </c>
      <c r="J19" s="56"/>
      <c r="K19" s="56"/>
      <c r="L19" s="56"/>
      <c r="M19" s="56"/>
      <c r="O19" s="51" t="n">
        <f aca="false">SUMIFS($E$9:$E$128,$D$9:$D$128,$I19,$F$9:$F$128,J$14)</f>
        <v>1368000</v>
      </c>
      <c r="P19" s="51" t="n">
        <f aca="false">SUMIFS($E$9:$E$128,$D$9:$D$128,$I19,$F$9:$F$128,K$14)</f>
        <v>2377000</v>
      </c>
      <c r="Q19" s="51" t="n">
        <f aca="false">SUMIFS($E$9:$E$128,$D$9:$D$128,$I19,$F$9:$F$128,L$14)</f>
        <v>5000</v>
      </c>
      <c r="R19" s="51" t="n">
        <f aca="false">SUMIFS($E$9:$E$128,$D$9:$D$128,$I19,$F$9:$F$128,M$14)</f>
        <v>1489000</v>
      </c>
    </row>
    <row r="20" customFormat="false" ht="15" hidden="false" customHeight="false" outlineLevel="0" collapsed="false">
      <c r="A20" s="36" t="s">
        <v>78</v>
      </c>
      <c r="B20" s="37" t="n">
        <v>45784</v>
      </c>
      <c r="C20" s="36" t="s">
        <v>79</v>
      </c>
      <c r="D20" s="36" t="s">
        <v>62</v>
      </c>
      <c r="E20" s="38" t="n">
        <v>463000</v>
      </c>
      <c r="F20" s="39" t="n">
        <v>28</v>
      </c>
    </row>
    <row r="21" customFormat="false" ht="15" hidden="false" customHeight="false" outlineLevel="0" collapsed="false">
      <c r="A21" s="26" t="s">
        <v>80</v>
      </c>
      <c r="B21" s="27" t="n">
        <v>45886</v>
      </c>
      <c r="C21" s="26" t="s">
        <v>61</v>
      </c>
      <c r="D21" s="26" t="s">
        <v>57</v>
      </c>
      <c r="E21" s="28" t="n">
        <v>74500</v>
      </c>
      <c r="F21" s="29" t="n">
        <v>5</v>
      </c>
    </row>
    <row r="22" customFormat="false" ht="15" hidden="false" customHeight="false" outlineLevel="0" collapsed="false">
      <c r="A22" s="36" t="s">
        <v>81</v>
      </c>
      <c r="B22" s="37" t="n">
        <v>45996</v>
      </c>
      <c r="C22" s="36" t="s">
        <v>82</v>
      </c>
      <c r="D22" s="36" t="s">
        <v>57</v>
      </c>
      <c r="E22" s="38" t="n">
        <v>96500</v>
      </c>
      <c r="F22" s="39" t="n">
        <v>28</v>
      </c>
    </row>
    <row r="23" customFormat="false" ht="15" hidden="false" customHeight="false" outlineLevel="0" collapsed="false">
      <c r="A23" s="26" t="s">
        <v>83</v>
      </c>
      <c r="B23" s="27" t="n">
        <v>45913</v>
      </c>
      <c r="C23" s="26" t="s">
        <v>84</v>
      </c>
      <c r="D23" s="26" t="s">
        <v>47</v>
      </c>
      <c r="E23" s="28" t="n">
        <v>330000</v>
      </c>
      <c r="F23" s="29" t="n">
        <v>12</v>
      </c>
    </row>
    <row r="24" customFormat="false" ht="15" hidden="false" customHeight="false" outlineLevel="0" collapsed="false">
      <c r="A24" s="36" t="s">
        <v>85</v>
      </c>
      <c r="B24" s="37" t="n">
        <v>46068</v>
      </c>
      <c r="C24" s="36" t="s">
        <v>82</v>
      </c>
      <c r="D24" s="36" t="s">
        <v>57</v>
      </c>
      <c r="E24" s="38" t="n">
        <v>364000</v>
      </c>
      <c r="F24" s="39" t="n">
        <v>28</v>
      </c>
    </row>
    <row r="25" customFormat="false" ht="15" hidden="false" customHeight="false" outlineLevel="0" collapsed="false">
      <c r="A25" s="26" t="s">
        <v>86</v>
      </c>
      <c r="B25" s="27" t="n">
        <v>45802</v>
      </c>
      <c r="C25" s="26" t="s">
        <v>87</v>
      </c>
      <c r="D25" s="26" t="s">
        <v>47</v>
      </c>
      <c r="E25" s="28" t="n">
        <v>72000</v>
      </c>
      <c r="F25" s="29" t="n">
        <v>12</v>
      </c>
    </row>
    <row r="26" customFormat="false" ht="15" hidden="false" customHeight="false" outlineLevel="0" collapsed="false">
      <c r="A26" s="36" t="s">
        <v>88</v>
      </c>
      <c r="B26" s="37" t="n">
        <v>45846</v>
      </c>
      <c r="C26" s="36" t="s">
        <v>79</v>
      </c>
      <c r="D26" s="36" t="s">
        <v>62</v>
      </c>
      <c r="E26" s="38" t="n">
        <v>352500</v>
      </c>
      <c r="F26" s="39" t="n">
        <v>5</v>
      </c>
    </row>
    <row r="27" customFormat="false" ht="15" hidden="false" customHeight="false" outlineLevel="0" collapsed="false">
      <c r="A27" s="26" t="s">
        <v>89</v>
      </c>
      <c r="B27" s="27" t="n">
        <v>46011</v>
      </c>
      <c r="C27" s="26" t="s">
        <v>79</v>
      </c>
      <c r="D27" s="26" t="s">
        <v>52</v>
      </c>
      <c r="E27" s="28" t="n">
        <v>5000</v>
      </c>
      <c r="F27" s="29" t="n">
        <v>18</v>
      </c>
    </row>
    <row r="28" customFormat="false" ht="15" hidden="false" customHeight="false" outlineLevel="0" collapsed="false">
      <c r="A28" s="36" t="s">
        <v>90</v>
      </c>
      <c r="B28" s="37" t="n">
        <v>45762</v>
      </c>
      <c r="C28" s="36" t="s">
        <v>82</v>
      </c>
      <c r="D28" s="36" t="s">
        <v>52</v>
      </c>
      <c r="E28" s="38" t="n">
        <v>132500</v>
      </c>
      <c r="F28" s="39" t="n">
        <v>12</v>
      </c>
    </row>
    <row r="29" customFormat="false" ht="15" hidden="false" customHeight="false" outlineLevel="0" collapsed="false">
      <c r="A29" s="26" t="s">
        <v>91</v>
      </c>
      <c r="B29" s="27" t="n">
        <v>46100</v>
      </c>
      <c r="C29" s="26" t="s">
        <v>73</v>
      </c>
      <c r="D29" s="26" t="s">
        <v>52</v>
      </c>
      <c r="E29" s="28" t="n">
        <v>348500</v>
      </c>
      <c r="F29" s="29" t="n">
        <v>28</v>
      </c>
    </row>
    <row r="30" customFormat="false" ht="15" hidden="false" customHeight="false" outlineLevel="0" collapsed="false">
      <c r="A30" s="36" t="s">
        <v>92</v>
      </c>
      <c r="B30" s="37" t="n">
        <v>46001</v>
      </c>
      <c r="C30" s="36" t="s">
        <v>61</v>
      </c>
      <c r="D30" s="36" t="s">
        <v>47</v>
      </c>
      <c r="E30" s="38" t="n">
        <v>81500</v>
      </c>
      <c r="F30" s="39" t="n">
        <v>12</v>
      </c>
    </row>
    <row r="31" customFormat="false" ht="15" hidden="false" customHeight="false" outlineLevel="0" collapsed="false">
      <c r="A31" s="26" t="s">
        <v>93</v>
      </c>
      <c r="B31" s="27" t="n">
        <v>45780</v>
      </c>
      <c r="C31" s="26" t="s">
        <v>82</v>
      </c>
      <c r="D31" s="26" t="s">
        <v>52</v>
      </c>
      <c r="E31" s="28" t="n">
        <v>251500</v>
      </c>
      <c r="F31" s="29" t="n">
        <v>28</v>
      </c>
    </row>
    <row r="32" customFormat="false" ht="15" hidden="false" customHeight="false" outlineLevel="0" collapsed="false">
      <c r="A32" s="36" t="s">
        <v>94</v>
      </c>
      <c r="B32" s="37" t="n">
        <v>45856</v>
      </c>
      <c r="C32" s="36" t="s">
        <v>61</v>
      </c>
      <c r="D32" s="36" t="s">
        <v>57</v>
      </c>
      <c r="E32" s="38" t="n">
        <v>233500</v>
      </c>
      <c r="F32" s="39" t="n">
        <v>18</v>
      </c>
    </row>
    <row r="33" customFormat="false" ht="15" hidden="false" customHeight="false" outlineLevel="0" collapsed="false">
      <c r="A33" s="26" t="s">
        <v>95</v>
      </c>
      <c r="B33" s="27" t="n">
        <v>45963</v>
      </c>
      <c r="C33" s="26" t="s">
        <v>87</v>
      </c>
      <c r="D33" s="26" t="s">
        <v>52</v>
      </c>
      <c r="E33" s="28" t="n">
        <v>22500</v>
      </c>
      <c r="F33" s="29" t="n">
        <v>28</v>
      </c>
    </row>
    <row r="34" customFormat="false" ht="15" hidden="false" customHeight="false" outlineLevel="0" collapsed="false">
      <c r="A34" s="36" t="s">
        <v>96</v>
      </c>
      <c r="B34" s="37" t="n">
        <v>45963</v>
      </c>
      <c r="C34" s="36" t="s">
        <v>69</v>
      </c>
      <c r="D34" s="36" t="s">
        <v>70</v>
      </c>
      <c r="E34" s="38" t="n">
        <v>273500</v>
      </c>
      <c r="F34" s="39" t="n">
        <v>18</v>
      </c>
    </row>
    <row r="35" customFormat="false" ht="15" hidden="false" customHeight="false" outlineLevel="0" collapsed="false">
      <c r="A35" s="26" t="s">
        <v>97</v>
      </c>
      <c r="B35" s="27" t="n">
        <v>45969</v>
      </c>
      <c r="C35" s="26" t="s">
        <v>82</v>
      </c>
      <c r="D35" s="26" t="s">
        <v>70</v>
      </c>
      <c r="E35" s="28" t="n">
        <v>106000</v>
      </c>
      <c r="F35" s="29" t="n">
        <v>28</v>
      </c>
    </row>
    <row r="36" customFormat="false" ht="15" hidden="false" customHeight="false" outlineLevel="0" collapsed="false">
      <c r="A36" s="36" t="s">
        <v>98</v>
      </c>
      <c r="B36" s="37" t="n">
        <v>45829</v>
      </c>
      <c r="C36" s="36" t="s">
        <v>87</v>
      </c>
      <c r="D36" s="36" t="s">
        <v>52</v>
      </c>
      <c r="E36" s="38" t="n">
        <v>279000</v>
      </c>
      <c r="F36" s="39" t="n">
        <v>28</v>
      </c>
    </row>
    <row r="37" customFormat="false" ht="15" hidden="false" customHeight="false" outlineLevel="0" collapsed="false">
      <c r="A37" s="26" t="s">
        <v>99</v>
      </c>
      <c r="B37" s="27" t="n">
        <v>46071</v>
      </c>
      <c r="C37" s="26" t="s">
        <v>82</v>
      </c>
      <c r="D37" s="26" t="s">
        <v>52</v>
      </c>
      <c r="E37" s="28" t="n">
        <v>134000</v>
      </c>
      <c r="F37" s="29" t="n">
        <v>12</v>
      </c>
    </row>
    <row r="38" customFormat="false" ht="15" hidden="false" customHeight="false" outlineLevel="0" collapsed="false">
      <c r="A38" s="36" t="s">
        <v>100</v>
      </c>
      <c r="B38" s="37" t="n">
        <v>45922</v>
      </c>
      <c r="C38" s="36" t="s">
        <v>51</v>
      </c>
      <c r="D38" s="36" t="s">
        <v>57</v>
      </c>
      <c r="E38" s="38" t="n">
        <v>332500</v>
      </c>
      <c r="F38" s="39" t="n">
        <v>18</v>
      </c>
    </row>
    <row r="39" customFormat="false" ht="15" hidden="false" customHeight="false" outlineLevel="0" collapsed="false">
      <c r="A39" s="26" t="s">
        <v>101</v>
      </c>
      <c r="B39" s="27" t="n">
        <v>45932</v>
      </c>
      <c r="C39" s="26" t="s">
        <v>56</v>
      </c>
      <c r="D39" s="26" t="s">
        <v>57</v>
      </c>
      <c r="E39" s="28" t="n">
        <v>411500</v>
      </c>
      <c r="F39" s="29" t="n">
        <v>18</v>
      </c>
    </row>
    <row r="40" customFormat="false" ht="15" hidden="false" customHeight="false" outlineLevel="0" collapsed="false">
      <c r="A40" s="36" t="s">
        <v>102</v>
      </c>
      <c r="B40" s="37" t="n">
        <v>46047</v>
      </c>
      <c r="C40" s="36" t="s">
        <v>51</v>
      </c>
      <c r="D40" s="36" t="s">
        <v>47</v>
      </c>
      <c r="E40" s="38" t="n">
        <v>116000</v>
      </c>
      <c r="F40" s="39" t="n">
        <v>18</v>
      </c>
    </row>
    <row r="41" customFormat="false" ht="15" hidden="false" customHeight="false" outlineLevel="0" collapsed="false">
      <c r="A41" s="26" t="s">
        <v>103</v>
      </c>
      <c r="B41" s="27" t="n">
        <v>46008</v>
      </c>
      <c r="C41" s="26" t="s">
        <v>73</v>
      </c>
      <c r="D41" s="26" t="s">
        <v>62</v>
      </c>
      <c r="E41" s="28" t="n">
        <v>285000</v>
      </c>
      <c r="F41" s="29" t="n">
        <v>18</v>
      </c>
    </row>
    <row r="42" customFormat="false" ht="15" hidden="false" customHeight="false" outlineLevel="0" collapsed="false">
      <c r="A42" s="36" t="s">
        <v>104</v>
      </c>
      <c r="B42" s="37" t="n">
        <v>45949</v>
      </c>
      <c r="C42" s="36" t="s">
        <v>61</v>
      </c>
      <c r="D42" s="36" t="s">
        <v>62</v>
      </c>
      <c r="E42" s="38" t="n">
        <v>473500</v>
      </c>
      <c r="F42" s="39" t="n">
        <v>5</v>
      </c>
    </row>
    <row r="43" customFormat="false" ht="15" hidden="false" customHeight="false" outlineLevel="0" collapsed="false">
      <c r="A43" s="26" t="s">
        <v>105</v>
      </c>
      <c r="B43" s="27" t="n">
        <v>45758</v>
      </c>
      <c r="C43" s="26" t="s">
        <v>79</v>
      </c>
      <c r="D43" s="26" t="s">
        <v>57</v>
      </c>
      <c r="E43" s="28" t="n">
        <v>332000</v>
      </c>
      <c r="F43" s="29" t="n">
        <v>5</v>
      </c>
    </row>
    <row r="44" customFormat="false" ht="15" hidden="false" customHeight="false" outlineLevel="0" collapsed="false">
      <c r="A44" s="36" t="s">
        <v>106</v>
      </c>
      <c r="B44" s="37" t="n">
        <v>46082</v>
      </c>
      <c r="C44" s="36" t="s">
        <v>51</v>
      </c>
      <c r="D44" s="36" t="s">
        <v>62</v>
      </c>
      <c r="E44" s="38" t="n">
        <v>310500</v>
      </c>
      <c r="F44" s="39" t="n">
        <v>5</v>
      </c>
    </row>
    <row r="45" customFormat="false" ht="15" hidden="false" customHeight="false" outlineLevel="0" collapsed="false">
      <c r="A45" s="26" t="s">
        <v>107</v>
      </c>
      <c r="B45" s="27" t="n">
        <v>45947</v>
      </c>
      <c r="C45" s="26" t="s">
        <v>75</v>
      </c>
      <c r="D45" s="26" t="s">
        <v>70</v>
      </c>
      <c r="E45" s="28" t="n">
        <v>443000</v>
      </c>
      <c r="F45" s="29" t="n">
        <v>5</v>
      </c>
    </row>
    <row r="46" customFormat="false" ht="15" hidden="false" customHeight="false" outlineLevel="0" collapsed="false">
      <c r="A46" s="36" t="s">
        <v>108</v>
      </c>
      <c r="B46" s="37" t="n">
        <v>45831</v>
      </c>
      <c r="C46" s="36" t="s">
        <v>51</v>
      </c>
      <c r="D46" s="36" t="s">
        <v>62</v>
      </c>
      <c r="E46" s="38" t="n">
        <v>442500</v>
      </c>
      <c r="F46" s="39" t="n">
        <v>12</v>
      </c>
    </row>
    <row r="47" customFormat="false" ht="15" hidden="false" customHeight="false" outlineLevel="0" collapsed="false">
      <c r="A47" s="26" t="s">
        <v>109</v>
      </c>
      <c r="B47" s="27" t="n">
        <v>45910</v>
      </c>
      <c r="C47" s="26" t="s">
        <v>82</v>
      </c>
      <c r="D47" s="26" t="s">
        <v>70</v>
      </c>
      <c r="E47" s="28" t="n">
        <v>85000</v>
      </c>
      <c r="F47" s="29" t="n">
        <v>28</v>
      </c>
    </row>
    <row r="48" customFormat="false" ht="15" hidden="false" customHeight="false" outlineLevel="0" collapsed="false">
      <c r="A48" s="36" t="s">
        <v>110</v>
      </c>
      <c r="B48" s="37" t="n">
        <v>46006</v>
      </c>
      <c r="C48" s="36" t="s">
        <v>87</v>
      </c>
      <c r="D48" s="36" t="s">
        <v>62</v>
      </c>
      <c r="E48" s="38" t="n">
        <v>375000</v>
      </c>
      <c r="F48" s="39" t="n">
        <v>12</v>
      </c>
    </row>
    <row r="49" customFormat="false" ht="15" hidden="false" customHeight="false" outlineLevel="0" collapsed="false">
      <c r="A49" s="26" t="s">
        <v>111</v>
      </c>
      <c r="B49" s="27" t="n">
        <v>45922</v>
      </c>
      <c r="C49" s="26" t="s">
        <v>61</v>
      </c>
      <c r="D49" s="26" t="s">
        <v>70</v>
      </c>
      <c r="E49" s="28" t="n">
        <v>97500</v>
      </c>
      <c r="F49" s="29" t="n">
        <v>28</v>
      </c>
    </row>
    <row r="50" customFormat="false" ht="15" hidden="false" customHeight="false" outlineLevel="0" collapsed="false">
      <c r="A50" s="36" t="s">
        <v>112</v>
      </c>
      <c r="B50" s="37" t="n">
        <v>45758</v>
      </c>
      <c r="C50" s="36" t="s">
        <v>69</v>
      </c>
      <c r="D50" s="36" t="s">
        <v>47</v>
      </c>
      <c r="E50" s="38" t="n">
        <v>123500</v>
      </c>
      <c r="F50" s="39" t="n">
        <v>28</v>
      </c>
    </row>
    <row r="51" customFormat="false" ht="15" hidden="false" customHeight="false" outlineLevel="0" collapsed="false">
      <c r="A51" s="26" t="s">
        <v>113</v>
      </c>
      <c r="B51" s="27" t="n">
        <v>46109</v>
      </c>
      <c r="C51" s="26" t="s">
        <v>114</v>
      </c>
      <c r="D51" s="26" t="s">
        <v>62</v>
      </c>
      <c r="E51" s="28" t="n">
        <v>392500</v>
      </c>
      <c r="F51" s="29" t="n">
        <v>12</v>
      </c>
    </row>
    <row r="52" customFormat="false" ht="15" hidden="false" customHeight="false" outlineLevel="0" collapsed="false">
      <c r="A52" s="36" t="s">
        <v>115</v>
      </c>
      <c r="B52" s="37" t="n">
        <v>45786</v>
      </c>
      <c r="C52" s="36" t="s">
        <v>56</v>
      </c>
      <c r="D52" s="36" t="s">
        <v>70</v>
      </c>
      <c r="E52" s="38" t="n">
        <v>162000</v>
      </c>
      <c r="F52" s="39" t="n">
        <v>18</v>
      </c>
    </row>
    <row r="53" customFormat="false" ht="15" hidden="false" customHeight="false" outlineLevel="0" collapsed="false">
      <c r="A53" s="26" t="s">
        <v>116</v>
      </c>
      <c r="B53" s="27" t="n">
        <v>45951</v>
      </c>
      <c r="C53" s="26" t="s">
        <v>46</v>
      </c>
      <c r="D53" s="26" t="s">
        <v>57</v>
      </c>
      <c r="E53" s="28" t="n">
        <v>391000</v>
      </c>
      <c r="F53" s="29" t="n">
        <v>28</v>
      </c>
    </row>
    <row r="54" customFormat="false" ht="15" hidden="false" customHeight="false" outlineLevel="0" collapsed="false">
      <c r="A54" s="36" t="s">
        <v>117</v>
      </c>
      <c r="B54" s="37" t="n">
        <v>46007</v>
      </c>
      <c r="C54" s="36" t="s">
        <v>73</v>
      </c>
      <c r="D54" s="36" t="s">
        <v>70</v>
      </c>
      <c r="E54" s="38" t="n">
        <v>464000</v>
      </c>
      <c r="F54" s="39" t="n">
        <v>12</v>
      </c>
    </row>
    <row r="55" customFormat="false" ht="15" hidden="false" customHeight="false" outlineLevel="0" collapsed="false">
      <c r="A55" s="26" t="s">
        <v>118</v>
      </c>
      <c r="B55" s="27" t="n">
        <v>45869</v>
      </c>
      <c r="C55" s="26" t="s">
        <v>69</v>
      </c>
      <c r="D55" s="26" t="s">
        <v>52</v>
      </c>
      <c r="E55" s="28" t="n">
        <v>363000</v>
      </c>
      <c r="F55" s="29" t="n">
        <v>5</v>
      </c>
    </row>
    <row r="56" customFormat="false" ht="15" hidden="false" customHeight="false" outlineLevel="0" collapsed="false">
      <c r="A56" s="36" t="s">
        <v>119</v>
      </c>
      <c r="B56" s="37" t="n">
        <v>45839</v>
      </c>
      <c r="C56" s="36" t="s">
        <v>82</v>
      </c>
      <c r="D56" s="36" t="s">
        <v>70</v>
      </c>
      <c r="E56" s="38" t="n">
        <v>60000</v>
      </c>
      <c r="F56" s="39" t="n">
        <v>28</v>
      </c>
    </row>
    <row r="57" customFormat="false" ht="15" hidden="false" customHeight="false" outlineLevel="0" collapsed="false">
      <c r="A57" s="26" t="s">
        <v>120</v>
      </c>
      <c r="B57" s="27" t="n">
        <v>46039</v>
      </c>
      <c r="C57" s="26" t="s">
        <v>79</v>
      </c>
      <c r="D57" s="26" t="s">
        <v>62</v>
      </c>
      <c r="E57" s="28" t="n">
        <v>217500</v>
      </c>
      <c r="F57" s="29" t="n">
        <v>18</v>
      </c>
    </row>
    <row r="58" customFormat="false" ht="15" hidden="false" customHeight="false" outlineLevel="0" collapsed="false">
      <c r="A58" s="36" t="s">
        <v>121</v>
      </c>
      <c r="B58" s="37" t="n">
        <v>45786</v>
      </c>
      <c r="C58" s="36" t="s">
        <v>82</v>
      </c>
      <c r="D58" s="36" t="s">
        <v>47</v>
      </c>
      <c r="E58" s="38" t="n">
        <v>140500</v>
      </c>
      <c r="F58" s="39" t="n">
        <v>28</v>
      </c>
    </row>
    <row r="59" customFormat="false" ht="15" hidden="false" customHeight="false" outlineLevel="0" collapsed="false">
      <c r="A59" s="26" t="s">
        <v>122</v>
      </c>
      <c r="B59" s="27" t="n">
        <v>45788</v>
      </c>
      <c r="C59" s="26" t="s">
        <v>114</v>
      </c>
      <c r="D59" s="26" t="s">
        <v>57</v>
      </c>
      <c r="E59" s="28" t="n">
        <v>391500</v>
      </c>
      <c r="F59" s="29" t="n">
        <v>28</v>
      </c>
    </row>
    <row r="60" customFormat="false" ht="15" hidden="false" customHeight="false" outlineLevel="0" collapsed="false">
      <c r="A60" s="36" t="s">
        <v>123</v>
      </c>
      <c r="B60" s="37" t="n">
        <v>45763</v>
      </c>
      <c r="C60" s="36" t="s">
        <v>61</v>
      </c>
      <c r="D60" s="36" t="s">
        <v>62</v>
      </c>
      <c r="E60" s="38" t="n">
        <v>344000</v>
      </c>
      <c r="F60" s="39" t="n">
        <v>18</v>
      </c>
    </row>
    <row r="61" customFormat="false" ht="15" hidden="false" customHeight="false" outlineLevel="0" collapsed="false">
      <c r="A61" s="26" t="s">
        <v>124</v>
      </c>
      <c r="B61" s="27" t="n">
        <v>45979</v>
      </c>
      <c r="C61" s="26" t="s">
        <v>79</v>
      </c>
      <c r="D61" s="26" t="s">
        <v>57</v>
      </c>
      <c r="E61" s="28" t="n">
        <v>253500</v>
      </c>
      <c r="F61" s="29" t="n">
        <v>18</v>
      </c>
    </row>
    <row r="62" customFormat="false" ht="15" hidden="false" customHeight="false" outlineLevel="0" collapsed="false">
      <c r="A62" s="36" t="s">
        <v>125</v>
      </c>
      <c r="B62" s="37" t="n">
        <v>46067</v>
      </c>
      <c r="C62" s="36" t="s">
        <v>46</v>
      </c>
      <c r="D62" s="36" t="s">
        <v>47</v>
      </c>
      <c r="E62" s="38" t="n">
        <v>14000</v>
      </c>
      <c r="F62" s="39" t="n">
        <v>5</v>
      </c>
    </row>
    <row r="63" customFormat="false" ht="15" hidden="false" customHeight="false" outlineLevel="0" collapsed="false">
      <c r="A63" s="26" t="s">
        <v>126</v>
      </c>
      <c r="B63" s="27" t="n">
        <v>45914</v>
      </c>
      <c r="C63" s="26" t="s">
        <v>73</v>
      </c>
      <c r="D63" s="26" t="s">
        <v>47</v>
      </c>
      <c r="E63" s="28" t="n">
        <v>61000</v>
      </c>
      <c r="F63" s="29" t="n">
        <v>12</v>
      </c>
    </row>
    <row r="64" customFormat="false" ht="15" hidden="false" customHeight="false" outlineLevel="0" collapsed="false">
      <c r="A64" s="36" t="s">
        <v>127</v>
      </c>
      <c r="B64" s="37" t="n">
        <v>46068</v>
      </c>
      <c r="C64" s="36" t="s">
        <v>75</v>
      </c>
      <c r="D64" s="36" t="s">
        <v>52</v>
      </c>
      <c r="E64" s="38" t="n">
        <v>108500</v>
      </c>
      <c r="F64" s="39" t="n">
        <v>5</v>
      </c>
    </row>
    <row r="65" customFormat="false" ht="15" hidden="false" customHeight="false" outlineLevel="0" collapsed="false">
      <c r="A65" s="26" t="s">
        <v>128</v>
      </c>
      <c r="B65" s="27" t="n">
        <v>45890</v>
      </c>
      <c r="C65" s="26" t="s">
        <v>51</v>
      </c>
      <c r="D65" s="26" t="s">
        <v>47</v>
      </c>
      <c r="E65" s="28" t="n">
        <v>479000</v>
      </c>
      <c r="F65" s="29" t="n">
        <v>18</v>
      </c>
    </row>
    <row r="66" customFormat="false" ht="15" hidden="false" customHeight="false" outlineLevel="0" collapsed="false">
      <c r="A66" s="36" t="s">
        <v>129</v>
      </c>
      <c r="B66" s="37" t="n">
        <v>46052</v>
      </c>
      <c r="C66" s="36" t="s">
        <v>114</v>
      </c>
      <c r="D66" s="36" t="s">
        <v>70</v>
      </c>
      <c r="E66" s="38" t="n">
        <v>418000</v>
      </c>
      <c r="F66" s="39" t="n">
        <v>12</v>
      </c>
    </row>
    <row r="67" customFormat="false" ht="15" hidden="false" customHeight="false" outlineLevel="0" collapsed="false">
      <c r="A67" s="26" t="s">
        <v>130</v>
      </c>
      <c r="B67" s="27" t="n">
        <v>45930</v>
      </c>
      <c r="C67" s="26" t="s">
        <v>56</v>
      </c>
      <c r="D67" s="26" t="s">
        <v>57</v>
      </c>
      <c r="E67" s="28" t="n">
        <v>198500</v>
      </c>
      <c r="F67" s="29" t="n">
        <v>12</v>
      </c>
    </row>
    <row r="68" customFormat="false" ht="15" hidden="false" customHeight="false" outlineLevel="0" collapsed="false">
      <c r="A68" s="36" t="s">
        <v>131</v>
      </c>
      <c r="B68" s="37" t="n">
        <v>45954</v>
      </c>
      <c r="C68" s="36" t="s">
        <v>87</v>
      </c>
      <c r="D68" s="36" t="s">
        <v>70</v>
      </c>
      <c r="E68" s="38" t="n">
        <v>317000</v>
      </c>
      <c r="F68" s="39" t="n">
        <v>18</v>
      </c>
    </row>
    <row r="69" customFormat="false" ht="15" hidden="false" customHeight="false" outlineLevel="0" collapsed="false">
      <c r="A69" s="26" t="s">
        <v>132</v>
      </c>
      <c r="B69" s="27" t="n">
        <v>45913</v>
      </c>
      <c r="C69" s="26" t="s">
        <v>46</v>
      </c>
      <c r="D69" s="26" t="s">
        <v>57</v>
      </c>
      <c r="E69" s="28" t="n">
        <v>152000</v>
      </c>
      <c r="F69" s="29" t="n">
        <v>18</v>
      </c>
    </row>
    <row r="70" customFormat="false" ht="15" hidden="false" customHeight="false" outlineLevel="0" collapsed="false">
      <c r="A70" s="36" t="s">
        <v>133</v>
      </c>
      <c r="B70" s="37" t="n">
        <v>45828</v>
      </c>
      <c r="C70" s="36" t="s">
        <v>75</v>
      </c>
      <c r="D70" s="36" t="s">
        <v>70</v>
      </c>
      <c r="E70" s="38" t="n">
        <v>266000</v>
      </c>
      <c r="F70" s="39" t="n">
        <v>18</v>
      </c>
    </row>
    <row r="71" customFormat="false" ht="15" hidden="false" customHeight="false" outlineLevel="0" collapsed="false">
      <c r="A71" s="26" t="s">
        <v>134</v>
      </c>
      <c r="B71" s="27" t="n">
        <v>45943</v>
      </c>
      <c r="C71" s="26" t="s">
        <v>84</v>
      </c>
      <c r="D71" s="26" t="s">
        <v>62</v>
      </c>
      <c r="E71" s="28" t="n">
        <v>151000</v>
      </c>
      <c r="F71" s="29" t="n">
        <v>5</v>
      </c>
    </row>
    <row r="72" customFormat="false" ht="15" hidden="false" customHeight="false" outlineLevel="0" collapsed="false">
      <c r="A72" s="36" t="s">
        <v>135</v>
      </c>
      <c r="B72" s="37" t="n">
        <v>45885</v>
      </c>
      <c r="C72" s="36" t="s">
        <v>84</v>
      </c>
      <c r="D72" s="36" t="s">
        <v>62</v>
      </c>
      <c r="E72" s="38" t="n">
        <v>276000</v>
      </c>
      <c r="F72" s="39" t="n">
        <v>28</v>
      </c>
    </row>
    <row r="73" customFormat="false" ht="15" hidden="false" customHeight="false" outlineLevel="0" collapsed="false">
      <c r="A73" s="26" t="s">
        <v>136</v>
      </c>
      <c r="B73" s="27" t="n">
        <v>46051</v>
      </c>
      <c r="C73" s="26" t="s">
        <v>79</v>
      </c>
      <c r="D73" s="26" t="s">
        <v>57</v>
      </c>
      <c r="E73" s="28" t="n">
        <v>218500</v>
      </c>
      <c r="F73" s="29" t="n">
        <v>5</v>
      </c>
    </row>
    <row r="74" customFormat="false" ht="15" hidden="false" customHeight="false" outlineLevel="0" collapsed="false">
      <c r="A74" s="36" t="s">
        <v>137</v>
      </c>
      <c r="B74" s="37" t="n">
        <v>45815</v>
      </c>
      <c r="C74" s="36" t="s">
        <v>61</v>
      </c>
      <c r="D74" s="36" t="s">
        <v>70</v>
      </c>
      <c r="E74" s="38" t="n">
        <v>327500</v>
      </c>
      <c r="F74" s="39" t="n">
        <v>12</v>
      </c>
    </row>
    <row r="75" customFormat="false" ht="15" hidden="false" customHeight="false" outlineLevel="0" collapsed="false">
      <c r="A75" s="26" t="s">
        <v>138</v>
      </c>
      <c r="B75" s="27" t="n">
        <v>45917</v>
      </c>
      <c r="C75" s="26" t="s">
        <v>56</v>
      </c>
      <c r="D75" s="26" t="s">
        <v>47</v>
      </c>
      <c r="E75" s="28" t="n">
        <v>408500</v>
      </c>
      <c r="F75" s="29" t="n">
        <v>5</v>
      </c>
    </row>
    <row r="76" customFormat="false" ht="15" hidden="false" customHeight="false" outlineLevel="0" collapsed="false">
      <c r="A76" s="36" t="s">
        <v>139</v>
      </c>
      <c r="B76" s="37" t="n">
        <v>45818</v>
      </c>
      <c r="C76" s="36" t="s">
        <v>79</v>
      </c>
      <c r="D76" s="36" t="s">
        <v>70</v>
      </c>
      <c r="E76" s="38" t="n">
        <v>161500</v>
      </c>
      <c r="F76" s="39" t="n">
        <v>5</v>
      </c>
    </row>
    <row r="77" customFormat="false" ht="15" hidden="false" customHeight="false" outlineLevel="0" collapsed="false">
      <c r="A77" s="26" t="s">
        <v>140</v>
      </c>
      <c r="B77" s="27" t="n">
        <v>45841</v>
      </c>
      <c r="C77" s="26" t="s">
        <v>84</v>
      </c>
      <c r="D77" s="26" t="s">
        <v>47</v>
      </c>
      <c r="E77" s="28" t="n">
        <v>353000</v>
      </c>
      <c r="F77" s="29" t="n">
        <v>5</v>
      </c>
    </row>
    <row r="78" customFormat="false" ht="15" hidden="false" customHeight="false" outlineLevel="0" collapsed="false">
      <c r="A78" s="36" t="s">
        <v>141</v>
      </c>
      <c r="B78" s="37" t="n">
        <v>45927</v>
      </c>
      <c r="C78" s="36" t="s">
        <v>75</v>
      </c>
      <c r="D78" s="36" t="s">
        <v>57</v>
      </c>
      <c r="E78" s="38" t="n">
        <v>388500</v>
      </c>
      <c r="F78" s="39" t="n">
        <v>18</v>
      </c>
    </row>
    <row r="79" customFormat="false" ht="15" hidden="false" customHeight="false" outlineLevel="0" collapsed="false">
      <c r="A79" s="26" t="s">
        <v>142</v>
      </c>
      <c r="B79" s="27" t="n">
        <v>45800</v>
      </c>
      <c r="C79" s="26" t="s">
        <v>73</v>
      </c>
      <c r="D79" s="26" t="s">
        <v>70</v>
      </c>
      <c r="E79" s="28" t="n">
        <v>313000</v>
      </c>
      <c r="F79" s="29" t="n">
        <v>28</v>
      </c>
    </row>
    <row r="80" customFormat="false" ht="15" hidden="false" customHeight="false" outlineLevel="0" collapsed="false">
      <c r="A80" s="36" t="s">
        <v>143</v>
      </c>
      <c r="B80" s="37" t="n">
        <v>46052</v>
      </c>
      <c r="C80" s="36" t="s">
        <v>82</v>
      </c>
      <c r="D80" s="36" t="s">
        <v>52</v>
      </c>
      <c r="E80" s="38" t="n">
        <v>149500</v>
      </c>
      <c r="F80" s="39" t="n">
        <v>12</v>
      </c>
    </row>
    <row r="81" customFormat="false" ht="15" hidden="false" customHeight="false" outlineLevel="0" collapsed="false">
      <c r="A81" s="26" t="s">
        <v>144</v>
      </c>
      <c r="B81" s="27" t="n">
        <v>45983</v>
      </c>
      <c r="C81" s="26" t="s">
        <v>51</v>
      </c>
      <c r="D81" s="26" t="s">
        <v>52</v>
      </c>
      <c r="E81" s="28" t="n">
        <v>340500</v>
      </c>
      <c r="F81" s="29" t="n">
        <v>12</v>
      </c>
    </row>
    <row r="82" customFormat="false" ht="15" hidden="false" customHeight="false" outlineLevel="0" collapsed="false">
      <c r="A82" s="36" t="s">
        <v>145</v>
      </c>
      <c r="B82" s="37" t="n">
        <v>45909</v>
      </c>
      <c r="C82" s="36" t="s">
        <v>114</v>
      </c>
      <c r="D82" s="36" t="s">
        <v>47</v>
      </c>
      <c r="E82" s="38" t="n">
        <v>29000</v>
      </c>
      <c r="F82" s="39" t="n">
        <v>28</v>
      </c>
    </row>
    <row r="83" customFormat="false" ht="15" hidden="false" customHeight="false" outlineLevel="0" collapsed="false">
      <c r="A83" s="26" t="s">
        <v>146</v>
      </c>
      <c r="B83" s="27" t="n">
        <v>45899</v>
      </c>
      <c r="C83" s="26" t="s">
        <v>73</v>
      </c>
      <c r="D83" s="26" t="s">
        <v>62</v>
      </c>
      <c r="E83" s="28" t="n">
        <v>143500</v>
      </c>
      <c r="F83" s="29" t="n">
        <v>12</v>
      </c>
    </row>
    <row r="84" customFormat="false" ht="15" hidden="false" customHeight="false" outlineLevel="0" collapsed="false">
      <c r="A84" s="36" t="s">
        <v>147</v>
      </c>
      <c r="B84" s="37" t="n">
        <v>46034</v>
      </c>
      <c r="C84" s="36" t="s">
        <v>46</v>
      </c>
      <c r="D84" s="36" t="s">
        <v>47</v>
      </c>
      <c r="E84" s="38" t="n">
        <v>3500</v>
      </c>
      <c r="F84" s="39" t="n">
        <v>28</v>
      </c>
    </row>
    <row r="85" customFormat="false" ht="15" hidden="false" customHeight="false" outlineLevel="0" collapsed="false">
      <c r="A85" s="26" t="s">
        <v>148</v>
      </c>
      <c r="B85" s="27" t="n">
        <v>45916</v>
      </c>
      <c r="C85" s="26" t="s">
        <v>114</v>
      </c>
      <c r="D85" s="26" t="s">
        <v>47</v>
      </c>
      <c r="E85" s="28" t="n">
        <v>229000</v>
      </c>
      <c r="F85" s="29" t="n">
        <v>5</v>
      </c>
    </row>
    <row r="86" customFormat="false" ht="15" hidden="false" customHeight="false" outlineLevel="0" collapsed="false">
      <c r="A86" s="36" t="s">
        <v>149</v>
      </c>
      <c r="B86" s="37" t="n">
        <v>46044</v>
      </c>
      <c r="C86" s="36" t="s">
        <v>82</v>
      </c>
      <c r="D86" s="36" t="s">
        <v>47</v>
      </c>
      <c r="E86" s="38" t="n">
        <v>429500</v>
      </c>
      <c r="F86" s="39" t="n">
        <v>5</v>
      </c>
    </row>
    <row r="87" customFormat="false" ht="15" hidden="false" customHeight="false" outlineLevel="0" collapsed="false">
      <c r="A87" s="26" t="s">
        <v>150</v>
      </c>
      <c r="B87" s="27" t="n">
        <v>46089</v>
      </c>
      <c r="C87" s="26" t="s">
        <v>56</v>
      </c>
      <c r="D87" s="26" t="s">
        <v>47</v>
      </c>
      <c r="E87" s="28" t="n">
        <v>131000</v>
      </c>
      <c r="F87" s="29" t="n">
        <v>18</v>
      </c>
    </row>
    <row r="88" customFormat="false" ht="15" hidden="false" customHeight="false" outlineLevel="0" collapsed="false">
      <c r="A88" s="36" t="s">
        <v>151</v>
      </c>
      <c r="B88" s="37" t="n">
        <v>45792</v>
      </c>
      <c r="C88" s="36" t="s">
        <v>69</v>
      </c>
      <c r="D88" s="36" t="s">
        <v>47</v>
      </c>
      <c r="E88" s="38" t="n">
        <v>107500</v>
      </c>
      <c r="F88" s="39" t="n">
        <v>28</v>
      </c>
    </row>
    <row r="89" customFormat="false" ht="15" hidden="false" customHeight="false" outlineLevel="0" collapsed="false">
      <c r="A89" s="26" t="s">
        <v>152</v>
      </c>
      <c r="B89" s="27" t="n">
        <v>45978</v>
      </c>
      <c r="C89" s="26" t="s">
        <v>73</v>
      </c>
      <c r="D89" s="26" t="s">
        <v>52</v>
      </c>
      <c r="E89" s="28" t="n">
        <v>200500</v>
      </c>
      <c r="F89" s="29" t="n">
        <v>12</v>
      </c>
    </row>
    <row r="90" customFormat="false" ht="15" hidden="false" customHeight="false" outlineLevel="0" collapsed="false">
      <c r="A90" s="36" t="s">
        <v>153</v>
      </c>
      <c r="B90" s="37" t="n">
        <v>45873</v>
      </c>
      <c r="C90" s="36" t="s">
        <v>87</v>
      </c>
      <c r="D90" s="36" t="s">
        <v>62</v>
      </c>
      <c r="E90" s="38" t="n">
        <v>112500</v>
      </c>
      <c r="F90" s="39" t="n">
        <v>18</v>
      </c>
    </row>
    <row r="91" customFormat="false" ht="15" hidden="false" customHeight="false" outlineLevel="0" collapsed="false">
      <c r="A91" s="26" t="s">
        <v>154</v>
      </c>
      <c r="B91" s="27" t="n">
        <v>46068</v>
      </c>
      <c r="C91" s="26" t="s">
        <v>114</v>
      </c>
      <c r="D91" s="26" t="s">
        <v>52</v>
      </c>
      <c r="E91" s="28" t="n">
        <v>277000</v>
      </c>
      <c r="F91" s="29" t="n">
        <v>12</v>
      </c>
    </row>
    <row r="92" customFormat="false" ht="15" hidden="false" customHeight="false" outlineLevel="0" collapsed="false">
      <c r="A92" s="36" t="s">
        <v>155</v>
      </c>
      <c r="B92" s="37" t="n">
        <v>45924</v>
      </c>
      <c r="C92" s="36" t="s">
        <v>69</v>
      </c>
      <c r="D92" s="36" t="s">
        <v>62</v>
      </c>
      <c r="E92" s="38" t="n">
        <v>448500</v>
      </c>
      <c r="F92" s="39" t="n">
        <v>28</v>
      </c>
    </row>
    <row r="93" customFormat="false" ht="15" hidden="false" customHeight="false" outlineLevel="0" collapsed="false">
      <c r="A93" s="26" t="s">
        <v>156</v>
      </c>
      <c r="B93" s="27" t="n">
        <v>45832</v>
      </c>
      <c r="C93" s="26" t="s">
        <v>79</v>
      </c>
      <c r="D93" s="26" t="s">
        <v>70</v>
      </c>
      <c r="E93" s="28" t="n">
        <v>396500</v>
      </c>
      <c r="F93" s="29" t="n">
        <v>5</v>
      </c>
    </row>
    <row r="94" customFormat="false" ht="15" hidden="false" customHeight="false" outlineLevel="0" collapsed="false">
      <c r="A94" s="36" t="s">
        <v>157</v>
      </c>
      <c r="B94" s="37" t="n">
        <v>45938</v>
      </c>
      <c r="C94" s="36" t="s">
        <v>114</v>
      </c>
      <c r="D94" s="36" t="s">
        <v>62</v>
      </c>
      <c r="E94" s="38" t="n">
        <v>274500</v>
      </c>
      <c r="F94" s="39" t="n">
        <v>18</v>
      </c>
    </row>
    <row r="95" customFormat="false" ht="15" hidden="false" customHeight="false" outlineLevel="0" collapsed="false">
      <c r="A95" s="26" t="s">
        <v>158</v>
      </c>
      <c r="B95" s="27" t="n">
        <v>46107</v>
      </c>
      <c r="C95" s="26" t="s">
        <v>69</v>
      </c>
      <c r="D95" s="26" t="s">
        <v>62</v>
      </c>
      <c r="E95" s="28" t="n">
        <v>184000</v>
      </c>
      <c r="F95" s="29" t="n">
        <v>28</v>
      </c>
    </row>
    <row r="96" customFormat="false" ht="15" hidden="false" customHeight="false" outlineLevel="0" collapsed="false">
      <c r="A96" s="36" t="s">
        <v>159</v>
      </c>
      <c r="B96" s="37" t="n">
        <v>45793</v>
      </c>
      <c r="C96" s="36" t="s">
        <v>46</v>
      </c>
      <c r="D96" s="36" t="s">
        <v>47</v>
      </c>
      <c r="E96" s="38" t="n">
        <v>290500</v>
      </c>
      <c r="F96" s="39" t="n">
        <v>5</v>
      </c>
    </row>
    <row r="97" customFormat="false" ht="15" hidden="false" customHeight="false" outlineLevel="0" collapsed="false">
      <c r="A97" s="26" t="s">
        <v>160</v>
      </c>
      <c r="B97" s="27" t="n">
        <v>45918</v>
      </c>
      <c r="C97" s="26" t="s">
        <v>46</v>
      </c>
      <c r="D97" s="26" t="s">
        <v>52</v>
      </c>
      <c r="E97" s="28" t="n">
        <v>458000</v>
      </c>
      <c r="F97" s="29" t="n">
        <v>12</v>
      </c>
    </row>
    <row r="98" customFormat="false" ht="15" hidden="false" customHeight="false" outlineLevel="0" collapsed="false">
      <c r="A98" s="36" t="s">
        <v>161</v>
      </c>
      <c r="B98" s="37" t="n">
        <v>45883</v>
      </c>
      <c r="C98" s="36" t="s">
        <v>114</v>
      </c>
      <c r="D98" s="36" t="s">
        <v>52</v>
      </c>
      <c r="E98" s="38" t="n">
        <v>294500</v>
      </c>
      <c r="F98" s="39" t="n">
        <v>28</v>
      </c>
    </row>
    <row r="99" customFormat="false" ht="15" hidden="false" customHeight="false" outlineLevel="0" collapsed="false">
      <c r="A99" s="26" t="s">
        <v>162</v>
      </c>
      <c r="B99" s="27" t="n">
        <v>45845</v>
      </c>
      <c r="C99" s="26" t="s">
        <v>61</v>
      </c>
      <c r="D99" s="26" t="s">
        <v>57</v>
      </c>
      <c r="E99" s="28" t="n">
        <v>154500</v>
      </c>
      <c r="F99" s="29" t="n">
        <v>28</v>
      </c>
    </row>
    <row r="100" customFormat="false" ht="15" hidden="false" customHeight="false" outlineLevel="0" collapsed="false">
      <c r="A100" s="36" t="s">
        <v>163</v>
      </c>
      <c r="B100" s="37" t="n">
        <v>45928</v>
      </c>
      <c r="C100" s="36" t="s">
        <v>87</v>
      </c>
      <c r="D100" s="36" t="s">
        <v>47</v>
      </c>
      <c r="E100" s="38" t="n">
        <v>424500</v>
      </c>
      <c r="F100" s="39" t="n">
        <v>12</v>
      </c>
    </row>
    <row r="101" customFormat="false" ht="15" hidden="false" customHeight="false" outlineLevel="0" collapsed="false">
      <c r="A101" s="26" t="s">
        <v>164</v>
      </c>
      <c r="B101" s="27" t="n">
        <v>45795</v>
      </c>
      <c r="C101" s="26" t="s">
        <v>51</v>
      </c>
      <c r="D101" s="26" t="s">
        <v>52</v>
      </c>
      <c r="E101" s="28" t="n">
        <v>171500</v>
      </c>
      <c r="F101" s="29" t="n">
        <v>5</v>
      </c>
    </row>
    <row r="102" customFormat="false" ht="15" hidden="false" customHeight="false" outlineLevel="0" collapsed="false">
      <c r="A102" s="36" t="s">
        <v>165</v>
      </c>
      <c r="B102" s="37" t="n">
        <v>45884</v>
      </c>
      <c r="C102" s="36" t="s">
        <v>82</v>
      </c>
      <c r="D102" s="36" t="s">
        <v>62</v>
      </c>
      <c r="E102" s="38" t="n">
        <v>291000</v>
      </c>
      <c r="F102" s="39" t="n">
        <v>18</v>
      </c>
    </row>
    <row r="103" customFormat="false" ht="15" hidden="false" customHeight="false" outlineLevel="0" collapsed="false">
      <c r="A103" s="26" t="s">
        <v>166</v>
      </c>
      <c r="B103" s="27" t="n">
        <v>45976</v>
      </c>
      <c r="C103" s="26" t="s">
        <v>82</v>
      </c>
      <c r="D103" s="26" t="s">
        <v>47</v>
      </c>
      <c r="E103" s="28" t="n">
        <v>367000</v>
      </c>
      <c r="F103" s="29" t="n">
        <v>12</v>
      </c>
    </row>
    <row r="104" customFormat="false" ht="15" hidden="false" customHeight="false" outlineLevel="0" collapsed="false">
      <c r="A104" s="36" t="s">
        <v>167</v>
      </c>
      <c r="B104" s="37" t="n">
        <v>45824</v>
      </c>
      <c r="C104" s="36" t="s">
        <v>69</v>
      </c>
      <c r="D104" s="36" t="s">
        <v>62</v>
      </c>
      <c r="E104" s="38" t="n">
        <v>328500</v>
      </c>
      <c r="F104" s="39" t="n">
        <v>5</v>
      </c>
    </row>
    <row r="105" customFormat="false" ht="15" hidden="false" customHeight="false" outlineLevel="0" collapsed="false">
      <c r="A105" s="26" t="s">
        <v>168</v>
      </c>
      <c r="B105" s="27" t="n">
        <v>45992</v>
      </c>
      <c r="C105" s="26" t="s">
        <v>84</v>
      </c>
      <c r="D105" s="26" t="s">
        <v>47</v>
      </c>
      <c r="E105" s="28" t="n">
        <v>147500</v>
      </c>
      <c r="F105" s="29" t="n">
        <v>12</v>
      </c>
    </row>
    <row r="106" customFormat="false" ht="15" hidden="false" customHeight="false" outlineLevel="0" collapsed="false">
      <c r="A106" s="36" t="s">
        <v>169</v>
      </c>
      <c r="B106" s="37" t="n">
        <v>46018</v>
      </c>
      <c r="C106" s="36" t="s">
        <v>46</v>
      </c>
      <c r="D106" s="36" t="s">
        <v>62</v>
      </c>
      <c r="E106" s="38" t="n">
        <v>202500</v>
      </c>
      <c r="F106" s="39" t="n">
        <v>12</v>
      </c>
    </row>
    <row r="107" customFormat="false" ht="15" hidden="false" customHeight="false" outlineLevel="0" collapsed="false">
      <c r="A107" s="26" t="s">
        <v>170</v>
      </c>
      <c r="B107" s="27" t="n">
        <v>45980</v>
      </c>
      <c r="C107" s="26" t="s">
        <v>84</v>
      </c>
      <c r="D107" s="26" t="s">
        <v>70</v>
      </c>
      <c r="E107" s="28" t="n">
        <v>384500</v>
      </c>
      <c r="F107" s="29" t="n">
        <v>5</v>
      </c>
    </row>
    <row r="108" customFormat="false" ht="15" hidden="false" customHeight="false" outlineLevel="0" collapsed="false">
      <c r="A108" s="36" t="s">
        <v>171</v>
      </c>
      <c r="B108" s="37" t="n">
        <v>46106</v>
      </c>
      <c r="C108" s="36" t="s">
        <v>51</v>
      </c>
      <c r="D108" s="36" t="s">
        <v>52</v>
      </c>
      <c r="E108" s="38" t="n">
        <v>194500</v>
      </c>
      <c r="F108" s="39" t="n">
        <v>12</v>
      </c>
    </row>
    <row r="109" customFormat="false" ht="15" hidden="false" customHeight="false" outlineLevel="0" collapsed="false">
      <c r="A109" s="26" t="s">
        <v>172</v>
      </c>
      <c r="B109" s="27" t="n">
        <v>46016</v>
      </c>
      <c r="C109" s="26" t="s">
        <v>56</v>
      </c>
      <c r="D109" s="26" t="s">
        <v>47</v>
      </c>
      <c r="E109" s="28" t="n">
        <v>375000</v>
      </c>
      <c r="F109" s="29" t="n">
        <v>5</v>
      </c>
    </row>
    <row r="110" customFormat="false" ht="15" hidden="false" customHeight="false" outlineLevel="0" collapsed="false">
      <c r="A110" s="36" t="s">
        <v>173</v>
      </c>
      <c r="B110" s="37" t="n">
        <v>45843</v>
      </c>
      <c r="C110" s="36" t="s">
        <v>75</v>
      </c>
      <c r="D110" s="36" t="s">
        <v>47</v>
      </c>
      <c r="E110" s="38" t="n">
        <v>244000</v>
      </c>
      <c r="F110" s="39" t="n">
        <v>5</v>
      </c>
    </row>
    <row r="111" customFormat="false" ht="15" hidden="false" customHeight="false" outlineLevel="0" collapsed="false">
      <c r="A111" s="26" t="s">
        <v>174</v>
      </c>
      <c r="B111" s="27" t="n">
        <v>45964</v>
      </c>
      <c r="C111" s="26" t="s">
        <v>46</v>
      </c>
      <c r="D111" s="26" t="s">
        <v>47</v>
      </c>
      <c r="E111" s="28" t="n">
        <v>263000</v>
      </c>
      <c r="F111" s="29" t="n">
        <v>18</v>
      </c>
    </row>
    <row r="112" customFormat="false" ht="15" hidden="false" customHeight="false" outlineLevel="0" collapsed="false">
      <c r="A112" s="36" t="s">
        <v>175</v>
      </c>
      <c r="B112" s="37" t="n">
        <v>45961</v>
      </c>
      <c r="C112" s="36" t="s">
        <v>51</v>
      </c>
      <c r="D112" s="36" t="s">
        <v>52</v>
      </c>
      <c r="E112" s="38" t="n">
        <v>182500</v>
      </c>
      <c r="F112" s="39" t="n">
        <v>12</v>
      </c>
    </row>
    <row r="113" customFormat="false" ht="15" hidden="false" customHeight="false" outlineLevel="0" collapsed="false">
      <c r="A113" s="26" t="s">
        <v>176</v>
      </c>
      <c r="B113" s="27" t="n">
        <v>45919</v>
      </c>
      <c r="C113" s="26" t="s">
        <v>82</v>
      </c>
      <c r="D113" s="26" t="s">
        <v>62</v>
      </c>
      <c r="E113" s="28" t="n">
        <v>271500</v>
      </c>
      <c r="F113" s="29" t="n">
        <v>18</v>
      </c>
    </row>
    <row r="114" customFormat="false" ht="15" hidden="false" customHeight="false" outlineLevel="0" collapsed="false">
      <c r="A114" s="36" t="s">
        <v>177</v>
      </c>
      <c r="B114" s="37" t="n">
        <v>45804</v>
      </c>
      <c r="C114" s="36" t="s">
        <v>46</v>
      </c>
      <c r="D114" s="36" t="s">
        <v>70</v>
      </c>
      <c r="E114" s="38" t="n">
        <v>374500</v>
      </c>
      <c r="F114" s="39" t="n">
        <v>5</v>
      </c>
    </row>
    <row r="115" customFormat="false" ht="15" hidden="false" customHeight="false" outlineLevel="0" collapsed="false">
      <c r="A115" s="26" t="s">
        <v>178</v>
      </c>
      <c r="B115" s="27" t="n">
        <v>45874</v>
      </c>
      <c r="C115" s="26" t="s">
        <v>75</v>
      </c>
      <c r="D115" s="26" t="s">
        <v>47</v>
      </c>
      <c r="E115" s="28" t="n">
        <v>401000</v>
      </c>
      <c r="F115" s="29" t="n">
        <v>18</v>
      </c>
    </row>
    <row r="116" customFormat="false" ht="15" hidden="false" customHeight="false" outlineLevel="0" collapsed="false">
      <c r="A116" s="36" t="s">
        <v>179</v>
      </c>
      <c r="B116" s="37" t="n">
        <v>46042</v>
      </c>
      <c r="C116" s="36" t="s">
        <v>79</v>
      </c>
      <c r="D116" s="36" t="s">
        <v>57</v>
      </c>
      <c r="E116" s="38" t="n">
        <v>186500</v>
      </c>
      <c r="F116" s="39" t="n">
        <v>28</v>
      </c>
    </row>
    <row r="117" customFormat="false" ht="15" hidden="false" customHeight="false" outlineLevel="0" collapsed="false">
      <c r="A117" s="26" t="s">
        <v>180</v>
      </c>
      <c r="B117" s="27" t="n">
        <v>46063</v>
      </c>
      <c r="C117" s="26" t="s">
        <v>51</v>
      </c>
      <c r="D117" s="26" t="s">
        <v>47</v>
      </c>
      <c r="E117" s="28" t="n">
        <v>97000</v>
      </c>
      <c r="F117" s="29" t="n">
        <v>12</v>
      </c>
    </row>
    <row r="118" customFormat="false" ht="15" hidden="false" customHeight="false" outlineLevel="0" collapsed="false">
      <c r="A118" s="36" t="s">
        <v>181</v>
      </c>
      <c r="B118" s="37" t="n">
        <v>45974</v>
      </c>
      <c r="C118" s="36" t="s">
        <v>61</v>
      </c>
      <c r="D118" s="36" t="s">
        <v>57</v>
      </c>
      <c r="E118" s="38" t="n">
        <v>478500</v>
      </c>
      <c r="F118" s="39" t="n">
        <v>18</v>
      </c>
    </row>
    <row r="119" customFormat="false" ht="15" hidden="false" customHeight="false" outlineLevel="0" collapsed="false">
      <c r="A119" s="26" t="s">
        <v>182</v>
      </c>
      <c r="B119" s="27" t="n">
        <v>45850</v>
      </c>
      <c r="C119" s="26" t="s">
        <v>79</v>
      </c>
      <c r="D119" s="26" t="s">
        <v>52</v>
      </c>
      <c r="E119" s="28" t="n">
        <v>274000</v>
      </c>
      <c r="F119" s="29" t="n">
        <v>5</v>
      </c>
    </row>
    <row r="120" customFormat="false" ht="15" hidden="false" customHeight="false" outlineLevel="0" collapsed="false">
      <c r="A120" s="36" t="s">
        <v>183</v>
      </c>
      <c r="B120" s="37" t="n">
        <v>45837</v>
      </c>
      <c r="C120" s="36" t="s">
        <v>51</v>
      </c>
      <c r="D120" s="36" t="s">
        <v>62</v>
      </c>
      <c r="E120" s="38" t="n">
        <v>375000</v>
      </c>
      <c r="F120" s="39" t="n">
        <v>18</v>
      </c>
    </row>
    <row r="121" customFormat="false" ht="15" hidden="false" customHeight="false" outlineLevel="0" collapsed="false">
      <c r="A121" s="26" t="s">
        <v>184</v>
      </c>
      <c r="B121" s="27" t="n">
        <v>46037</v>
      </c>
      <c r="C121" s="26" t="s">
        <v>114</v>
      </c>
      <c r="D121" s="26" t="s">
        <v>57</v>
      </c>
      <c r="E121" s="28" t="n">
        <v>181500</v>
      </c>
      <c r="F121" s="29" t="n">
        <v>28</v>
      </c>
    </row>
    <row r="122" customFormat="false" ht="15" hidden="false" customHeight="false" outlineLevel="0" collapsed="false">
      <c r="A122" s="36" t="s">
        <v>185</v>
      </c>
      <c r="B122" s="37" t="n">
        <v>46112</v>
      </c>
      <c r="C122" s="36" t="s">
        <v>69</v>
      </c>
      <c r="D122" s="36" t="s">
        <v>57</v>
      </c>
      <c r="E122" s="38" t="n">
        <v>16500</v>
      </c>
      <c r="F122" s="39" t="n">
        <v>18</v>
      </c>
    </row>
    <row r="123" customFormat="false" ht="15" hidden="false" customHeight="false" outlineLevel="0" collapsed="false">
      <c r="A123" s="26" t="s">
        <v>186</v>
      </c>
      <c r="B123" s="27" t="n">
        <v>45823</v>
      </c>
      <c r="C123" s="26" t="s">
        <v>114</v>
      </c>
      <c r="D123" s="26" t="s">
        <v>70</v>
      </c>
      <c r="E123" s="28" t="n">
        <v>423000</v>
      </c>
      <c r="F123" s="29" t="n">
        <v>28</v>
      </c>
    </row>
    <row r="124" customFormat="false" ht="15" hidden="false" customHeight="false" outlineLevel="0" collapsed="false">
      <c r="A124" s="36" t="s">
        <v>187</v>
      </c>
      <c r="B124" s="37" t="n">
        <v>45900</v>
      </c>
      <c r="C124" s="36" t="s">
        <v>69</v>
      </c>
      <c r="D124" s="36" t="s">
        <v>62</v>
      </c>
      <c r="E124" s="38" t="n">
        <v>291000</v>
      </c>
      <c r="F124" s="39" t="n">
        <v>12</v>
      </c>
    </row>
    <row r="125" customFormat="false" ht="15" hidden="false" customHeight="false" outlineLevel="0" collapsed="false">
      <c r="A125" s="26" t="s">
        <v>188</v>
      </c>
      <c r="B125" s="27" t="n">
        <v>45870</v>
      </c>
      <c r="C125" s="26" t="s">
        <v>56</v>
      </c>
      <c r="D125" s="26" t="s">
        <v>52</v>
      </c>
      <c r="E125" s="28" t="n">
        <v>105000</v>
      </c>
      <c r="F125" s="29" t="n">
        <v>12</v>
      </c>
    </row>
    <row r="126" customFormat="false" ht="15" hidden="false" customHeight="false" outlineLevel="0" collapsed="false">
      <c r="A126" s="36" t="s">
        <v>189</v>
      </c>
      <c r="B126" s="37" t="n">
        <v>45873</v>
      </c>
      <c r="C126" s="36" t="s">
        <v>87</v>
      </c>
      <c r="D126" s="36" t="s">
        <v>57</v>
      </c>
      <c r="E126" s="38" t="n">
        <v>443000</v>
      </c>
      <c r="F126" s="39" t="n">
        <v>28</v>
      </c>
    </row>
    <row r="127" customFormat="false" ht="15" hidden="false" customHeight="false" outlineLevel="0" collapsed="false">
      <c r="A127" s="26" t="s">
        <v>190</v>
      </c>
      <c r="B127" s="27" t="n">
        <v>45829</v>
      </c>
      <c r="C127" s="26" t="s">
        <v>87</v>
      </c>
      <c r="D127" s="26" t="s">
        <v>57</v>
      </c>
      <c r="E127" s="28" t="n">
        <v>117500</v>
      </c>
      <c r="F127" s="29" t="n">
        <v>28</v>
      </c>
    </row>
    <row r="128" customFormat="false" ht="15" hidden="false" customHeight="false" outlineLevel="0" collapsed="false">
      <c r="A128" s="36" t="s">
        <v>191</v>
      </c>
      <c r="B128" s="37" t="n">
        <v>46058</v>
      </c>
      <c r="C128" s="36" t="s">
        <v>75</v>
      </c>
      <c r="D128" s="36" t="s">
        <v>47</v>
      </c>
      <c r="E128" s="38" t="n">
        <v>79000</v>
      </c>
      <c r="F128" s="39" t="n">
        <v>12</v>
      </c>
    </row>
  </sheetData>
  <mergeCells count="3">
    <mergeCell ref="A1:M1"/>
    <mergeCell ref="A2:M2"/>
    <mergeCell ref="A3:M5"/>
  </mergeCells>
  <conditionalFormatting sqref="K9:K11">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M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true" outlineLevel="0" max="14" min="13" style="0" width="13"/>
  </cols>
  <sheetData>
    <row r="1" customFormat="false" ht="31.5" hidden="false" customHeight="true" outlineLevel="0" collapsed="false">
      <c r="A1" s="41" t="s">
        <v>214</v>
      </c>
      <c r="B1" s="41"/>
      <c r="C1" s="41"/>
      <c r="D1" s="41"/>
      <c r="E1" s="41"/>
      <c r="F1" s="41"/>
      <c r="G1" s="41"/>
      <c r="H1" s="41"/>
      <c r="I1" s="41"/>
      <c r="J1" s="41"/>
      <c r="K1" s="41"/>
      <c r="L1" s="41"/>
    </row>
    <row r="2" customFormat="false" ht="19.5" hidden="false" customHeight="true" outlineLevel="0" collapsed="false">
      <c r="A2" s="42" t="s">
        <v>215</v>
      </c>
      <c r="B2" s="42"/>
      <c r="C2" s="42"/>
      <c r="D2" s="42"/>
      <c r="E2" s="42"/>
      <c r="F2" s="42"/>
      <c r="G2" s="42"/>
      <c r="H2" s="42"/>
      <c r="I2" s="42"/>
      <c r="J2" s="42"/>
      <c r="K2" s="42"/>
      <c r="L2" s="42"/>
    </row>
    <row r="3" customFormat="false" ht="18.75" hidden="false" customHeight="true" outlineLevel="0" collapsed="false">
      <c r="A3" s="43" t="s">
        <v>216</v>
      </c>
      <c r="B3" s="43"/>
      <c r="C3" s="43"/>
      <c r="D3" s="43"/>
      <c r="E3" s="43"/>
      <c r="F3" s="43"/>
      <c r="G3" s="43"/>
      <c r="H3" s="43"/>
      <c r="I3" s="43"/>
      <c r="J3" s="43"/>
      <c r="K3" s="43"/>
      <c r="L3" s="43"/>
    </row>
    <row r="4" customFormat="false" ht="18.75" hidden="false" customHeight="true" outlineLevel="0" collapsed="false">
      <c r="A4" s="43"/>
      <c r="B4" s="43"/>
      <c r="C4" s="43"/>
      <c r="D4" s="43"/>
      <c r="E4" s="43"/>
      <c r="F4" s="43"/>
      <c r="G4" s="43"/>
      <c r="H4" s="43"/>
      <c r="I4" s="43"/>
      <c r="J4" s="43"/>
      <c r="K4" s="43"/>
      <c r="L4" s="43"/>
    </row>
    <row r="5" customFormat="false" ht="18.75" hidden="false" customHeight="true" outlineLevel="0" collapsed="false">
      <c r="A5" s="43"/>
      <c r="B5" s="43"/>
      <c r="C5" s="43"/>
      <c r="D5" s="43"/>
      <c r="E5" s="43"/>
      <c r="F5" s="43"/>
      <c r="G5" s="43"/>
      <c r="H5" s="43"/>
      <c r="I5" s="43"/>
      <c r="J5" s="43"/>
      <c r="K5" s="43"/>
      <c r="L5" s="43"/>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H8" s="44" t="s">
        <v>14</v>
      </c>
      <c r="I8" s="44" t="s">
        <v>41</v>
      </c>
      <c r="J8" s="44" t="s">
        <v>42</v>
      </c>
      <c r="K8" s="44" t="s">
        <v>43</v>
      </c>
      <c r="L8" s="44" t="s">
        <v>44</v>
      </c>
    </row>
    <row r="9" customFormat="false" ht="33.75" hidden="false" customHeight="true" outlineLevel="0" collapsed="false">
      <c r="A9" s="26" t="s">
        <v>45</v>
      </c>
      <c r="B9" s="27" t="n">
        <v>45870</v>
      </c>
      <c r="C9" s="26" t="s">
        <v>46</v>
      </c>
      <c r="D9" s="26" t="s">
        <v>47</v>
      </c>
      <c r="E9" s="28" t="n">
        <v>102500</v>
      </c>
      <c r="F9" s="29" t="n">
        <v>5</v>
      </c>
      <c r="H9" s="45" t="n">
        <v>1</v>
      </c>
      <c r="I9" s="31" t="s">
        <v>217</v>
      </c>
      <c r="J9" s="57"/>
      <c r="K9" s="33" t="str">
        <f aca="false">IF(ISBLANK(J9),"◯ Not attempted",IF(NOT(_xlfn.ISFORMULA(J9)),"✎ Use a formula",IF(ISNUMBER(J9),IF(ABS(J9-$M$9)&lt;0.005,"✓ Correct","✗ Check again"),"✗ Not a number")))</f>
        <v>◯ Not attempted</v>
      </c>
      <c r="L9" s="34" t="s">
        <v>218</v>
      </c>
      <c r="M9" s="58" t="n">
        <f aca="false">AVERAGEIFS($E$9:$E$128,$D$9:$D$128,"Maharashtra")</f>
        <v>218137.931034483</v>
      </c>
    </row>
    <row r="10" customFormat="false" ht="33.75" hidden="false" customHeight="true" outlineLevel="0" collapsed="false">
      <c r="A10" s="36" t="s">
        <v>50</v>
      </c>
      <c r="B10" s="37" t="n">
        <v>46067</v>
      </c>
      <c r="C10" s="36" t="s">
        <v>51</v>
      </c>
      <c r="D10" s="36" t="s">
        <v>52</v>
      </c>
      <c r="E10" s="38" t="n">
        <v>293000</v>
      </c>
      <c r="F10" s="39" t="n">
        <v>28</v>
      </c>
      <c r="H10" s="45" t="n">
        <v>2</v>
      </c>
      <c r="I10" s="31" t="s">
        <v>219</v>
      </c>
      <c r="J10" s="40"/>
      <c r="K10" s="33" t="str">
        <f aca="false">IF(ISBLANK(J10),"◯ Not attempted",IF(NOT(_xlfn.ISFORMULA(J10)),"✎ Use a formula",IF(ISNUMBER(J10),IF(ABS(J10-$M$10)&lt;0.005,"✓ Correct","✗ Check again"),"✗ Not a number")))</f>
        <v>◯ Not attempted</v>
      </c>
      <c r="L10" s="34" t="s">
        <v>220</v>
      </c>
      <c r="M10" s="0" t="n">
        <f aca="false">_xlfn.MAXIFS($E$9:$E$128,$D$9:$D$128,"Gujarat")</f>
        <v>478500</v>
      </c>
    </row>
    <row r="11" customFormat="false" ht="33.75" hidden="false" customHeight="true" outlineLevel="0" collapsed="false">
      <c r="A11" s="26" t="s">
        <v>55</v>
      </c>
      <c r="B11" s="27" t="n">
        <v>45957</v>
      </c>
      <c r="C11" s="26" t="s">
        <v>56</v>
      </c>
      <c r="D11" s="26" t="s">
        <v>57</v>
      </c>
      <c r="E11" s="28" t="n">
        <v>407000</v>
      </c>
      <c r="F11" s="29" t="n">
        <v>5</v>
      </c>
      <c r="H11" s="45" t="n">
        <v>3</v>
      </c>
      <c r="I11" s="31" t="s">
        <v>221</v>
      </c>
      <c r="J11" s="40"/>
      <c r="K11" s="33" t="str">
        <f aca="false">IF(ISBLANK(J11),"◯ Not attempted",IF(NOT(_xlfn.ISFORMULA(J11)),"✎ Use a formula",IF(ISNUMBER(J11),IF(ABS(J11-$M$11)&lt;0.005,"✓ Correct","✗ Check again"),"✗ Not a number")))</f>
        <v>◯ Not attempted</v>
      </c>
      <c r="L11" s="34" t="s">
        <v>222</v>
      </c>
      <c r="M11" s="0" t="n">
        <f aca="false">_xlfn.MINIFS($E$9:$E$128,$F$9:$F$128,28)</f>
        <v>3500</v>
      </c>
    </row>
    <row r="12" customFormat="false" ht="33.75" hidden="false" customHeight="true" outlineLevel="0" collapsed="false">
      <c r="A12" s="36" t="s">
        <v>60</v>
      </c>
      <c r="B12" s="37" t="n">
        <v>46018</v>
      </c>
      <c r="C12" s="36" t="s">
        <v>61</v>
      </c>
      <c r="D12" s="36" t="s">
        <v>62</v>
      </c>
      <c r="E12" s="38" t="n">
        <v>398000</v>
      </c>
      <c r="F12" s="39" t="n">
        <v>5</v>
      </c>
      <c r="H12" s="45" t="n">
        <v>4</v>
      </c>
      <c r="I12" s="31" t="s">
        <v>223</v>
      </c>
      <c r="J12" s="57"/>
      <c r="K12" s="33" t="str">
        <f aca="false">IF(ISBLANK(J12),"◯ Not attempted",IF(NOT(_xlfn.ISFORMULA(J12)),"✎ Use a formula",IF(ISNUMBER(J12),IF(ABS(J12-$M$12)&lt;0.005,"✓ Correct","✗ Check again"),"✗ Not a number")))</f>
        <v>◯ Not attempted</v>
      </c>
      <c r="L12" s="34" t="s">
        <v>224</v>
      </c>
      <c r="M12" s="58" t="n">
        <f aca="false">AVERAGEIFS($E$9:$E$128,$D$9:$D$128,"Karnataka",$F$9:$F$128,18)</f>
        <v>253333.333333333</v>
      </c>
    </row>
    <row r="13" customFormat="false" ht="15" hidden="false" customHeight="false" outlineLevel="0" collapsed="false">
      <c r="A13" s="26" t="s">
        <v>65</v>
      </c>
      <c r="B13" s="27" t="n">
        <v>45810</v>
      </c>
      <c r="C13" s="26" t="s">
        <v>46</v>
      </c>
      <c r="D13" s="26" t="s">
        <v>52</v>
      </c>
      <c r="E13" s="28" t="n">
        <v>203000</v>
      </c>
      <c r="F13" s="29" t="n">
        <v>12</v>
      </c>
    </row>
    <row r="14" customFormat="false" ht="15" hidden="false" customHeight="false" outlineLevel="0" collapsed="false">
      <c r="A14" s="36" t="s">
        <v>68</v>
      </c>
      <c r="B14" s="37" t="n">
        <v>45896</v>
      </c>
      <c r="C14" s="36" t="s">
        <v>69</v>
      </c>
      <c r="D14" s="36" t="s">
        <v>70</v>
      </c>
      <c r="E14" s="38" t="n">
        <v>424000</v>
      </c>
      <c r="F14" s="39" t="n">
        <v>28</v>
      </c>
    </row>
    <row r="15" customFormat="false" ht="15" hidden="false" customHeight="false" outlineLevel="0" collapsed="false">
      <c r="A15" s="26" t="s">
        <v>71</v>
      </c>
      <c r="B15" s="27" t="n">
        <v>46109</v>
      </c>
      <c r="C15" s="26" t="s">
        <v>69</v>
      </c>
      <c r="D15" s="26" t="s">
        <v>62</v>
      </c>
      <c r="E15" s="28" t="n">
        <v>120000</v>
      </c>
      <c r="F15" s="29" t="n">
        <v>12</v>
      </c>
    </row>
    <row r="16" customFormat="false" ht="15" hidden="false" customHeight="false" outlineLevel="0" collapsed="false">
      <c r="A16" s="36" t="s">
        <v>72</v>
      </c>
      <c r="B16" s="37" t="n">
        <v>45824</v>
      </c>
      <c r="C16" s="36" t="s">
        <v>73</v>
      </c>
      <c r="D16" s="36" t="s">
        <v>62</v>
      </c>
      <c r="E16" s="38" t="n">
        <v>109000</v>
      </c>
      <c r="F16" s="39" t="n">
        <v>18</v>
      </c>
    </row>
    <row r="17" customFormat="false" ht="15" hidden="false" customHeight="false" outlineLevel="0" collapsed="false">
      <c r="A17" s="26" t="s">
        <v>74</v>
      </c>
      <c r="B17" s="27" t="n">
        <v>46107</v>
      </c>
      <c r="C17" s="26" t="s">
        <v>75</v>
      </c>
      <c r="D17" s="26" t="s">
        <v>47</v>
      </c>
      <c r="E17" s="28" t="n">
        <v>426500</v>
      </c>
      <c r="F17" s="29" t="n">
        <v>18</v>
      </c>
    </row>
    <row r="18" customFormat="false" ht="15" hidden="false" customHeight="false" outlineLevel="0" collapsed="false">
      <c r="A18" s="36" t="s">
        <v>76</v>
      </c>
      <c r="B18" s="37" t="n">
        <v>45875</v>
      </c>
      <c r="C18" s="36" t="s">
        <v>46</v>
      </c>
      <c r="D18" s="36" t="s">
        <v>52</v>
      </c>
      <c r="E18" s="38" t="n">
        <v>451000</v>
      </c>
      <c r="F18" s="39" t="n">
        <v>5</v>
      </c>
    </row>
    <row r="19" customFormat="false" ht="15" hidden="false" customHeight="false" outlineLevel="0" collapsed="false">
      <c r="A19" s="26" t="s">
        <v>77</v>
      </c>
      <c r="B19" s="27" t="n">
        <v>45888</v>
      </c>
      <c r="C19" s="26" t="s">
        <v>46</v>
      </c>
      <c r="D19" s="26" t="s">
        <v>62</v>
      </c>
      <c r="E19" s="28" t="n">
        <v>327000</v>
      </c>
      <c r="F19" s="29" t="n">
        <v>12</v>
      </c>
    </row>
    <row r="20" customFormat="false" ht="15" hidden="false" customHeight="false" outlineLevel="0" collapsed="false">
      <c r="A20" s="36" t="s">
        <v>78</v>
      </c>
      <c r="B20" s="37" t="n">
        <v>45784</v>
      </c>
      <c r="C20" s="36" t="s">
        <v>79</v>
      </c>
      <c r="D20" s="36" t="s">
        <v>62</v>
      </c>
      <c r="E20" s="38" t="n">
        <v>463000</v>
      </c>
      <c r="F20" s="39" t="n">
        <v>28</v>
      </c>
    </row>
    <row r="21" customFormat="false" ht="15" hidden="false" customHeight="false" outlineLevel="0" collapsed="false">
      <c r="A21" s="26" t="s">
        <v>80</v>
      </c>
      <c r="B21" s="27" t="n">
        <v>45886</v>
      </c>
      <c r="C21" s="26" t="s">
        <v>61</v>
      </c>
      <c r="D21" s="26" t="s">
        <v>57</v>
      </c>
      <c r="E21" s="28" t="n">
        <v>74500</v>
      </c>
      <c r="F21" s="29" t="n">
        <v>5</v>
      </c>
    </row>
    <row r="22" customFormat="false" ht="15" hidden="false" customHeight="false" outlineLevel="0" collapsed="false">
      <c r="A22" s="36" t="s">
        <v>81</v>
      </c>
      <c r="B22" s="37" t="n">
        <v>45996</v>
      </c>
      <c r="C22" s="36" t="s">
        <v>82</v>
      </c>
      <c r="D22" s="36" t="s">
        <v>57</v>
      </c>
      <c r="E22" s="38" t="n">
        <v>96500</v>
      </c>
      <c r="F22" s="39" t="n">
        <v>28</v>
      </c>
    </row>
    <row r="23" customFormat="false" ht="15" hidden="false" customHeight="false" outlineLevel="0" collapsed="false">
      <c r="A23" s="26" t="s">
        <v>83</v>
      </c>
      <c r="B23" s="27" t="n">
        <v>45913</v>
      </c>
      <c r="C23" s="26" t="s">
        <v>84</v>
      </c>
      <c r="D23" s="26" t="s">
        <v>47</v>
      </c>
      <c r="E23" s="28" t="n">
        <v>330000</v>
      </c>
      <c r="F23" s="29" t="n">
        <v>12</v>
      </c>
    </row>
    <row r="24" customFormat="false" ht="15" hidden="false" customHeight="false" outlineLevel="0" collapsed="false">
      <c r="A24" s="36" t="s">
        <v>85</v>
      </c>
      <c r="B24" s="37" t="n">
        <v>46068</v>
      </c>
      <c r="C24" s="36" t="s">
        <v>82</v>
      </c>
      <c r="D24" s="36" t="s">
        <v>57</v>
      </c>
      <c r="E24" s="38" t="n">
        <v>364000</v>
      </c>
      <c r="F24" s="39" t="n">
        <v>28</v>
      </c>
    </row>
    <row r="25" customFormat="false" ht="15" hidden="false" customHeight="false" outlineLevel="0" collapsed="false">
      <c r="A25" s="26" t="s">
        <v>86</v>
      </c>
      <c r="B25" s="27" t="n">
        <v>45802</v>
      </c>
      <c r="C25" s="26" t="s">
        <v>87</v>
      </c>
      <c r="D25" s="26" t="s">
        <v>47</v>
      </c>
      <c r="E25" s="28" t="n">
        <v>72000</v>
      </c>
      <c r="F25" s="29" t="n">
        <v>12</v>
      </c>
    </row>
    <row r="26" customFormat="false" ht="15" hidden="false" customHeight="false" outlineLevel="0" collapsed="false">
      <c r="A26" s="36" t="s">
        <v>88</v>
      </c>
      <c r="B26" s="37" t="n">
        <v>45846</v>
      </c>
      <c r="C26" s="36" t="s">
        <v>79</v>
      </c>
      <c r="D26" s="36" t="s">
        <v>62</v>
      </c>
      <c r="E26" s="38" t="n">
        <v>352500</v>
      </c>
      <c r="F26" s="39" t="n">
        <v>5</v>
      </c>
    </row>
    <row r="27" customFormat="false" ht="15" hidden="false" customHeight="false" outlineLevel="0" collapsed="false">
      <c r="A27" s="26" t="s">
        <v>89</v>
      </c>
      <c r="B27" s="27" t="n">
        <v>46011</v>
      </c>
      <c r="C27" s="26" t="s">
        <v>79</v>
      </c>
      <c r="D27" s="26" t="s">
        <v>52</v>
      </c>
      <c r="E27" s="28" t="n">
        <v>5000</v>
      </c>
      <c r="F27" s="29" t="n">
        <v>18</v>
      </c>
    </row>
    <row r="28" customFormat="false" ht="15" hidden="false" customHeight="false" outlineLevel="0" collapsed="false">
      <c r="A28" s="36" t="s">
        <v>90</v>
      </c>
      <c r="B28" s="37" t="n">
        <v>45762</v>
      </c>
      <c r="C28" s="36" t="s">
        <v>82</v>
      </c>
      <c r="D28" s="36" t="s">
        <v>52</v>
      </c>
      <c r="E28" s="38" t="n">
        <v>132500</v>
      </c>
      <c r="F28" s="39" t="n">
        <v>12</v>
      </c>
    </row>
    <row r="29" customFormat="false" ht="15" hidden="false" customHeight="false" outlineLevel="0" collapsed="false">
      <c r="A29" s="26" t="s">
        <v>91</v>
      </c>
      <c r="B29" s="27" t="n">
        <v>46100</v>
      </c>
      <c r="C29" s="26" t="s">
        <v>73</v>
      </c>
      <c r="D29" s="26" t="s">
        <v>52</v>
      </c>
      <c r="E29" s="28" t="n">
        <v>348500</v>
      </c>
      <c r="F29" s="29" t="n">
        <v>28</v>
      </c>
    </row>
    <row r="30" customFormat="false" ht="15" hidden="false" customHeight="false" outlineLevel="0" collapsed="false">
      <c r="A30" s="36" t="s">
        <v>92</v>
      </c>
      <c r="B30" s="37" t="n">
        <v>46001</v>
      </c>
      <c r="C30" s="36" t="s">
        <v>61</v>
      </c>
      <c r="D30" s="36" t="s">
        <v>47</v>
      </c>
      <c r="E30" s="38" t="n">
        <v>81500</v>
      </c>
      <c r="F30" s="39" t="n">
        <v>12</v>
      </c>
    </row>
    <row r="31" customFormat="false" ht="15" hidden="false" customHeight="false" outlineLevel="0" collapsed="false">
      <c r="A31" s="26" t="s">
        <v>93</v>
      </c>
      <c r="B31" s="27" t="n">
        <v>45780</v>
      </c>
      <c r="C31" s="26" t="s">
        <v>82</v>
      </c>
      <c r="D31" s="26" t="s">
        <v>52</v>
      </c>
      <c r="E31" s="28" t="n">
        <v>251500</v>
      </c>
      <c r="F31" s="29" t="n">
        <v>28</v>
      </c>
    </row>
    <row r="32" customFormat="false" ht="15" hidden="false" customHeight="false" outlineLevel="0" collapsed="false">
      <c r="A32" s="36" t="s">
        <v>94</v>
      </c>
      <c r="B32" s="37" t="n">
        <v>45856</v>
      </c>
      <c r="C32" s="36" t="s">
        <v>61</v>
      </c>
      <c r="D32" s="36" t="s">
        <v>57</v>
      </c>
      <c r="E32" s="38" t="n">
        <v>233500</v>
      </c>
      <c r="F32" s="39" t="n">
        <v>18</v>
      </c>
    </row>
    <row r="33" customFormat="false" ht="15" hidden="false" customHeight="false" outlineLevel="0" collapsed="false">
      <c r="A33" s="26" t="s">
        <v>95</v>
      </c>
      <c r="B33" s="27" t="n">
        <v>45963</v>
      </c>
      <c r="C33" s="26" t="s">
        <v>87</v>
      </c>
      <c r="D33" s="26" t="s">
        <v>52</v>
      </c>
      <c r="E33" s="28" t="n">
        <v>22500</v>
      </c>
      <c r="F33" s="29" t="n">
        <v>28</v>
      </c>
    </row>
    <row r="34" customFormat="false" ht="15" hidden="false" customHeight="false" outlineLevel="0" collapsed="false">
      <c r="A34" s="36" t="s">
        <v>96</v>
      </c>
      <c r="B34" s="37" t="n">
        <v>45963</v>
      </c>
      <c r="C34" s="36" t="s">
        <v>69</v>
      </c>
      <c r="D34" s="36" t="s">
        <v>70</v>
      </c>
      <c r="E34" s="38" t="n">
        <v>273500</v>
      </c>
      <c r="F34" s="39" t="n">
        <v>18</v>
      </c>
    </row>
    <row r="35" customFormat="false" ht="15" hidden="false" customHeight="false" outlineLevel="0" collapsed="false">
      <c r="A35" s="26" t="s">
        <v>97</v>
      </c>
      <c r="B35" s="27" t="n">
        <v>45969</v>
      </c>
      <c r="C35" s="26" t="s">
        <v>82</v>
      </c>
      <c r="D35" s="26" t="s">
        <v>70</v>
      </c>
      <c r="E35" s="28" t="n">
        <v>106000</v>
      </c>
      <c r="F35" s="29" t="n">
        <v>28</v>
      </c>
    </row>
    <row r="36" customFormat="false" ht="15" hidden="false" customHeight="false" outlineLevel="0" collapsed="false">
      <c r="A36" s="36" t="s">
        <v>98</v>
      </c>
      <c r="B36" s="37" t="n">
        <v>45829</v>
      </c>
      <c r="C36" s="36" t="s">
        <v>87</v>
      </c>
      <c r="D36" s="36" t="s">
        <v>52</v>
      </c>
      <c r="E36" s="38" t="n">
        <v>279000</v>
      </c>
      <c r="F36" s="39" t="n">
        <v>28</v>
      </c>
    </row>
    <row r="37" customFormat="false" ht="15" hidden="false" customHeight="false" outlineLevel="0" collapsed="false">
      <c r="A37" s="26" t="s">
        <v>99</v>
      </c>
      <c r="B37" s="27" t="n">
        <v>46071</v>
      </c>
      <c r="C37" s="26" t="s">
        <v>82</v>
      </c>
      <c r="D37" s="26" t="s">
        <v>52</v>
      </c>
      <c r="E37" s="28" t="n">
        <v>134000</v>
      </c>
      <c r="F37" s="29" t="n">
        <v>12</v>
      </c>
    </row>
    <row r="38" customFormat="false" ht="15" hidden="false" customHeight="false" outlineLevel="0" collapsed="false">
      <c r="A38" s="36" t="s">
        <v>100</v>
      </c>
      <c r="B38" s="37" t="n">
        <v>45922</v>
      </c>
      <c r="C38" s="36" t="s">
        <v>51</v>
      </c>
      <c r="D38" s="36" t="s">
        <v>57</v>
      </c>
      <c r="E38" s="38" t="n">
        <v>332500</v>
      </c>
      <c r="F38" s="39" t="n">
        <v>18</v>
      </c>
    </row>
    <row r="39" customFormat="false" ht="15" hidden="false" customHeight="false" outlineLevel="0" collapsed="false">
      <c r="A39" s="26" t="s">
        <v>101</v>
      </c>
      <c r="B39" s="27" t="n">
        <v>45932</v>
      </c>
      <c r="C39" s="26" t="s">
        <v>56</v>
      </c>
      <c r="D39" s="26" t="s">
        <v>57</v>
      </c>
      <c r="E39" s="28" t="n">
        <v>411500</v>
      </c>
      <c r="F39" s="29" t="n">
        <v>18</v>
      </c>
    </row>
    <row r="40" customFormat="false" ht="15" hidden="false" customHeight="false" outlineLevel="0" collapsed="false">
      <c r="A40" s="36" t="s">
        <v>102</v>
      </c>
      <c r="B40" s="37" t="n">
        <v>46047</v>
      </c>
      <c r="C40" s="36" t="s">
        <v>51</v>
      </c>
      <c r="D40" s="36" t="s">
        <v>47</v>
      </c>
      <c r="E40" s="38" t="n">
        <v>116000</v>
      </c>
      <c r="F40" s="39" t="n">
        <v>18</v>
      </c>
    </row>
    <row r="41" customFormat="false" ht="15" hidden="false" customHeight="false" outlineLevel="0" collapsed="false">
      <c r="A41" s="26" t="s">
        <v>103</v>
      </c>
      <c r="B41" s="27" t="n">
        <v>46008</v>
      </c>
      <c r="C41" s="26" t="s">
        <v>73</v>
      </c>
      <c r="D41" s="26" t="s">
        <v>62</v>
      </c>
      <c r="E41" s="28" t="n">
        <v>285000</v>
      </c>
      <c r="F41" s="29" t="n">
        <v>18</v>
      </c>
    </row>
    <row r="42" customFormat="false" ht="15" hidden="false" customHeight="false" outlineLevel="0" collapsed="false">
      <c r="A42" s="36" t="s">
        <v>104</v>
      </c>
      <c r="B42" s="37" t="n">
        <v>45949</v>
      </c>
      <c r="C42" s="36" t="s">
        <v>61</v>
      </c>
      <c r="D42" s="36" t="s">
        <v>62</v>
      </c>
      <c r="E42" s="38" t="n">
        <v>473500</v>
      </c>
      <c r="F42" s="39" t="n">
        <v>5</v>
      </c>
    </row>
    <row r="43" customFormat="false" ht="15" hidden="false" customHeight="false" outlineLevel="0" collapsed="false">
      <c r="A43" s="26" t="s">
        <v>105</v>
      </c>
      <c r="B43" s="27" t="n">
        <v>45758</v>
      </c>
      <c r="C43" s="26" t="s">
        <v>79</v>
      </c>
      <c r="D43" s="26" t="s">
        <v>57</v>
      </c>
      <c r="E43" s="28" t="n">
        <v>332000</v>
      </c>
      <c r="F43" s="29" t="n">
        <v>5</v>
      </c>
    </row>
    <row r="44" customFormat="false" ht="15" hidden="false" customHeight="false" outlineLevel="0" collapsed="false">
      <c r="A44" s="36" t="s">
        <v>106</v>
      </c>
      <c r="B44" s="37" t="n">
        <v>46082</v>
      </c>
      <c r="C44" s="36" t="s">
        <v>51</v>
      </c>
      <c r="D44" s="36" t="s">
        <v>62</v>
      </c>
      <c r="E44" s="38" t="n">
        <v>310500</v>
      </c>
      <c r="F44" s="39" t="n">
        <v>5</v>
      </c>
    </row>
    <row r="45" customFormat="false" ht="15" hidden="false" customHeight="false" outlineLevel="0" collapsed="false">
      <c r="A45" s="26" t="s">
        <v>107</v>
      </c>
      <c r="B45" s="27" t="n">
        <v>45947</v>
      </c>
      <c r="C45" s="26" t="s">
        <v>75</v>
      </c>
      <c r="D45" s="26" t="s">
        <v>70</v>
      </c>
      <c r="E45" s="28" t="n">
        <v>443000</v>
      </c>
      <c r="F45" s="29" t="n">
        <v>5</v>
      </c>
    </row>
    <row r="46" customFormat="false" ht="15" hidden="false" customHeight="false" outlineLevel="0" collapsed="false">
      <c r="A46" s="36" t="s">
        <v>108</v>
      </c>
      <c r="B46" s="37" t="n">
        <v>45831</v>
      </c>
      <c r="C46" s="36" t="s">
        <v>51</v>
      </c>
      <c r="D46" s="36" t="s">
        <v>62</v>
      </c>
      <c r="E46" s="38" t="n">
        <v>442500</v>
      </c>
      <c r="F46" s="39" t="n">
        <v>12</v>
      </c>
    </row>
    <row r="47" customFormat="false" ht="15" hidden="false" customHeight="false" outlineLevel="0" collapsed="false">
      <c r="A47" s="26" t="s">
        <v>109</v>
      </c>
      <c r="B47" s="27" t="n">
        <v>45910</v>
      </c>
      <c r="C47" s="26" t="s">
        <v>82</v>
      </c>
      <c r="D47" s="26" t="s">
        <v>70</v>
      </c>
      <c r="E47" s="28" t="n">
        <v>85000</v>
      </c>
      <c r="F47" s="29" t="n">
        <v>28</v>
      </c>
    </row>
    <row r="48" customFormat="false" ht="15" hidden="false" customHeight="false" outlineLevel="0" collapsed="false">
      <c r="A48" s="36" t="s">
        <v>110</v>
      </c>
      <c r="B48" s="37" t="n">
        <v>46006</v>
      </c>
      <c r="C48" s="36" t="s">
        <v>87</v>
      </c>
      <c r="D48" s="36" t="s">
        <v>62</v>
      </c>
      <c r="E48" s="38" t="n">
        <v>375000</v>
      </c>
      <c r="F48" s="39" t="n">
        <v>12</v>
      </c>
    </row>
    <row r="49" customFormat="false" ht="15" hidden="false" customHeight="false" outlineLevel="0" collapsed="false">
      <c r="A49" s="26" t="s">
        <v>111</v>
      </c>
      <c r="B49" s="27" t="n">
        <v>45922</v>
      </c>
      <c r="C49" s="26" t="s">
        <v>61</v>
      </c>
      <c r="D49" s="26" t="s">
        <v>70</v>
      </c>
      <c r="E49" s="28" t="n">
        <v>97500</v>
      </c>
      <c r="F49" s="29" t="n">
        <v>28</v>
      </c>
    </row>
    <row r="50" customFormat="false" ht="15" hidden="false" customHeight="false" outlineLevel="0" collapsed="false">
      <c r="A50" s="36" t="s">
        <v>112</v>
      </c>
      <c r="B50" s="37" t="n">
        <v>45758</v>
      </c>
      <c r="C50" s="36" t="s">
        <v>69</v>
      </c>
      <c r="D50" s="36" t="s">
        <v>47</v>
      </c>
      <c r="E50" s="38" t="n">
        <v>123500</v>
      </c>
      <c r="F50" s="39" t="n">
        <v>28</v>
      </c>
    </row>
    <row r="51" customFormat="false" ht="15" hidden="false" customHeight="false" outlineLevel="0" collapsed="false">
      <c r="A51" s="26" t="s">
        <v>113</v>
      </c>
      <c r="B51" s="27" t="n">
        <v>46109</v>
      </c>
      <c r="C51" s="26" t="s">
        <v>114</v>
      </c>
      <c r="D51" s="26" t="s">
        <v>62</v>
      </c>
      <c r="E51" s="28" t="n">
        <v>392500</v>
      </c>
      <c r="F51" s="29" t="n">
        <v>12</v>
      </c>
    </row>
    <row r="52" customFormat="false" ht="15" hidden="false" customHeight="false" outlineLevel="0" collapsed="false">
      <c r="A52" s="36" t="s">
        <v>115</v>
      </c>
      <c r="B52" s="37" t="n">
        <v>45786</v>
      </c>
      <c r="C52" s="36" t="s">
        <v>56</v>
      </c>
      <c r="D52" s="36" t="s">
        <v>70</v>
      </c>
      <c r="E52" s="38" t="n">
        <v>162000</v>
      </c>
      <c r="F52" s="39" t="n">
        <v>18</v>
      </c>
    </row>
    <row r="53" customFormat="false" ht="15" hidden="false" customHeight="false" outlineLevel="0" collapsed="false">
      <c r="A53" s="26" t="s">
        <v>116</v>
      </c>
      <c r="B53" s="27" t="n">
        <v>45951</v>
      </c>
      <c r="C53" s="26" t="s">
        <v>46</v>
      </c>
      <c r="D53" s="26" t="s">
        <v>57</v>
      </c>
      <c r="E53" s="28" t="n">
        <v>391000</v>
      </c>
      <c r="F53" s="29" t="n">
        <v>28</v>
      </c>
    </row>
    <row r="54" customFormat="false" ht="15" hidden="false" customHeight="false" outlineLevel="0" collapsed="false">
      <c r="A54" s="36" t="s">
        <v>117</v>
      </c>
      <c r="B54" s="37" t="n">
        <v>46007</v>
      </c>
      <c r="C54" s="36" t="s">
        <v>73</v>
      </c>
      <c r="D54" s="36" t="s">
        <v>70</v>
      </c>
      <c r="E54" s="38" t="n">
        <v>464000</v>
      </c>
      <c r="F54" s="39" t="n">
        <v>12</v>
      </c>
    </row>
    <row r="55" customFormat="false" ht="15" hidden="false" customHeight="false" outlineLevel="0" collapsed="false">
      <c r="A55" s="26" t="s">
        <v>118</v>
      </c>
      <c r="B55" s="27" t="n">
        <v>45869</v>
      </c>
      <c r="C55" s="26" t="s">
        <v>69</v>
      </c>
      <c r="D55" s="26" t="s">
        <v>52</v>
      </c>
      <c r="E55" s="28" t="n">
        <v>363000</v>
      </c>
      <c r="F55" s="29" t="n">
        <v>5</v>
      </c>
    </row>
    <row r="56" customFormat="false" ht="15" hidden="false" customHeight="false" outlineLevel="0" collapsed="false">
      <c r="A56" s="36" t="s">
        <v>119</v>
      </c>
      <c r="B56" s="37" t="n">
        <v>45839</v>
      </c>
      <c r="C56" s="36" t="s">
        <v>82</v>
      </c>
      <c r="D56" s="36" t="s">
        <v>70</v>
      </c>
      <c r="E56" s="38" t="n">
        <v>60000</v>
      </c>
      <c r="F56" s="39" t="n">
        <v>28</v>
      </c>
    </row>
    <row r="57" customFormat="false" ht="15" hidden="false" customHeight="false" outlineLevel="0" collapsed="false">
      <c r="A57" s="26" t="s">
        <v>120</v>
      </c>
      <c r="B57" s="27" t="n">
        <v>46039</v>
      </c>
      <c r="C57" s="26" t="s">
        <v>79</v>
      </c>
      <c r="D57" s="26" t="s">
        <v>62</v>
      </c>
      <c r="E57" s="28" t="n">
        <v>217500</v>
      </c>
      <c r="F57" s="29" t="n">
        <v>18</v>
      </c>
    </row>
    <row r="58" customFormat="false" ht="15" hidden="false" customHeight="false" outlineLevel="0" collapsed="false">
      <c r="A58" s="36" t="s">
        <v>121</v>
      </c>
      <c r="B58" s="37" t="n">
        <v>45786</v>
      </c>
      <c r="C58" s="36" t="s">
        <v>82</v>
      </c>
      <c r="D58" s="36" t="s">
        <v>47</v>
      </c>
      <c r="E58" s="38" t="n">
        <v>140500</v>
      </c>
      <c r="F58" s="39" t="n">
        <v>28</v>
      </c>
    </row>
    <row r="59" customFormat="false" ht="15" hidden="false" customHeight="false" outlineLevel="0" collapsed="false">
      <c r="A59" s="26" t="s">
        <v>122</v>
      </c>
      <c r="B59" s="27" t="n">
        <v>45788</v>
      </c>
      <c r="C59" s="26" t="s">
        <v>114</v>
      </c>
      <c r="D59" s="26" t="s">
        <v>57</v>
      </c>
      <c r="E59" s="28" t="n">
        <v>391500</v>
      </c>
      <c r="F59" s="29" t="n">
        <v>28</v>
      </c>
    </row>
    <row r="60" customFormat="false" ht="15" hidden="false" customHeight="false" outlineLevel="0" collapsed="false">
      <c r="A60" s="36" t="s">
        <v>123</v>
      </c>
      <c r="B60" s="37" t="n">
        <v>45763</v>
      </c>
      <c r="C60" s="36" t="s">
        <v>61</v>
      </c>
      <c r="D60" s="36" t="s">
        <v>62</v>
      </c>
      <c r="E60" s="38" t="n">
        <v>344000</v>
      </c>
      <c r="F60" s="39" t="n">
        <v>18</v>
      </c>
    </row>
    <row r="61" customFormat="false" ht="15" hidden="false" customHeight="false" outlineLevel="0" collapsed="false">
      <c r="A61" s="26" t="s">
        <v>124</v>
      </c>
      <c r="B61" s="27" t="n">
        <v>45979</v>
      </c>
      <c r="C61" s="26" t="s">
        <v>79</v>
      </c>
      <c r="D61" s="26" t="s">
        <v>57</v>
      </c>
      <c r="E61" s="28" t="n">
        <v>253500</v>
      </c>
      <c r="F61" s="29" t="n">
        <v>18</v>
      </c>
    </row>
    <row r="62" customFormat="false" ht="15" hidden="false" customHeight="false" outlineLevel="0" collapsed="false">
      <c r="A62" s="36" t="s">
        <v>125</v>
      </c>
      <c r="B62" s="37" t="n">
        <v>46067</v>
      </c>
      <c r="C62" s="36" t="s">
        <v>46</v>
      </c>
      <c r="D62" s="36" t="s">
        <v>47</v>
      </c>
      <c r="E62" s="38" t="n">
        <v>14000</v>
      </c>
      <c r="F62" s="39" t="n">
        <v>5</v>
      </c>
    </row>
    <row r="63" customFormat="false" ht="15" hidden="false" customHeight="false" outlineLevel="0" collapsed="false">
      <c r="A63" s="26" t="s">
        <v>126</v>
      </c>
      <c r="B63" s="27" t="n">
        <v>45914</v>
      </c>
      <c r="C63" s="26" t="s">
        <v>73</v>
      </c>
      <c r="D63" s="26" t="s">
        <v>47</v>
      </c>
      <c r="E63" s="28" t="n">
        <v>61000</v>
      </c>
      <c r="F63" s="29" t="n">
        <v>12</v>
      </c>
    </row>
    <row r="64" customFormat="false" ht="15" hidden="false" customHeight="false" outlineLevel="0" collapsed="false">
      <c r="A64" s="36" t="s">
        <v>127</v>
      </c>
      <c r="B64" s="37" t="n">
        <v>46068</v>
      </c>
      <c r="C64" s="36" t="s">
        <v>75</v>
      </c>
      <c r="D64" s="36" t="s">
        <v>52</v>
      </c>
      <c r="E64" s="38" t="n">
        <v>108500</v>
      </c>
      <c r="F64" s="39" t="n">
        <v>5</v>
      </c>
    </row>
    <row r="65" customFormat="false" ht="15" hidden="false" customHeight="false" outlineLevel="0" collapsed="false">
      <c r="A65" s="26" t="s">
        <v>128</v>
      </c>
      <c r="B65" s="27" t="n">
        <v>45890</v>
      </c>
      <c r="C65" s="26" t="s">
        <v>51</v>
      </c>
      <c r="D65" s="26" t="s">
        <v>47</v>
      </c>
      <c r="E65" s="28" t="n">
        <v>479000</v>
      </c>
      <c r="F65" s="29" t="n">
        <v>18</v>
      </c>
    </row>
    <row r="66" customFormat="false" ht="15" hidden="false" customHeight="false" outlineLevel="0" collapsed="false">
      <c r="A66" s="36" t="s">
        <v>129</v>
      </c>
      <c r="B66" s="37" t="n">
        <v>46052</v>
      </c>
      <c r="C66" s="36" t="s">
        <v>114</v>
      </c>
      <c r="D66" s="36" t="s">
        <v>70</v>
      </c>
      <c r="E66" s="38" t="n">
        <v>418000</v>
      </c>
      <c r="F66" s="39" t="n">
        <v>12</v>
      </c>
    </row>
    <row r="67" customFormat="false" ht="15" hidden="false" customHeight="false" outlineLevel="0" collapsed="false">
      <c r="A67" s="26" t="s">
        <v>130</v>
      </c>
      <c r="B67" s="27" t="n">
        <v>45930</v>
      </c>
      <c r="C67" s="26" t="s">
        <v>56</v>
      </c>
      <c r="D67" s="26" t="s">
        <v>57</v>
      </c>
      <c r="E67" s="28" t="n">
        <v>198500</v>
      </c>
      <c r="F67" s="29" t="n">
        <v>12</v>
      </c>
    </row>
    <row r="68" customFormat="false" ht="15" hidden="false" customHeight="false" outlineLevel="0" collapsed="false">
      <c r="A68" s="36" t="s">
        <v>131</v>
      </c>
      <c r="B68" s="37" t="n">
        <v>45954</v>
      </c>
      <c r="C68" s="36" t="s">
        <v>87</v>
      </c>
      <c r="D68" s="36" t="s">
        <v>70</v>
      </c>
      <c r="E68" s="38" t="n">
        <v>317000</v>
      </c>
      <c r="F68" s="39" t="n">
        <v>18</v>
      </c>
    </row>
    <row r="69" customFormat="false" ht="15" hidden="false" customHeight="false" outlineLevel="0" collapsed="false">
      <c r="A69" s="26" t="s">
        <v>132</v>
      </c>
      <c r="B69" s="27" t="n">
        <v>45913</v>
      </c>
      <c r="C69" s="26" t="s">
        <v>46</v>
      </c>
      <c r="D69" s="26" t="s">
        <v>57</v>
      </c>
      <c r="E69" s="28" t="n">
        <v>152000</v>
      </c>
      <c r="F69" s="29" t="n">
        <v>18</v>
      </c>
    </row>
    <row r="70" customFormat="false" ht="15" hidden="false" customHeight="false" outlineLevel="0" collapsed="false">
      <c r="A70" s="36" t="s">
        <v>133</v>
      </c>
      <c r="B70" s="37" t="n">
        <v>45828</v>
      </c>
      <c r="C70" s="36" t="s">
        <v>75</v>
      </c>
      <c r="D70" s="36" t="s">
        <v>70</v>
      </c>
      <c r="E70" s="38" t="n">
        <v>266000</v>
      </c>
      <c r="F70" s="39" t="n">
        <v>18</v>
      </c>
    </row>
    <row r="71" customFormat="false" ht="15" hidden="false" customHeight="false" outlineLevel="0" collapsed="false">
      <c r="A71" s="26" t="s">
        <v>134</v>
      </c>
      <c r="B71" s="27" t="n">
        <v>45943</v>
      </c>
      <c r="C71" s="26" t="s">
        <v>84</v>
      </c>
      <c r="D71" s="26" t="s">
        <v>62</v>
      </c>
      <c r="E71" s="28" t="n">
        <v>151000</v>
      </c>
      <c r="F71" s="29" t="n">
        <v>5</v>
      </c>
    </row>
    <row r="72" customFormat="false" ht="15" hidden="false" customHeight="false" outlineLevel="0" collapsed="false">
      <c r="A72" s="36" t="s">
        <v>135</v>
      </c>
      <c r="B72" s="37" t="n">
        <v>45885</v>
      </c>
      <c r="C72" s="36" t="s">
        <v>84</v>
      </c>
      <c r="D72" s="36" t="s">
        <v>62</v>
      </c>
      <c r="E72" s="38" t="n">
        <v>276000</v>
      </c>
      <c r="F72" s="39" t="n">
        <v>28</v>
      </c>
    </row>
    <row r="73" customFormat="false" ht="15" hidden="false" customHeight="false" outlineLevel="0" collapsed="false">
      <c r="A73" s="26" t="s">
        <v>136</v>
      </c>
      <c r="B73" s="27" t="n">
        <v>46051</v>
      </c>
      <c r="C73" s="26" t="s">
        <v>79</v>
      </c>
      <c r="D73" s="26" t="s">
        <v>57</v>
      </c>
      <c r="E73" s="28" t="n">
        <v>218500</v>
      </c>
      <c r="F73" s="29" t="n">
        <v>5</v>
      </c>
    </row>
    <row r="74" customFormat="false" ht="15" hidden="false" customHeight="false" outlineLevel="0" collapsed="false">
      <c r="A74" s="36" t="s">
        <v>137</v>
      </c>
      <c r="B74" s="37" t="n">
        <v>45815</v>
      </c>
      <c r="C74" s="36" t="s">
        <v>61</v>
      </c>
      <c r="D74" s="36" t="s">
        <v>70</v>
      </c>
      <c r="E74" s="38" t="n">
        <v>327500</v>
      </c>
      <c r="F74" s="39" t="n">
        <v>12</v>
      </c>
    </row>
    <row r="75" customFormat="false" ht="15" hidden="false" customHeight="false" outlineLevel="0" collapsed="false">
      <c r="A75" s="26" t="s">
        <v>138</v>
      </c>
      <c r="B75" s="27" t="n">
        <v>45917</v>
      </c>
      <c r="C75" s="26" t="s">
        <v>56</v>
      </c>
      <c r="D75" s="26" t="s">
        <v>47</v>
      </c>
      <c r="E75" s="28" t="n">
        <v>408500</v>
      </c>
      <c r="F75" s="29" t="n">
        <v>5</v>
      </c>
    </row>
    <row r="76" customFormat="false" ht="15" hidden="false" customHeight="false" outlineLevel="0" collapsed="false">
      <c r="A76" s="36" t="s">
        <v>139</v>
      </c>
      <c r="B76" s="37" t="n">
        <v>45818</v>
      </c>
      <c r="C76" s="36" t="s">
        <v>79</v>
      </c>
      <c r="D76" s="36" t="s">
        <v>70</v>
      </c>
      <c r="E76" s="38" t="n">
        <v>161500</v>
      </c>
      <c r="F76" s="39" t="n">
        <v>5</v>
      </c>
    </row>
    <row r="77" customFormat="false" ht="15" hidden="false" customHeight="false" outlineLevel="0" collapsed="false">
      <c r="A77" s="26" t="s">
        <v>140</v>
      </c>
      <c r="B77" s="27" t="n">
        <v>45841</v>
      </c>
      <c r="C77" s="26" t="s">
        <v>84</v>
      </c>
      <c r="D77" s="26" t="s">
        <v>47</v>
      </c>
      <c r="E77" s="28" t="n">
        <v>353000</v>
      </c>
      <c r="F77" s="29" t="n">
        <v>5</v>
      </c>
    </row>
    <row r="78" customFormat="false" ht="15" hidden="false" customHeight="false" outlineLevel="0" collapsed="false">
      <c r="A78" s="36" t="s">
        <v>141</v>
      </c>
      <c r="B78" s="37" t="n">
        <v>45927</v>
      </c>
      <c r="C78" s="36" t="s">
        <v>75</v>
      </c>
      <c r="D78" s="36" t="s">
        <v>57</v>
      </c>
      <c r="E78" s="38" t="n">
        <v>388500</v>
      </c>
      <c r="F78" s="39" t="n">
        <v>18</v>
      </c>
    </row>
    <row r="79" customFormat="false" ht="15" hidden="false" customHeight="false" outlineLevel="0" collapsed="false">
      <c r="A79" s="26" t="s">
        <v>142</v>
      </c>
      <c r="B79" s="27" t="n">
        <v>45800</v>
      </c>
      <c r="C79" s="26" t="s">
        <v>73</v>
      </c>
      <c r="D79" s="26" t="s">
        <v>70</v>
      </c>
      <c r="E79" s="28" t="n">
        <v>313000</v>
      </c>
      <c r="F79" s="29" t="n">
        <v>28</v>
      </c>
    </row>
    <row r="80" customFormat="false" ht="15" hidden="false" customHeight="false" outlineLevel="0" collapsed="false">
      <c r="A80" s="36" t="s">
        <v>143</v>
      </c>
      <c r="B80" s="37" t="n">
        <v>46052</v>
      </c>
      <c r="C80" s="36" t="s">
        <v>82</v>
      </c>
      <c r="D80" s="36" t="s">
        <v>52</v>
      </c>
      <c r="E80" s="38" t="n">
        <v>149500</v>
      </c>
      <c r="F80" s="39" t="n">
        <v>12</v>
      </c>
    </row>
    <row r="81" customFormat="false" ht="15" hidden="false" customHeight="false" outlineLevel="0" collapsed="false">
      <c r="A81" s="26" t="s">
        <v>144</v>
      </c>
      <c r="B81" s="27" t="n">
        <v>45983</v>
      </c>
      <c r="C81" s="26" t="s">
        <v>51</v>
      </c>
      <c r="D81" s="26" t="s">
        <v>52</v>
      </c>
      <c r="E81" s="28" t="n">
        <v>340500</v>
      </c>
      <c r="F81" s="29" t="n">
        <v>12</v>
      </c>
    </row>
    <row r="82" customFormat="false" ht="15" hidden="false" customHeight="false" outlineLevel="0" collapsed="false">
      <c r="A82" s="36" t="s">
        <v>145</v>
      </c>
      <c r="B82" s="37" t="n">
        <v>45909</v>
      </c>
      <c r="C82" s="36" t="s">
        <v>114</v>
      </c>
      <c r="D82" s="36" t="s">
        <v>47</v>
      </c>
      <c r="E82" s="38" t="n">
        <v>29000</v>
      </c>
      <c r="F82" s="39" t="n">
        <v>28</v>
      </c>
    </row>
    <row r="83" customFormat="false" ht="15" hidden="false" customHeight="false" outlineLevel="0" collapsed="false">
      <c r="A83" s="26" t="s">
        <v>146</v>
      </c>
      <c r="B83" s="27" t="n">
        <v>45899</v>
      </c>
      <c r="C83" s="26" t="s">
        <v>73</v>
      </c>
      <c r="D83" s="26" t="s">
        <v>62</v>
      </c>
      <c r="E83" s="28" t="n">
        <v>143500</v>
      </c>
      <c r="F83" s="29" t="n">
        <v>12</v>
      </c>
    </row>
    <row r="84" customFormat="false" ht="15" hidden="false" customHeight="false" outlineLevel="0" collapsed="false">
      <c r="A84" s="36" t="s">
        <v>147</v>
      </c>
      <c r="B84" s="37" t="n">
        <v>46034</v>
      </c>
      <c r="C84" s="36" t="s">
        <v>46</v>
      </c>
      <c r="D84" s="36" t="s">
        <v>47</v>
      </c>
      <c r="E84" s="38" t="n">
        <v>3500</v>
      </c>
      <c r="F84" s="39" t="n">
        <v>28</v>
      </c>
    </row>
    <row r="85" customFormat="false" ht="15" hidden="false" customHeight="false" outlineLevel="0" collapsed="false">
      <c r="A85" s="26" t="s">
        <v>148</v>
      </c>
      <c r="B85" s="27" t="n">
        <v>45916</v>
      </c>
      <c r="C85" s="26" t="s">
        <v>114</v>
      </c>
      <c r="D85" s="26" t="s">
        <v>47</v>
      </c>
      <c r="E85" s="28" t="n">
        <v>229000</v>
      </c>
      <c r="F85" s="29" t="n">
        <v>5</v>
      </c>
    </row>
    <row r="86" customFormat="false" ht="15" hidden="false" customHeight="false" outlineLevel="0" collapsed="false">
      <c r="A86" s="36" t="s">
        <v>149</v>
      </c>
      <c r="B86" s="37" t="n">
        <v>46044</v>
      </c>
      <c r="C86" s="36" t="s">
        <v>82</v>
      </c>
      <c r="D86" s="36" t="s">
        <v>47</v>
      </c>
      <c r="E86" s="38" t="n">
        <v>429500</v>
      </c>
      <c r="F86" s="39" t="n">
        <v>5</v>
      </c>
    </row>
    <row r="87" customFormat="false" ht="15" hidden="false" customHeight="false" outlineLevel="0" collapsed="false">
      <c r="A87" s="26" t="s">
        <v>150</v>
      </c>
      <c r="B87" s="27" t="n">
        <v>46089</v>
      </c>
      <c r="C87" s="26" t="s">
        <v>56</v>
      </c>
      <c r="D87" s="26" t="s">
        <v>47</v>
      </c>
      <c r="E87" s="28" t="n">
        <v>131000</v>
      </c>
      <c r="F87" s="29" t="n">
        <v>18</v>
      </c>
    </row>
    <row r="88" customFormat="false" ht="15" hidden="false" customHeight="false" outlineLevel="0" collapsed="false">
      <c r="A88" s="36" t="s">
        <v>151</v>
      </c>
      <c r="B88" s="37" t="n">
        <v>45792</v>
      </c>
      <c r="C88" s="36" t="s">
        <v>69</v>
      </c>
      <c r="D88" s="36" t="s">
        <v>47</v>
      </c>
      <c r="E88" s="38" t="n">
        <v>107500</v>
      </c>
      <c r="F88" s="39" t="n">
        <v>28</v>
      </c>
    </row>
    <row r="89" customFormat="false" ht="15" hidden="false" customHeight="false" outlineLevel="0" collapsed="false">
      <c r="A89" s="26" t="s">
        <v>152</v>
      </c>
      <c r="B89" s="27" t="n">
        <v>45978</v>
      </c>
      <c r="C89" s="26" t="s">
        <v>73</v>
      </c>
      <c r="D89" s="26" t="s">
        <v>52</v>
      </c>
      <c r="E89" s="28" t="n">
        <v>200500</v>
      </c>
      <c r="F89" s="29" t="n">
        <v>12</v>
      </c>
    </row>
    <row r="90" customFormat="false" ht="15" hidden="false" customHeight="false" outlineLevel="0" collapsed="false">
      <c r="A90" s="36" t="s">
        <v>153</v>
      </c>
      <c r="B90" s="37" t="n">
        <v>45873</v>
      </c>
      <c r="C90" s="36" t="s">
        <v>87</v>
      </c>
      <c r="D90" s="36" t="s">
        <v>62</v>
      </c>
      <c r="E90" s="38" t="n">
        <v>112500</v>
      </c>
      <c r="F90" s="39" t="n">
        <v>18</v>
      </c>
    </row>
    <row r="91" customFormat="false" ht="15" hidden="false" customHeight="false" outlineLevel="0" collapsed="false">
      <c r="A91" s="26" t="s">
        <v>154</v>
      </c>
      <c r="B91" s="27" t="n">
        <v>46068</v>
      </c>
      <c r="C91" s="26" t="s">
        <v>114</v>
      </c>
      <c r="D91" s="26" t="s">
        <v>52</v>
      </c>
      <c r="E91" s="28" t="n">
        <v>277000</v>
      </c>
      <c r="F91" s="29" t="n">
        <v>12</v>
      </c>
    </row>
    <row r="92" customFormat="false" ht="15" hidden="false" customHeight="false" outlineLevel="0" collapsed="false">
      <c r="A92" s="36" t="s">
        <v>155</v>
      </c>
      <c r="B92" s="37" t="n">
        <v>45924</v>
      </c>
      <c r="C92" s="36" t="s">
        <v>69</v>
      </c>
      <c r="D92" s="36" t="s">
        <v>62</v>
      </c>
      <c r="E92" s="38" t="n">
        <v>448500</v>
      </c>
      <c r="F92" s="39" t="n">
        <v>28</v>
      </c>
    </row>
    <row r="93" customFormat="false" ht="15" hidden="false" customHeight="false" outlineLevel="0" collapsed="false">
      <c r="A93" s="26" t="s">
        <v>156</v>
      </c>
      <c r="B93" s="27" t="n">
        <v>45832</v>
      </c>
      <c r="C93" s="26" t="s">
        <v>79</v>
      </c>
      <c r="D93" s="26" t="s">
        <v>70</v>
      </c>
      <c r="E93" s="28" t="n">
        <v>396500</v>
      </c>
      <c r="F93" s="29" t="n">
        <v>5</v>
      </c>
    </row>
    <row r="94" customFormat="false" ht="15" hidden="false" customHeight="false" outlineLevel="0" collapsed="false">
      <c r="A94" s="36" t="s">
        <v>157</v>
      </c>
      <c r="B94" s="37" t="n">
        <v>45938</v>
      </c>
      <c r="C94" s="36" t="s">
        <v>114</v>
      </c>
      <c r="D94" s="36" t="s">
        <v>62</v>
      </c>
      <c r="E94" s="38" t="n">
        <v>274500</v>
      </c>
      <c r="F94" s="39" t="n">
        <v>18</v>
      </c>
    </row>
    <row r="95" customFormat="false" ht="15" hidden="false" customHeight="false" outlineLevel="0" collapsed="false">
      <c r="A95" s="26" t="s">
        <v>158</v>
      </c>
      <c r="B95" s="27" t="n">
        <v>46107</v>
      </c>
      <c r="C95" s="26" t="s">
        <v>69</v>
      </c>
      <c r="D95" s="26" t="s">
        <v>62</v>
      </c>
      <c r="E95" s="28" t="n">
        <v>184000</v>
      </c>
      <c r="F95" s="29" t="n">
        <v>28</v>
      </c>
    </row>
    <row r="96" customFormat="false" ht="15" hidden="false" customHeight="false" outlineLevel="0" collapsed="false">
      <c r="A96" s="36" t="s">
        <v>159</v>
      </c>
      <c r="B96" s="37" t="n">
        <v>45793</v>
      </c>
      <c r="C96" s="36" t="s">
        <v>46</v>
      </c>
      <c r="D96" s="36" t="s">
        <v>47</v>
      </c>
      <c r="E96" s="38" t="n">
        <v>290500</v>
      </c>
      <c r="F96" s="39" t="n">
        <v>5</v>
      </c>
    </row>
    <row r="97" customFormat="false" ht="15" hidden="false" customHeight="false" outlineLevel="0" collapsed="false">
      <c r="A97" s="26" t="s">
        <v>160</v>
      </c>
      <c r="B97" s="27" t="n">
        <v>45918</v>
      </c>
      <c r="C97" s="26" t="s">
        <v>46</v>
      </c>
      <c r="D97" s="26" t="s">
        <v>52</v>
      </c>
      <c r="E97" s="28" t="n">
        <v>458000</v>
      </c>
      <c r="F97" s="29" t="n">
        <v>12</v>
      </c>
    </row>
    <row r="98" customFormat="false" ht="15" hidden="false" customHeight="false" outlineLevel="0" collapsed="false">
      <c r="A98" s="36" t="s">
        <v>161</v>
      </c>
      <c r="B98" s="37" t="n">
        <v>45883</v>
      </c>
      <c r="C98" s="36" t="s">
        <v>114</v>
      </c>
      <c r="D98" s="36" t="s">
        <v>52</v>
      </c>
      <c r="E98" s="38" t="n">
        <v>294500</v>
      </c>
      <c r="F98" s="39" t="n">
        <v>28</v>
      </c>
    </row>
    <row r="99" customFormat="false" ht="15" hidden="false" customHeight="false" outlineLevel="0" collapsed="false">
      <c r="A99" s="26" t="s">
        <v>162</v>
      </c>
      <c r="B99" s="27" t="n">
        <v>45845</v>
      </c>
      <c r="C99" s="26" t="s">
        <v>61</v>
      </c>
      <c r="D99" s="26" t="s">
        <v>57</v>
      </c>
      <c r="E99" s="28" t="n">
        <v>154500</v>
      </c>
      <c r="F99" s="29" t="n">
        <v>28</v>
      </c>
    </row>
    <row r="100" customFormat="false" ht="15" hidden="false" customHeight="false" outlineLevel="0" collapsed="false">
      <c r="A100" s="36" t="s">
        <v>163</v>
      </c>
      <c r="B100" s="37" t="n">
        <v>45928</v>
      </c>
      <c r="C100" s="36" t="s">
        <v>87</v>
      </c>
      <c r="D100" s="36" t="s">
        <v>47</v>
      </c>
      <c r="E100" s="38" t="n">
        <v>424500</v>
      </c>
      <c r="F100" s="39" t="n">
        <v>12</v>
      </c>
    </row>
    <row r="101" customFormat="false" ht="15" hidden="false" customHeight="false" outlineLevel="0" collapsed="false">
      <c r="A101" s="26" t="s">
        <v>164</v>
      </c>
      <c r="B101" s="27" t="n">
        <v>45795</v>
      </c>
      <c r="C101" s="26" t="s">
        <v>51</v>
      </c>
      <c r="D101" s="26" t="s">
        <v>52</v>
      </c>
      <c r="E101" s="28" t="n">
        <v>171500</v>
      </c>
      <c r="F101" s="29" t="n">
        <v>5</v>
      </c>
    </row>
    <row r="102" customFormat="false" ht="15" hidden="false" customHeight="false" outlineLevel="0" collapsed="false">
      <c r="A102" s="36" t="s">
        <v>165</v>
      </c>
      <c r="B102" s="37" t="n">
        <v>45884</v>
      </c>
      <c r="C102" s="36" t="s">
        <v>82</v>
      </c>
      <c r="D102" s="36" t="s">
        <v>62</v>
      </c>
      <c r="E102" s="38" t="n">
        <v>291000</v>
      </c>
      <c r="F102" s="39" t="n">
        <v>18</v>
      </c>
    </row>
    <row r="103" customFormat="false" ht="15" hidden="false" customHeight="false" outlineLevel="0" collapsed="false">
      <c r="A103" s="26" t="s">
        <v>166</v>
      </c>
      <c r="B103" s="27" t="n">
        <v>45976</v>
      </c>
      <c r="C103" s="26" t="s">
        <v>82</v>
      </c>
      <c r="D103" s="26" t="s">
        <v>47</v>
      </c>
      <c r="E103" s="28" t="n">
        <v>367000</v>
      </c>
      <c r="F103" s="29" t="n">
        <v>12</v>
      </c>
    </row>
    <row r="104" customFormat="false" ht="15" hidden="false" customHeight="false" outlineLevel="0" collapsed="false">
      <c r="A104" s="36" t="s">
        <v>167</v>
      </c>
      <c r="B104" s="37" t="n">
        <v>45824</v>
      </c>
      <c r="C104" s="36" t="s">
        <v>69</v>
      </c>
      <c r="D104" s="36" t="s">
        <v>62</v>
      </c>
      <c r="E104" s="38" t="n">
        <v>328500</v>
      </c>
      <c r="F104" s="39" t="n">
        <v>5</v>
      </c>
    </row>
    <row r="105" customFormat="false" ht="15" hidden="false" customHeight="false" outlineLevel="0" collapsed="false">
      <c r="A105" s="26" t="s">
        <v>168</v>
      </c>
      <c r="B105" s="27" t="n">
        <v>45992</v>
      </c>
      <c r="C105" s="26" t="s">
        <v>84</v>
      </c>
      <c r="D105" s="26" t="s">
        <v>47</v>
      </c>
      <c r="E105" s="28" t="n">
        <v>147500</v>
      </c>
      <c r="F105" s="29" t="n">
        <v>12</v>
      </c>
    </row>
    <row r="106" customFormat="false" ht="15" hidden="false" customHeight="false" outlineLevel="0" collapsed="false">
      <c r="A106" s="36" t="s">
        <v>169</v>
      </c>
      <c r="B106" s="37" t="n">
        <v>46018</v>
      </c>
      <c r="C106" s="36" t="s">
        <v>46</v>
      </c>
      <c r="D106" s="36" t="s">
        <v>62</v>
      </c>
      <c r="E106" s="38" t="n">
        <v>202500</v>
      </c>
      <c r="F106" s="39" t="n">
        <v>12</v>
      </c>
    </row>
    <row r="107" customFormat="false" ht="15" hidden="false" customHeight="false" outlineLevel="0" collapsed="false">
      <c r="A107" s="26" t="s">
        <v>170</v>
      </c>
      <c r="B107" s="27" t="n">
        <v>45980</v>
      </c>
      <c r="C107" s="26" t="s">
        <v>84</v>
      </c>
      <c r="D107" s="26" t="s">
        <v>70</v>
      </c>
      <c r="E107" s="28" t="n">
        <v>384500</v>
      </c>
      <c r="F107" s="29" t="n">
        <v>5</v>
      </c>
    </row>
    <row r="108" customFormat="false" ht="15" hidden="false" customHeight="false" outlineLevel="0" collapsed="false">
      <c r="A108" s="36" t="s">
        <v>171</v>
      </c>
      <c r="B108" s="37" t="n">
        <v>46106</v>
      </c>
      <c r="C108" s="36" t="s">
        <v>51</v>
      </c>
      <c r="D108" s="36" t="s">
        <v>52</v>
      </c>
      <c r="E108" s="38" t="n">
        <v>194500</v>
      </c>
      <c r="F108" s="39" t="n">
        <v>12</v>
      </c>
    </row>
    <row r="109" customFormat="false" ht="15" hidden="false" customHeight="false" outlineLevel="0" collapsed="false">
      <c r="A109" s="26" t="s">
        <v>172</v>
      </c>
      <c r="B109" s="27" t="n">
        <v>46016</v>
      </c>
      <c r="C109" s="26" t="s">
        <v>56</v>
      </c>
      <c r="D109" s="26" t="s">
        <v>47</v>
      </c>
      <c r="E109" s="28" t="n">
        <v>375000</v>
      </c>
      <c r="F109" s="29" t="n">
        <v>5</v>
      </c>
    </row>
    <row r="110" customFormat="false" ht="15" hidden="false" customHeight="false" outlineLevel="0" collapsed="false">
      <c r="A110" s="36" t="s">
        <v>173</v>
      </c>
      <c r="B110" s="37" t="n">
        <v>45843</v>
      </c>
      <c r="C110" s="36" t="s">
        <v>75</v>
      </c>
      <c r="D110" s="36" t="s">
        <v>47</v>
      </c>
      <c r="E110" s="38" t="n">
        <v>244000</v>
      </c>
      <c r="F110" s="39" t="n">
        <v>5</v>
      </c>
    </row>
    <row r="111" customFormat="false" ht="15" hidden="false" customHeight="false" outlineLevel="0" collapsed="false">
      <c r="A111" s="26" t="s">
        <v>174</v>
      </c>
      <c r="B111" s="27" t="n">
        <v>45964</v>
      </c>
      <c r="C111" s="26" t="s">
        <v>46</v>
      </c>
      <c r="D111" s="26" t="s">
        <v>47</v>
      </c>
      <c r="E111" s="28" t="n">
        <v>263000</v>
      </c>
      <c r="F111" s="29" t="n">
        <v>18</v>
      </c>
    </row>
    <row r="112" customFormat="false" ht="15" hidden="false" customHeight="false" outlineLevel="0" collapsed="false">
      <c r="A112" s="36" t="s">
        <v>175</v>
      </c>
      <c r="B112" s="37" t="n">
        <v>45961</v>
      </c>
      <c r="C112" s="36" t="s">
        <v>51</v>
      </c>
      <c r="D112" s="36" t="s">
        <v>52</v>
      </c>
      <c r="E112" s="38" t="n">
        <v>182500</v>
      </c>
      <c r="F112" s="39" t="n">
        <v>12</v>
      </c>
    </row>
    <row r="113" customFormat="false" ht="15" hidden="false" customHeight="false" outlineLevel="0" collapsed="false">
      <c r="A113" s="26" t="s">
        <v>176</v>
      </c>
      <c r="B113" s="27" t="n">
        <v>45919</v>
      </c>
      <c r="C113" s="26" t="s">
        <v>82</v>
      </c>
      <c r="D113" s="26" t="s">
        <v>62</v>
      </c>
      <c r="E113" s="28" t="n">
        <v>271500</v>
      </c>
      <c r="F113" s="29" t="n">
        <v>18</v>
      </c>
    </row>
    <row r="114" customFormat="false" ht="15" hidden="false" customHeight="false" outlineLevel="0" collapsed="false">
      <c r="A114" s="36" t="s">
        <v>177</v>
      </c>
      <c r="B114" s="37" t="n">
        <v>45804</v>
      </c>
      <c r="C114" s="36" t="s">
        <v>46</v>
      </c>
      <c r="D114" s="36" t="s">
        <v>70</v>
      </c>
      <c r="E114" s="38" t="n">
        <v>374500</v>
      </c>
      <c r="F114" s="39" t="n">
        <v>5</v>
      </c>
    </row>
    <row r="115" customFormat="false" ht="15" hidden="false" customHeight="false" outlineLevel="0" collapsed="false">
      <c r="A115" s="26" t="s">
        <v>178</v>
      </c>
      <c r="B115" s="27" t="n">
        <v>45874</v>
      </c>
      <c r="C115" s="26" t="s">
        <v>75</v>
      </c>
      <c r="D115" s="26" t="s">
        <v>47</v>
      </c>
      <c r="E115" s="28" t="n">
        <v>401000</v>
      </c>
      <c r="F115" s="29" t="n">
        <v>18</v>
      </c>
    </row>
    <row r="116" customFormat="false" ht="15" hidden="false" customHeight="false" outlineLevel="0" collapsed="false">
      <c r="A116" s="36" t="s">
        <v>179</v>
      </c>
      <c r="B116" s="37" t="n">
        <v>46042</v>
      </c>
      <c r="C116" s="36" t="s">
        <v>79</v>
      </c>
      <c r="D116" s="36" t="s">
        <v>57</v>
      </c>
      <c r="E116" s="38" t="n">
        <v>186500</v>
      </c>
      <c r="F116" s="39" t="n">
        <v>28</v>
      </c>
    </row>
    <row r="117" customFormat="false" ht="15" hidden="false" customHeight="false" outlineLevel="0" collapsed="false">
      <c r="A117" s="26" t="s">
        <v>180</v>
      </c>
      <c r="B117" s="27" t="n">
        <v>46063</v>
      </c>
      <c r="C117" s="26" t="s">
        <v>51</v>
      </c>
      <c r="D117" s="26" t="s">
        <v>47</v>
      </c>
      <c r="E117" s="28" t="n">
        <v>97000</v>
      </c>
      <c r="F117" s="29" t="n">
        <v>12</v>
      </c>
    </row>
    <row r="118" customFormat="false" ht="15" hidden="false" customHeight="false" outlineLevel="0" collapsed="false">
      <c r="A118" s="36" t="s">
        <v>181</v>
      </c>
      <c r="B118" s="37" t="n">
        <v>45974</v>
      </c>
      <c r="C118" s="36" t="s">
        <v>61</v>
      </c>
      <c r="D118" s="36" t="s">
        <v>57</v>
      </c>
      <c r="E118" s="38" t="n">
        <v>478500</v>
      </c>
      <c r="F118" s="39" t="n">
        <v>18</v>
      </c>
    </row>
    <row r="119" customFormat="false" ht="15" hidden="false" customHeight="false" outlineLevel="0" collapsed="false">
      <c r="A119" s="26" t="s">
        <v>182</v>
      </c>
      <c r="B119" s="27" t="n">
        <v>45850</v>
      </c>
      <c r="C119" s="26" t="s">
        <v>79</v>
      </c>
      <c r="D119" s="26" t="s">
        <v>52</v>
      </c>
      <c r="E119" s="28" t="n">
        <v>274000</v>
      </c>
      <c r="F119" s="29" t="n">
        <v>5</v>
      </c>
    </row>
    <row r="120" customFormat="false" ht="15" hidden="false" customHeight="false" outlineLevel="0" collapsed="false">
      <c r="A120" s="36" t="s">
        <v>183</v>
      </c>
      <c r="B120" s="37" t="n">
        <v>45837</v>
      </c>
      <c r="C120" s="36" t="s">
        <v>51</v>
      </c>
      <c r="D120" s="36" t="s">
        <v>62</v>
      </c>
      <c r="E120" s="38" t="n">
        <v>375000</v>
      </c>
      <c r="F120" s="39" t="n">
        <v>18</v>
      </c>
    </row>
    <row r="121" customFormat="false" ht="15" hidden="false" customHeight="false" outlineLevel="0" collapsed="false">
      <c r="A121" s="26" t="s">
        <v>184</v>
      </c>
      <c r="B121" s="27" t="n">
        <v>46037</v>
      </c>
      <c r="C121" s="26" t="s">
        <v>114</v>
      </c>
      <c r="D121" s="26" t="s">
        <v>57</v>
      </c>
      <c r="E121" s="28" t="n">
        <v>181500</v>
      </c>
      <c r="F121" s="29" t="n">
        <v>28</v>
      </c>
    </row>
    <row r="122" customFormat="false" ht="15" hidden="false" customHeight="false" outlineLevel="0" collapsed="false">
      <c r="A122" s="36" t="s">
        <v>185</v>
      </c>
      <c r="B122" s="37" t="n">
        <v>46112</v>
      </c>
      <c r="C122" s="36" t="s">
        <v>69</v>
      </c>
      <c r="D122" s="36" t="s">
        <v>57</v>
      </c>
      <c r="E122" s="38" t="n">
        <v>16500</v>
      </c>
      <c r="F122" s="39" t="n">
        <v>18</v>
      </c>
    </row>
    <row r="123" customFormat="false" ht="15" hidden="false" customHeight="false" outlineLevel="0" collapsed="false">
      <c r="A123" s="26" t="s">
        <v>186</v>
      </c>
      <c r="B123" s="27" t="n">
        <v>45823</v>
      </c>
      <c r="C123" s="26" t="s">
        <v>114</v>
      </c>
      <c r="D123" s="26" t="s">
        <v>70</v>
      </c>
      <c r="E123" s="28" t="n">
        <v>423000</v>
      </c>
      <c r="F123" s="29" t="n">
        <v>28</v>
      </c>
    </row>
    <row r="124" customFormat="false" ht="15" hidden="false" customHeight="false" outlineLevel="0" collapsed="false">
      <c r="A124" s="36" t="s">
        <v>187</v>
      </c>
      <c r="B124" s="37" t="n">
        <v>45900</v>
      </c>
      <c r="C124" s="36" t="s">
        <v>69</v>
      </c>
      <c r="D124" s="36" t="s">
        <v>62</v>
      </c>
      <c r="E124" s="38" t="n">
        <v>291000</v>
      </c>
      <c r="F124" s="39" t="n">
        <v>12</v>
      </c>
    </row>
    <row r="125" customFormat="false" ht="15" hidden="false" customHeight="false" outlineLevel="0" collapsed="false">
      <c r="A125" s="26" t="s">
        <v>188</v>
      </c>
      <c r="B125" s="27" t="n">
        <v>45870</v>
      </c>
      <c r="C125" s="26" t="s">
        <v>56</v>
      </c>
      <c r="D125" s="26" t="s">
        <v>52</v>
      </c>
      <c r="E125" s="28" t="n">
        <v>105000</v>
      </c>
      <c r="F125" s="29" t="n">
        <v>12</v>
      </c>
    </row>
    <row r="126" customFormat="false" ht="15" hidden="false" customHeight="false" outlineLevel="0" collapsed="false">
      <c r="A126" s="36" t="s">
        <v>189</v>
      </c>
      <c r="B126" s="37" t="n">
        <v>45873</v>
      </c>
      <c r="C126" s="36" t="s">
        <v>87</v>
      </c>
      <c r="D126" s="36" t="s">
        <v>57</v>
      </c>
      <c r="E126" s="38" t="n">
        <v>443000</v>
      </c>
      <c r="F126" s="39" t="n">
        <v>28</v>
      </c>
    </row>
    <row r="127" customFormat="false" ht="15" hidden="false" customHeight="false" outlineLevel="0" collapsed="false">
      <c r="A127" s="26" t="s">
        <v>190</v>
      </c>
      <c r="B127" s="27" t="n">
        <v>45829</v>
      </c>
      <c r="C127" s="26" t="s">
        <v>87</v>
      </c>
      <c r="D127" s="26" t="s">
        <v>57</v>
      </c>
      <c r="E127" s="28" t="n">
        <v>117500</v>
      </c>
      <c r="F127" s="29" t="n">
        <v>28</v>
      </c>
    </row>
    <row r="128" customFormat="false" ht="15" hidden="false" customHeight="false" outlineLevel="0" collapsed="false">
      <c r="A128" s="36" t="s">
        <v>191</v>
      </c>
      <c r="B128" s="37" t="n">
        <v>46058</v>
      </c>
      <c r="C128" s="36" t="s">
        <v>75</v>
      </c>
      <c r="D128" s="36" t="s">
        <v>47</v>
      </c>
      <c r="E128" s="38" t="n">
        <v>79000</v>
      </c>
      <c r="F128" s="39" t="n">
        <v>12</v>
      </c>
    </row>
  </sheetData>
  <mergeCells count="3">
    <mergeCell ref="A1:L1"/>
    <mergeCell ref="A2:L2"/>
    <mergeCell ref="A3:L5"/>
  </mergeCells>
  <conditionalFormatting sqref="K9:K12">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M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true" outlineLevel="0" max="14" min="13" style="0" width="13"/>
  </cols>
  <sheetData>
    <row r="1" customFormat="false" ht="31.5" hidden="false" customHeight="true" outlineLevel="0" collapsed="false">
      <c r="A1" s="46" t="s">
        <v>225</v>
      </c>
      <c r="B1" s="46"/>
      <c r="C1" s="46"/>
      <c r="D1" s="46"/>
      <c r="E1" s="46"/>
      <c r="F1" s="46"/>
      <c r="G1" s="46"/>
      <c r="H1" s="46"/>
      <c r="I1" s="46"/>
      <c r="J1" s="46"/>
      <c r="K1" s="46"/>
      <c r="L1" s="46"/>
    </row>
    <row r="2" customFormat="false" ht="19.5" hidden="false" customHeight="true" outlineLevel="0" collapsed="false">
      <c r="A2" s="47" t="s">
        <v>226</v>
      </c>
      <c r="B2" s="47"/>
      <c r="C2" s="47"/>
      <c r="D2" s="47"/>
      <c r="E2" s="47"/>
      <c r="F2" s="47"/>
      <c r="G2" s="47"/>
      <c r="H2" s="47"/>
      <c r="I2" s="47"/>
      <c r="J2" s="47"/>
      <c r="K2" s="47"/>
      <c r="L2" s="47"/>
    </row>
    <row r="3" customFormat="false" ht="18.75" hidden="false" customHeight="true" outlineLevel="0" collapsed="false">
      <c r="A3" s="48" t="s">
        <v>227</v>
      </c>
      <c r="B3" s="48"/>
      <c r="C3" s="48"/>
      <c r="D3" s="48"/>
      <c r="E3" s="48"/>
      <c r="F3" s="48"/>
      <c r="G3" s="48"/>
      <c r="H3" s="48"/>
      <c r="I3" s="48"/>
      <c r="J3" s="48"/>
      <c r="K3" s="48"/>
      <c r="L3" s="48"/>
    </row>
    <row r="4" customFormat="false" ht="18.75" hidden="false" customHeight="true" outlineLevel="0" collapsed="false">
      <c r="A4" s="48"/>
      <c r="B4" s="48"/>
      <c r="C4" s="48"/>
      <c r="D4" s="48"/>
      <c r="E4" s="48"/>
      <c r="F4" s="48"/>
      <c r="G4" s="48"/>
      <c r="H4" s="48"/>
      <c r="I4" s="48"/>
      <c r="J4" s="48"/>
      <c r="K4" s="48"/>
      <c r="L4" s="48"/>
    </row>
    <row r="5" customFormat="false" ht="18.75" hidden="false" customHeight="true" outlineLevel="0" collapsed="false">
      <c r="A5" s="48"/>
      <c r="B5" s="48"/>
      <c r="C5" s="48"/>
      <c r="D5" s="48"/>
      <c r="E5" s="48"/>
      <c r="F5" s="48"/>
      <c r="G5" s="48"/>
      <c r="H5" s="48"/>
      <c r="I5" s="48"/>
      <c r="J5" s="48"/>
      <c r="K5" s="48"/>
      <c r="L5" s="48"/>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H8" s="12" t="s">
        <v>14</v>
      </c>
      <c r="I8" s="12" t="s">
        <v>41</v>
      </c>
      <c r="J8" s="12" t="s">
        <v>42</v>
      </c>
      <c r="K8" s="12" t="s">
        <v>43</v>
      </c>
      <c r="L8" s="12" t="s">
        <v>44</v>
      </c>
    </row>
    <row r="9" customFormat="false" ht="33.75" hidden="false" customHeight="true" outlineLevel="0" collapsed="false">
      <c r="A9" s="26" t="s">
        <v>45</v>
      </c>
      <c r="B9" s="27" t="n">
        <v>45870</v>
      </c>
      <c r="C9" s="26" t="s">
        <v>46</v>
      </c>
      <c r="D9" s="26" t="s">
        <v>47</v>
      </c>
      <c r="E9" s="28" t="n">
        <v>102500</v>
      </c>
      <c r="F9" s="29" t="n">
        <v>5</v>
      </c>
      <c r="H9" s="49" t="n">
        <v>1</v>
      </c>
      <c r="I9" s="31" t="s">
        <v>228</v>
      </c>
      <c r="J9" s="57"/>
      <c r="K9" s="33" t="str">
        <f aca="false">IF(ISBLANK(J9),"◯ Not attempted",IF(NOT(_xlfn.ISFORMULA(J9)),"✎ Use a formula",IF(ISNUMBER(J9),IF(ABS(J9-$M$9)&lt;0.005,"✓ Correct","✗ Check again"),"✗ Not a number")))</f>
        <v>◯ Not attempted</v>
      </c>
      <c r="L9" s="34" t="s">
        <v>229</v>
      </c>
      <c r="M9" s="58" t="n">
        <f aca="false">SUMPRODUCT($E$9:$E$128,$F$9:$F$128)/100</f>
        <v>4676910</v>
      </c>
    </row>
    <row r="10" customFormat="false" ht="33.75" hidden="false" customHeight="true" outlineLevel="0" collapsed="false">
      <c r="A10" s="36" t="s">
        <v>50</v>
      </c>
      <c r="B10" s="37" t="n">
        <v>46067</v>
      </c>
      <c r="C10" s="36" t="s">
        <v>51</v>
      </c>
      <c r="D10" s="36" t="s">
        <v>52</v>
      </c>
      <c r="E10" s="38" t="n">
        <v>293000</v>
      </c>
      <c r="F10" s="39" t="n">
        <v>28</v>
      </c>
      <c r="H10" s="49" t="n">
        <v>2</v>
      </c>
      <c r="I10" s="31" t="s">
        <v>230</v>
      </c>
      <c r="J10" s="57"/>
      <c r="K10" s="33" t="str">
        <f aca="false">IF(ISBLANK(J10),"◯ Not attempted",IF(NOT(_xlfn.ISFORMULA(J10)),"✎ Use a formula",IF(ISNUMBER(J10),IF(ABS(J10-$M$10)&lt;0.005,"✓ Correct","✗ Check again"),"✗ Not a number")))</f>
        <v>◯ Not attempted</v>
      </c>
      <c r="L10" s="34" t="s">
        <v>231</v>
      </c>
      <c r="M10" s="58" t="n">
        <f aca="false">SUMPRODUCT(($D$9:$D$128="Maharashtra")*$E$9:$E$128*$F$9:$F$128)/100</f>
        <v>761530</v>
      </c>
    </row>
    <row r="11" customFormat="false" ht="33.75" hidden="false" customHeight="true" outlineLevel="0" collapsed="false">
      <c r="A11" s="26" t="s">
        <v>55</v>
      </c>
      <c r="B11" s="27" t="n">
        <v>45957</v>
      </c>
      <c r="C11" s="26" t="s">
        <v>56</v>
      </c>
      <c r="D11" s="26" t="s">
        <v>57</v>
      </c>
      <c r="E11" s="28" t="n">
        <v>407000</v>
      </c>
      <c r="F11" s="29" t="n">
        <v>5</v>
      </c>
      <c r="H11" s="49" t="n">
        <v>3</v>
      </c>
      <c r="I11" s="31" t="s">
        <v>232</v>
      </c>
      <c r="J11" s="40"/>
      <c r="K11" s="33" t="str">
        <f aca="false">IF(ISBLANK(J11),"◯ Not attempted",IF(NOT(_xlfn.ISFORMULA(J11)),"✎ Use a formula",IF(ISNUMBER(J11),IF(ABS(J11-$M$11)&lt;0.005,"✓ Correct","✗ Check again"),"✗ Not a number")))</f>
        <v>◯ Not attempted</v>
      </c>
      <c r="L11" s="34" t="s">
        <v>233</v>
      </c>
      <c r="M11" s="0" t="n">
        <f aca="false">SUMPRODUCT((MONTH($B$9:$B$128)=3)*$E$9:$E$128)</f>
        <v>2124000</v>
      </c>
    </row>
    <row r="12" customFormat="false" ht="33.75" hidden="false" customHeight="true" outlineLevel="0" collapsed="false">
      <c r="A12" s="36" t="s">
        <v>60</v>
      </c>
      <c r="B12" s="37" t="n">
        <v>46018</v>
      </c>
      <c r="C12" s="36" t="s">
        <v>61</v>
      </c>
      <c r="D12" s="36" t="s">
        <v>62</v>
      </c>
      <c r="E12" s="38" t="n">
        <v>398000</v>
      </c>
      <c r="F12" s="39" t="n">
        <v>5</v>
      </c>
      <c r="H12" s="49" t="n">
        <v>4</v>
      </c>
      <c r="I12" s="31" t="s">
        <v>234</v>
      </c>
      <c r="J12" s="32"/>
      <c r="K12" s="33" t="str">
        <f aca="false">IF(ISBLANK(J12),"◯ Not attempted",IF(NOT(_xlfn.ISFORMULA(J12)),"✎ Use a formula",IF(ISNUMBER(J12),IF(ABS(J12-$M$12)&lt;0.005,"✓ Correct","✗ Check again"),"✗ Not a number")))</f>
        <v>◯ Not attempted</v>
      </c>
      <c r="L12" s="34" t="s">
        <v>235</v>
      </c>
      <c r="M12" s="35" t="n">
        <f aca="false">SUMPRODUCT(($D$9:$D$128="Gujarat")+($D$9:$D$128="Delhi"))</f>
        <v>45</v>
      </c>
    </row>
    <row r="13" customFormat="false" ht="15" hidden="false" customHeight="false" outlineLevel="0" collapsed="false">
      <c r="A13" s="26" t="s">
        <v>65</v>
      </c>
      <c r="B13" s="27" t="n">
        <v>45810</v>
      </c>
      <c r="C13" s="26" t="s">
        <v>46</v>
      </c>
      <c r="D13" s="26" t="s">
        <v>52</v>
      </c>
      <c r="E13" s="28" t="n">
        <v>203000</v>
      </c>
      <c r="F13" s="29" t="n">
        <v>12</v>
      </c>
    </row>
    <row r="14" customFormat="false" ht="15" hidden="false" customHeight="false" outlineLevel="0" collapsed="false">
      <c r="A14" s="36" t="s">
        <v>68</v>
      </c>
      <c r="B14" s="37" t="n">
        <v>45896</v>
      </c>
      <c r="C14" s="36" t="s">
        <v>69</v>
      </c>
      <c r="D14" s="36" t="s">
        <v>70</v>
      </c>
      <c r="E14" s="38" t="n">
        <v>424000</v>
      </c>
      <c r="F14" s="39" t="n">
        <v>28</v>
      </c>
    </row>
    <row r="15" customFormat="false" ht="15" hidden="false" customHeight="false" outlineLevel="0" collapsed="false">
      <c r="A15" s="26" t="s">
        <v>71</v>
      </c>
      <c r="B15" s="27" t="n">
        <v>46109</v>
      </c>
      <c r="C15" s="26" t="s">
        <v>69</v>
      </c>
      <c r="D15" s="26" t="s">
        <v>62</v>
      </c>
      <c r="E15" s="28" t="n">
        <v>120000</v>
      </c>
      <c r="F15" s="29" t="n">
        <v>12</v>
      </c>
    </row>
    <row r="16" customFormat="false" ht="15" hidden="false" customHeight="false" outlineLevel="0" collapsed="false">
      <c r="A16" s="36" t="s">
        <v>72</v>
      </c>
      <c r="B16" s="37" t="n">
        <v>45824</v>
      </c>
      <c r="C16" s="36" t="s">
        <v>73</v>
      </c>
      <c r="D16" s="36" t="s">
        <v>62</v>
      </c>
      <c r="E16" s="38" t="n">
        <v>109000</v>
      </c>
      <c r="F16" s="39" t="n">
        <v>18</v>
      </c>
    </row>
    <row r="17" customFormat="false" ht="15" hidden="false" customHeight="false" outlineLevel="0" collapsed="false">
      <c r="A17" s="26" t="s">
        <v>74</v>
      </c>
      <c r="B17" s="27" t="n">
        <v>46107</v>
      </c>
      <c r="C17" s="26" t="s">
        <v>75</v>
      </c>
      <c r="D17" s="26" t="s">
        <v>47</v>
      </c>
      <c r="E17" s="28" t="n">
        <v>426500</v>
      </c>
      <c r="F17" s="29" t="n">
        <v>18</v>
      </c>
    </row>
    <row r="18" customFormat="false" ht="15" hidden="false" customHeight="false" outlineLevel="0" collapsed="false">
      <c r="A18" s="36" t="s">
        <v>76</v>
      </c>
      <c r="B18" s="37" t="n">
        <v>45875</v>
      </c>
      <c r="C18" s="36" t="s">
        <v>46</v>
      </c>
      <c r="D18" s="36" t="s">
        <v>52</v>
      </c>
      <c r="E18" s="38" t="n">
        <v>451000</v>
      </c>
      <c r="F18" s="39" t="n">
        <v>5</v>
      </c>
    </row>
    <row r="19" customFormat="false" ht="15" hidden="false" customHeight="false" outlineLevel="0" collapsed="false">
      <c r="A19" s="26" t="s">
        <v>77</v>
      </c>
      <c r="B19" s="27" t="n">
        <v>45888</v>
      </c>
      <c r="C19" s="26" t="s">
        <v>46</v>
      </c>
      <c r="D19" s="26" t="s">
        <v>62</v>
      </c>
      <c r="E19" s="28" t="n">
        <v>327000</v>
      </c>
      <c r="F19" s="29" t="n">
        <v>12</v>
      </c>
    </row>
    <row r="20" customFormat="false" ht="15" hidden="false" customHeight="false" outlineLevel="0" collapsed="false">
      <c r="A20" s="36" t="s">
        <v>78</v>
      </c>
      <c r="B20" s="37" t="n">
        <v>45784</v>
      </c>
      <c r="C20" s="36" t="s">
        <v>79</v>
      </c>
      <c r="D20" s="36" t="s">
        <v>62</v>
      </c>
      <c r="E20" s="38" t="n">
        <v>463000</v>
      </c>
      <c r="F20" s="39" t="n">
        <v>28</v>
      </c>
    </row>
    <row r="21" customFormat="false" ht="15" hidden="false" customHeight="false" outlineLevel="0" collapsed="false">
      <c r="A21" s="26" t="s">
        <v>80</v>
      </c>
      <c r="B21" s="27" t="n">
        <v>45886</v>
      </c>
      <c r="C21" s="26" t="s">
        <v>61</v>
      </c>
      <c r="D21" s="26" t="s">
        <v>57</v>
      </c>
      <c r="E21" s="28" t="n">
        <v>74500</v>
      </c>
      <c r="F21" s="29" t="n">
        <v>5</v>
      </c>
    </row>
    <row r="22" customFormat="false" ht="15" hidden="false" customHeight="false" outlineLevel="0" collapsed="false">
      <c r="A22" s="36" t="s">
        <v>81</v>
      </c>
      <c r="B22" s="37" t="n">
        <v>45996</v>
      </c>
      <c r="C22" s="36" t="s">
        <v>82</v>
      </c>
      <c r="D22" s="36" t="s">
        <v>57</v>
      </c>
      <c r="E22" s="38" t="n">
        <v>96500</v>
      </c>
      <c r="F22" s="39" t="n">
        <v>28</v>
      </c>
    </row>
    <row r="23" customFormat="false" ht="15" hidden="false" customHeight="false" outlineLevel="0" collapsed="false">
      <c r="A23" s="26" t="s">
        <v>83</v>
      </c>
      <c r="B23" s="27" t="n">
        <v>45913</v>
      </c>
      <c r="C23" s="26" t="s">
        <v>84</v>
      </c>
      <c r="D23" s="26" t="s">
        <v>47</v>
      </c>
      <c r="E23" s="28" t="n">
        <v>330000</v>
      </c>
      <c r="F23" s="29" t="n">
        <v>12</v>
      </c>
    </row>
    <row r="24" customFormat="false" ht="15" hidden="false" customHeight="false" outlineLevel="0" collapsed="false">
      <c r="A24" s="36" t="s">
        <v>85</v>
      </c>
      <c r="B24" s="37" t="n">
        <v>46068</v>
      </c>
      <c r="C24" s="36" t="s">
        <v>82</v>
      </c>
      <c r="D24" s="36" t="s">
        <v>57</v>
      </c>
      <c r="E24" s="38" t="n">
        <v>364000</v>
      </c>
      <c r="F24" s="39" t="n">
        <v>28</v>
      </c>
    </row>
    <row r="25" customFormat="false" ht="15" hidden="false" customHeight="false" outlineLevel="0" collapsed="false">
      <c r="A25" s="26" t="s">
        <v>86</v>
      </c>
      <c r="B25" s="27" t="n">
        <v>45802</v>
      </c>
      <c r="C25" s="26" t="s">
        <v>87</v>
      </c>
      <c r="D25" s="26" t="s">
        <v>47</v>
      </c>
      <c r="E25" s="28" t="n">
        <v>72000</v>
      </c>
      <c r="F25" s="29" t="n">
        <v>12</v>
      </c>
    </row>
    <row r="26" customFormat="false" ht="15" hidden="false" customHeight="false" outlineLevel="0" collapsed="false">
      <c r="A26" s="36" t="s">
        <v>88</v>
      </c>
      <c r="B26" s="37" t="n">
        <v>45846</v>
      </c>
      <c r="C26" s="36" t="s">
        <v>79</v>
      </c>
      <c r="D26" s="36" t="s">
        <v>62</v>
      </c>
      <c r="E26" s="38" t="n">
        <v>352500</v>
      </c>
      <c r="F26" s="39" t="n">
        <v>5</v>
      </c>
    </row>
    <row r="27" customFormat="false" ht="15" hidden="false" customHeight="false" outlineLevel="0" collapsed="false">
      <c r="A27" s="26" t="s">
        <v>89</v>
      </c>
      <c r="B27" s="27" t="n">
        <v>46011</v>
      </c>
      <c r="C27" s="26" t="s">
        <v>79</v>
      </c>
      <c r="D27" s="26" t="s">
        <v>52</v>
      </c>
      <c r="E27" s="28" t="n">
        <v>5000</v>
      </c>
      <c r="F27" s="29" t="n">
        <v>18</v>
      </c>
    </row>
    <row r="28" customFormat="false" ht="15" hidden="false" customHeight="false" outlineLevel="0" collapsed="false">
      <c r="A28" s="36" t="s">
        <v>90</v>
      </c>
      <c r="B28" s="37" t="n">
        <v>45762</v>
      </c>
      <c r="C28" s="36" t="s">
        <v>82</v>
      </c>
      <c r="D28" s="36" t="s">
        <v>52</v>
      </c>
      <c r="E28" s="38" t="n">
        <v>132500</v>
      </c>
      <c r="F28" s="39" t="n">
        <v>12</v>
      </c>
    </row>
    <row r="29" customFormat="false" ht="15" hidden="false" customHeight="false" outlineLevel="0" collapsed="false">
      <c r="A29" s="26" t="s">
        <v>91</v>
      </c>
      <c r="B29" s="27" t="n">
        <v>46100</v>
      </c>
      <c r="C29" s="26" t="s">
        <v>73</v>
      </c>
      <c r="D29" s="26" t="s">
        <v>52</v>
      </c>
      <c r="E29" s="28" t="n">
        <v>348500</v>
      </c>
      <c r="F29" s="29" t="n">
        <v>28</v>
      </c>
    </row>
    <row r="30" customFormat="false" ht="15" hidden="false" customHeight="false" outlineLevel="0" collapsed="false">
      <c r="A30" s="36" t="s">
        <v>92</v>
      </c>
      <c r="B30" s="37" t="n">
        <v>46001</v>
      </c>
      <c r="C30" s="36" t="s">
        <v>61</v>
      </c>
      <c r="D30" s="36" t="s">
        <v>47</v>
      </c>
      <c r="E30" s="38" t="n">
        <v>81500</v>
      </c>
      <c r="F30" s="39" t="n">
        <v>12</v>
      </c>
    </row>
    <row r="31" customFormat="false" ht="15" hidden="false" customHeight="false" outlineLevel="0" collapsed="false">
      <c r="A31" s="26" t="s">
        <v>93</v>
      </c>
      <c r="B31" s="27" t="n">
        <v>45780</v>
      </c>
      <c r="C31" s="26" t="s">
        <v>82</v>
      </c>
      <c r="D31" s="26" t="s">
        <v>52</v>
      </c>
      <c r="E31" s="28" t="n">
        <v>251500</v>
      </c>
      <c r="F31" s="29" t="n">
        <v>28</v>
      </c>
    </row>
    <row r="32" customFormat="false" ht="15" hidden="false" customHeight="false" outlineLevel="0" collapsed="false">
      <c r="A32" s="36" t="s">
        <v>94</v>
      </c>
      <c r="B32" s="37" t="n">
        <v>45856</v>
      </c>
      <c r="C32" s="36" t="s">
        <v>61</v>
      </c>
      <c r="D32" s="36" t="s">
        <v>57</v>
      </c>
      <c r="E32" s="38" t="n">
        <v>233500</v>
      </c>
      <c r="F32" s="39" t="n">
        <v>18</v>
      </c>
    </row>
    <row r="33" customFormat="false" ht="15" hidden="false" customHeight="false" outlineLevel="0" collapsed="false">
      <c r="A33" s="26" t="s">
        <v>95</v>
      </c>
      <c r="B33" s="27" t="n">
        <v>45963</v>
      </c>
      <c r="C33" s="26" t="s">
        <v>87</v>
      </c>
      <c r="D33" s="26" t="s">
        <v>52</v>
      </c>
      <c r="E33" s="28" t="n">
        <v>22500</v>
      </c>
      <c r="F33" s="29" t="n">
        <v>28</v>
      </c>
    </row>
    <row r="34" customFormat="false" ht="15" hidden="false" customHeight="false" outlineLevel="0" collapsed="false">
      <c r="A34" s="36" t="s">
        <v>96</v>
      </c>
      <c r="B34" s="37" t="n">
        <v>45963</v>
      </c>
      <c r="C34" s="36" t="s">
        <v>69</v>
      </c>
      <c r="D34" s="36" t="s">
        <v>70</v>
      </c>
      <c r="E34" s="38" t="n">
        <v>273500</v>
      </c>
      <c r="F34" s="39" t="n">
        <v>18</v>
      </c>
    </row>
    <row r="35" customFormat="false" ht="15" hidden="false" customHeight="false" outlineLevel="0" collapsed="false">
      <c r="A35" s="26" t="s">
        <v>97</v>
      </c>
      <c r="B35" s="27" t="n">
        <v>45969</v>
      </c>
      <c r="C35" s="26" t="s">
        <v>82</v>
      </c>
      <c r="D35" s="26" t="s">
        <v>70</v>
      </c>
      <c r="E35" s="28" t="n">
        <v>106000</v>
      </c>
      <c r="F35" s="29" t="n">
        <v>28</v>
      </c>
    </row>
    <row r="36" customFormat="false" ht="15" hidden="false" customHeight="false" outlineLevel="0" collapsed="false">
      <c r="A36" s="36" t="s">
        <v>98</v>
      </c>
      <c r="B36" s="37" t="n">
        <v>45829</v>
      </c>
      <c r="C36" s="36" t="s">
        <v>87</v>
      </c>
      <c r="D36" s="36" t="s">
        <v>52</v>
      </c>
      <c r="E36" s="38" t="n">
        <v>279000</v>
      </c>
      <c r="F36" s="39" t="n">
        <v>28</v>
      </c>
    </row>
    <row r="37" customFormat="false" ht="15" hidden="false" customHeight="false" outlineLevel="0" collapsed="false">
      <c r="A37" s="26" t="s">
        <v>99</v>
      </c>
      <c r="B37" s="27" t="n">
        <v>46071</v>
      </c>
      <c r="C37" s="26" t="s">
        <v>82</v>
      </c>
      <c r="D37" s="26" t="s">
        <v>52</v>
      </c>
      <c r="E37" s="28" t="n">
        <v>134000</v>
      </c>
      <c r="F37" s="29" t="n">
        <v>12</v>
      </c>
    </row>
    <row r="38" customFormat="false" ht="15" hidden="false" customHeight="false" outlineLevel="0" collapsed="false">
      <c r="A38" s="36" t="s">
        <v>100</v>
      </c>
      <c r="B38" s="37" t="n">
        <v>45922</v>
      </c>
      <c r="C38" s="36" t="s">
        <v>51</v>
      </c>
      <c r="D38" s="36" t="s">
        <v>57</v>
      </c>
      <c r="E38" s="38" t="n">
        <v>332500</v>
      </c>
      <c r="F38" s="39" t="n">
        <v>18</v>
      </c>
    </row>
    <row r="39" customFormat="false" ht="15" hidden="false" customHeight="false" outlineLevel="0" collapsed="false">
      <c r="A39" s="26" t="s">
        <v>101</v>
      </c>
      <c r="B39" s="27" t="n">
        <v>45932</v>
      </c>
      <c r="C39" s="26" t="s">
        <v>56</v>
      </c>
      <c r="D39" s="26" t="s">
        <v>57</v>
      </c>
      <c r="E39" s="28" t="n">
        <v>411500</v>
      </c>
      <c r="F39" s="29" t="n">
        <v>18</v>
      </c>
    </row>
    <row r="40" customFormat="false" ht="15" hidden="false" customHeight="false" outlineLevel="0" collapsed="false">
      <c r="A40" s="36" t="s">
        <v>102</v>
      </c>
      <c r="B40" s="37" t="n">
        <v>46047</v>
      </c>
      <c r="C40" s="36" t="s">
        <v>51</v>
      </c>
      <c r="D40" s="36" t="s">
        <v>47</v>
      </c>
      <c r="E40" s="38" t="n">
        <v>116000</v>
      </c>
      <c r="F40" s="39" t="n">
        <v>18</v>
      </c>
    </row>
    <row r="41" customFormat="false" ht="15" hidden="false" customHeight="false" outlineLevel="0" collapsed="false">
      <c r="A41" s="26" t="s">
        <v>103</v>
      </c>
      <c r="B41" s="27" t="n">
        <v>46008</v>
      </c>
      <c r="C41" s="26" t="s">
        <v>73</v>
      </c>
      <c r="D41" s="26" t="s">
        <v>62</v>
      </c>
      <c r="E41" s="28" t="n">
        <v>285000</v>
      </c>
      <c r="F41" s="29" t="n">
        <v>18</v>
      </c>
    </row>
    <row r="42" customFormat="false" ht="15" hidden="false" customHeight="false" outlineLevel="0" collapsed="false">
      <c r="A42" s="36" t="s">
        <v>104</v>
      </c>
      <c r="B42" s="37" t="n">
        <v>45949</v>
      </c>
      <c r="C42" s="36" t="s">
        <v>61</v>
      </c>
      <c r="D42" s="36" t="s">
        <v>62</v>
      </c>
      <c r="E42" s="38" t="n">
        <v>473500</v>
      </c>
      <c r="F42" s="39" t="n">
        <v>5</v>
      </c>
    </row>
    <row r="43" customFormat="false" ht="15" hidden="false" customHeight="false" outlineLevel="0" collapsed="false">
      <c r="A43" s="26" t="s">
        <v>105</v>
      </c>
      <c r="B43" s="27" t="n">
        <v>45758</v>
      </c>
      <c r="C43" s="26" t="s">
        <v>79</v>
      </c>
      <c r="D43" s="26" t="s">
        <v>57</v>
      </c>
      <c r="E43" s="28" t="n">
        <v>332000</v>
      </c>
      <c r="F43" s="29" t="n">
        <v>5</v>
      </c>
    </row>
    <row r="44" customFormat="false" ht="15" hidden="false" customHeight="false" outlineLevel="0" collapsed="false">
      <c r="A44" s="36" t="s">
        <v>106</v>
      </c>
      <c r="B44" s="37" t="n">
        <v>46082</v>
      </c>
      <c r="C44" s="36" t="s">
        <v>51</v>
      </c>
      <c r="D44" s="36" t="s">
        <v>62</v>
      </c>
      <c r="E44" s="38" t="n">
        <v>310500</v>
      </c>
      <c r="F44" s="39" t="n">
        <v>5</v>
      </c>
    </row>
    <row r="45" customFormat="false" ht="15" hidden="false" customHeight="false" outlineLevel="0" collapsed="false">
      <c r="A45" s="26" t="s">
        <v>107</v>
      </c>
      <c r="B45" s="27" t="n">
        <v>45947</v>
      </c>
      <c r="C45" s="26" t="s">
        <v>75</v>
      </c>
      <c r="D45" s="26" t="s">
        <v>70</v>
      </c>
      <c r="E45" s="28" t="n">
        <v>443000</v>
      </c>
      <c r="F45" s="29" t="n">
        <v>5</v>
      </c>
    </row>
    <row r="46" customFormat="false" ht="15" hidden="false" customHeight="false" outlineLevel="0" collapsed="false">
      <c r="A46" s="36" t="s">
        <v>108</v>
      </c>
      <c r="B46" s="37" t="n">
        <v>45831</v>
      </c>
      <c r="C46" s="36" t="s">
        <v>51</v>
      </c>
      <c r="D46" s="36" t="s">
        <v>62</v>
      </c>
      <c r="E46" s="38" t="n">
        <v>442500</v>
      </c>
      <c r="F46" s="39" t="n">
        <v>12</v>
      </c>
    </row>
    <row r="47" customFormat="false" ht="15" hidden="false" customHeight="false" outlineLevel="0" collapsed="false">
      <c r="A47" s="26" t="s">
        <v>109</v>
      </c>
      <c r="B47" s="27" t="n">
        <v>45910</v>
      </c>
      <c r="C47" s="26" t="s">
        <v>82</v>
      </c>
      <c r="D47" s="26" t="s">
        <v>70</v>
      </c>
      <c r="E47" s="28" t="n">
        <v>85000</v>
      </c>
      <c r="F47" s="29" t="n">
        <v>28</v>
      </c>
    </row>
    <row r="48" customFormat="false" ht="15" hidden="false" customHeight="false" outlineLevel="0" collapsed="false">
      <c r="A48" s="36" t="s">
        <v>110</v>
      </c>
      <c r="B48" s="37" t="n">
        <v>46006</v>
      </c>
      <c r="C48" s="36" t="s">
        <v>87</v>
      </c>
      <c r="D48" s="36" t="s">
        <v>62</v>
      </c>
      <c r="E48" s="38" t="n">
        <v>375000</v>
      </c>
      <c r="F48" s="39" t="n">
        <v>12</v>
      </c>
    </row>
    <row r="49" customFormat="false" ht="15" hidden="false" customHeight="false" outlineLevel="0" collapsed="false">
      <c r="A49" s="26" t="s">
        <v>111</v>
      </c>
      <c r="B49" s="27" t="n">
        <v>45922</v>
      </c>
      <c r="C49" s="26" t="s">
        <v>61</v>
      </c>
      <c r="D49" s="26" t="s">
        <v>70</v>
      </c>
      <c r="E49" s="28" t="n">
        <v>97500</v>
      </c>
      <c r="F49" s="29" t="n">
        <v>28</v>
      </c>
    </row>
    <row r="50" customFormat="false" ht="15" hidden="false" customHeight="false" outlineLevel="0" collapsed="false">
      <c r="A50" s="36" t="s">
        <v>112</v>
      </c>
      <c r="B50" s="37" t="n">
        <v>45758</v>
      </c>
      <c r="C50" s="36" t="s">
        <v>69</v>
      </c>
      <c r="D50" s="36" t="s">
        <v>47</v>
      </c>
      <c r="E50" s="38" t="n">
        <v>123500</v>
      </c>
      <c r="F50" s="39" t="n">
        <v>28</v>
      </c>
    </row>
    <row r="51" customFormat="false" ht="15" hidden="false" customHeight="false" outlineLevel="0" collapsed="false">
      <c r="A51" s="26" t="s">
        <v>113</v>
      </c>
      <c r="B51" s="27" t="n">
        <v>46109</v>
      </c>
      <c r="C51" s="26" t="s">
        <v>114</v>
      </c>
      <c r="D51" s="26" t="s">
        <v>62</v>
      </c>
      <c r="E51" s="28" t="n">
        <v>392500</v>
      </c>
      <c r="F51" s="29" t="n">
        <v>12</v>
      </c>
    </row>
    <row r="52" customFormat="false" ht="15" hidden="false" customHeight="false" outlineLevel="0" collapsed="false">
      <c r="A52" s="36" t="s">
        <v>115</v>
      </c>
      <c r="B52" s="37" t="n">
        <v>45786</v>
      </c>
      <c r="C52" s="36" t="s">
        <v>56</v>
      </c>
      <c r="D52" s="36" t="s">
        <v>70</v>
      </c>
      <c r="E52" s="38" t="n">
        <v>162000</v>
      </c>
      <c r="F52" s="39" t="n">
        <v>18</v>
      </c>
    </row>
    <row r="53" customFormat="false" ht="15" hidden="false" customHeight="false" outlineLevel="0" collapsed="false">
      <c r="A53" s="26" t="s">
        <v>116</v>
      </c>
      <c r="B53" s="27" t="n">
        <v>45951</v>
      </c>
      <c r="C53" s="26" t="s">
        <v>46</v>
      </c>
      <c r="D53" s="26" t="s">
        <v>57</v>
      </c>
      <c r="E53" s="28" t="n">
        <v>391000</v>
      </c>
      <c r="F53" s="29" t="n">
        <v>28</v>
      </c>
    </row>
    <row r="54" customFormat="false" ht="15" hidden="false" customHeight="false" outlineLevel="0" collapsed="false">
      <c r="A54" s="36" t="s">
        <v>117</v>
      </c>
      <c r="B54" s="37" t="n">
        <v>46007</v>
      </c>
      <c r="C54" s="36" t="s">
        <v>73</v>
      </c>
      <c r="D54" s="36" t="s">
        <v>70</v>
      </c>
      <c r="E54" s="38" t="n">
        <v>464000</v>
      </c>
      <c r="F54" s="39" t="n">
        <v>12</v>
      </c>
    </row>
    <row r="55" customFormat="false" ht="15" hidden="false" customHeight="false" outlineLevel="0" collapsed="false">
      <c r="A55" s="26" t="s">
        <v>118</v>
      </c>
      <c r="B55" s="27" t="n">
        <v>45869</v>
      </c>
      <c r="C55" s="26" t="s">
        <v>69</v>
      </c>
      <c r="D55" s="26" t="s">
        <v>52</v>
      </c>
      <c r="E55" s="28" t="n">
        <v>363000</v>
      </c>
      <c r="F55" s="29" t="n">
        <v>5</v>
      </c>
    </row>
    <row r="56" customFormat="false" ht="15" hidden="false" customHeight="false" outlineLevel="0" collapsed="false">
      <c r="A56" s="36" t="s">
        <v>119</v>
      </c>
      <c r="B56" s="37" t="n">
        <v>45839</v>
      </c>
      <c r="C56" s="36" t="s">
        <v>82</v>
      </c>
      <c r="D56" s="36" t="s">
        <v>70</v>
      </c>
      <c r="E56" s="38" t="n">
        <v>60000</v>
      </c>
      <c r="F56" s="39" t="n">
        <v>28</v>
      </c>
    </row>
    <row r="57" customFormat="false" ht="15" hidden="false" customHeight="false" outlineLevel="0" collapsed="false">
      <c r="A57" s="26" t="s">
        <v>120</v>
      </c>
      <c r="B57" s="27" t="n">
        <v>46039</v>
      </c>
      <c r="C57" s="26" t="s">
        <v>79</v>
      </c>
      <c r="D57" s="26" t="s">
        <v>62</v>
      </c>
      <c r="E57" s="28" t="n">
        <v>217500</v>
      </c>
      <c r="F57" s="29" t="n">
        <v>18</v>
      </c>
    </row>
    <row r="58" customFormat="false" ht="15" hidden="false" customHeight="false" outlineLevel="0" collapsed="false">
      <c r="A58" s="36" t="s">
        <v>121</v>
      </c>
      <c r="B58" s="37" t="n">
        <v>45786</v>
      </c>
      <c r="C58" s="36" t="s">
        <v>82</v>
      </c>
      <c r="D58" s="36" t="s">
        <v>47</v>
      </c>
      <c r="E58" s="38" t="n">
        <v>140500</v>
      </c>
      <c r="F58" s="39" t="n">
        <v>28</v>
      </c>
    </row>
    <row r="59" customFormat="false" ht="15" hidden="false" customHeight="false" outlineLevel="0" collapsed="false">
      <c r="A59" s="26" t="s">
        <v>122</v>
      </c>
      <c r="B59" s="27" t="n">
        <v>45788</v>
      </c>
      <c r="C59" s="26" t="s">
        <v>114</v>
      </c>
      <c r="D59" s="26" t="s">
        <v>57</v>
      </c>
      <c r="E59" s="28" t="n">
        <v>391500</v>
      </c>
      <c r="F59" s="29" t="n">
        <v>28</v>
      </c>
    </row>
    <row r="60" customFormat="false" ht="15" hidden="false" customHeight="false" outlineLevel="0" collapsed="false">
      <c r="A60" s="36" t="s">
        <v>123</v>
      </c>
      <c r="B60" s="37" t="n">
        <v>45763</v>
      </c>
      <c r="C60" s="36" t="s">
        <v>61</v>
      </c>
      <c r="D60" s="36" t="s">
        <v>62</v>
      </c>
      <c r="E60" s="38" t="n">
        <v>344000</v>
      </c>
      <c r="F60" s="39" t="n">
        <v>18</v>
      </c>
    </row>
    <row r="61" customFormat="false" ht="15" hidden="false" customHeight="false" outlineLevel="0" collapsed="false">
      <c r="A61" s="26" t="s">
        <v>124</v>
      </c>
      <c r="B61" s="27" t="n">
        <v>45979</v>
      </c>
      <c r="C61" s="26" t="s">
        <v>79</v>
      </c>
      <c r="D61" s="26" t="s">
        <v>57</v>
      </c>
      <c r="E61" s="28" t="n">
        <v>253500</v>
      </c>
      <c r="F61" s="29" t="n">
        <v>18</v>
      </c>
    </row>
    <row r="62" customFormat="false" ht="15" hidden="false" customHeight="false" outlineLevel="0" collapsed="false">
      <c r="A62" s="36" t="s">
        <v>125</v>
      </c>
      <c r="B62" s="37" t="n">
        <v>46067</v>
      </c>
      <c r="C62" s="36" t="s">
        <v>46</v>
      </c>
      <c r="D62" s="36" t="s">
        <v>47</v>
      </c>
      <c r="E62" s="38" t="n">
        <v>14000</v>
      </c>
      <c r="F62" s="39" t="n">
        <v>5</v>
      </c>
    </row>
    <row r="63" customFormat="false" ht="15" hidden="false" customHeight="false" outlineLevel="0" collapsed="false">
      <c r="A63" s="26" t="s">
        <v>126</v>
      </c>
      <c r="B63" s="27" t="n">
        <v>45914</v>
      </c>
      <c r="C63" s="26" t="s">
        <v>73</v>
      </c>
      <c r="D63" s="26" t="s">
        <v>47</v>
      </c>
      <c r="E63" s="28" t="n">
        <v>61000</v>
      </c>
      <c r="F63" s="29" t="n">
        <v>12</v>
      </c>
    </row>
    <row r="64" customFormat="false" ht="15" hidden="false" customHeight="false" outlineLevel="0" collapsed="false">
      <c r="A64" s="36" t="s">
        <v>127</v>
      </c>
      <c r="B64" s="37" t="n">
        <v>46068</v>
      </c>
      <c r="C64" s="36" t="s">
        <v>75</v>
      </c>
      <c r="D64" s="36" t="s">
        <v>52</v>
      </c>
      <c r="E64" s="38" t="n">
        <v>108500</v>
      </c>
      <c r="F64" s="39" t="n">
        <v>5</v>
      </c>
    </row>
    <row r="65" customFormat="false" ht="15" hidden="false" customHeight="false" outlineLevel="0" collapsed="false">
      <c r="A65" s="26" t="s">
        <v>128</v>
      </c>
      <c r="B65" s="27" t="n">
        <v>45890</v>
      </c>
      <c r="C65" s="26" t="s">
        <v>51</v>
      </c>
      <c r="D65" s="26" t="s">
        <v>47</v>
      </c>
      <c r="E65" s="28" t="n">
        <v>479000</v>
      </c>
      <c r="F65" s="29" t="n">
        <v>18</v>
      </c>
    </row>
    <row r="66" customFormat="false" ht="15" hidden="false" customHeight="false" outlineLevel="0" collapsed="false">
      <c r="A66" s="36" t="s">
        <v>129</v>
      </c>
      <c r="B66" s="37" t="n">
        <v>46052</v>
      </c>
      <c r="C66" s="36" t="s">
        <v>114</v>
      </c>
      <c r="D66" s="36" t="s">
        <v>70</v>
      </c>
      <c r="E66" s="38" t="n">
        <v>418000</v>
      </c>
      <c r="F66" s="39" t="n">
        <v>12</v>
      </c>
    </row>
    <row r="67" customFormat="false" ht="15" hidden="false" customHeight="false" outlineLevel="0" collapsed="false">
      <c r="A67" s="26" t="s">
        <v>130</v>
      </c>
      <c r="B67" s="27" t="n">
        <v>45930</v>
      </c>
      <c r="C67" s="26" t="s">
        <v>56</v>
      </c>
      <c r="D67" s="26" t="s">
        <v>57</v>
      </c>
      <c r="E67" s="28" t="n">
        <v>198500</v>
      </c>
      <c r="F67" s="29" t="n">
        <v>12</v>
      </c>
    </row>
    <row r="68" customFormat="false" ht="15" hidden="false" customHeight="false" outlineLevel="0" collapsed="false">
      <c r="A68" s="36" t="s">
        <v>131</v>
      </c>
      <c r="B68" s="37" t="n">
        <v>45954</v>
      </c>
      <c r="C68" s="36" t="s">
        <v>87</v>
      </c>
      <c r="D68" s="36" t="s">
        <v>70</v>
      </c>
      <c r="E68" s="38" t="n">
        <v>317000</v>
      </c>
      <c r="F68" s="39" t="n">
        <v>18</v>
      </c>
    </row>
    <row r="69" customFormat="false" ht="15" hidden="false" customHeight="false" outlineLevel="0" collapsed="false">
      <c r="A69" s="26" t="s">
        <v>132</v>
      </c>
      <c r="B69" s="27" t="n">
        <v>45913</v>
      </c>
      <c r="C69" s="26" t="s">
        <v>46</v>
      </c>
      <c r="D69" s="26" t="s">
        <v>57</v>
      </c>
      <c r="E69" s="28" t="n">
        <v>152000</v>
      </c>
      <c r="F69" s="29" t="n">
        <v>18</v>
      </c>
    </row>
    <row r="70" customFormat="false" ht="15" hidden="false" customHeight="false" outlineLevel="0" collapsed="false">
      <c r="A70" s="36" t="s">
        <v>133</v>
      </c>
      <c r="B70" s="37" t="n">
        <v>45828</v>
      </c>
      <c r="C70" s="36" t="s">
        <v>75</v>
      </c>
      <c r="D70" s="36" t="s">
        <v>70</v>
      </c>
      <c r="E70" s="38" t="n">
        <v>266000</v>
      </c>
      <c r="F70" s="39" t="n">
        <v>18</v>
      </c>
    </row>
    <row r="71" customFormat="false" ht="15" hidden="false" customHeight="false" outlineLevel="0" collapsed="false">
      <c r="A71" s="26" t="s">
        <v>134</v>
      </c>
      <c r="B71" s="27" t="n">
        <v>45943</v>
      </c>
      <c r="C71" s="26" t="s">
        <v>84</v>
      </c>
      <c r="D71" s="26" t="s">
        <v>62</v>
      </c>
      <c r="E71" s="28" t="n">
        <v>151000</v>
      </c>
      <c r="F71" s="29" t="n">
        <v>5</v>
      </c>
    </row>
    <row r="72" customFormat="false" ht="15" hidden="false" customHeight="false" outlineLevel="0" collapsed="false">
      <c r="A72" s="36" t="s">
        <v>135</v>
      </c>
      <c r="B72" s="37" t="n">
        <v>45885</v>
      </c>
      <c r="C72" s="36" t="s">
        <v>84</v>
      </c>
      <c r="D72" s="36" t="s">
        <v>62</v>
      </c>
      <c r="E72" s="38" t="n">
        <v>276000</v>
      </c>
      <c r="F72" s="39" t="n">
        <v>28</v>
      </c>
    </row>
    <row r="73" customFormat="false" ht="15" hidden="false" customHeight="false" outlineLevel="0" collapsed="false">
      <c r="A73" s="26" t="s">
        <v>136</v>
      </c>
      <c r="B73" s="27" t="n">
        <v>46051</v>
      </c>
      <c r="C73" s="26" t="s">
        <v>79</v>
      </c>
      <c r="D73" s="26" t="s">
        <v>57</v>
      </c>
      <c r="E73" s="28" t="n">
        <v>218500</v>
      </c>
      <c r="F73" s="29" t="n">
        <v>5</v>
      </c>
    </row>
    <row r="74" customFormat="false" ht="15" hidden="false" customHeight="false" outlineLevel="0" collapsed="false">
      <c r="A74" s="36" t="s">
        <v>137</v>
      </c>
      <c r="B74" s="37" t="n">
        <v>45815</v>
      </c>
      <c r="C74" s="36" t="s">
        <v>61</v>
      </c>
      <c r="D74" s="36" t="s">
        <v>70</v>
      </c>
      <c r="E74" s="38" t="n">
        <v>327500</v>
      </c>
      <c r="F74" s="39" t="n">
        <v>12</v>
      </c>
    </row>
    <row r="75" customFormat="false" ht="15" hidden="false" customHeight="false" outlineLevel="0" collapsed="false">
      <c r="A75" s="26" t="s">
        <v>138</v>
      </c>
      <c r="B75" s="27" t="n">
        <v>45917</v>
      </c>
      <c r="C75" s="26" t="s">
        <v>56</v>
      </c>
      <c r="D75" s="26" t="s">
        <v>47</v>
      </c>
      <c r="E75" s="28" t="n">
        <v>408500</v>
      </c>
      <c r="F75" s="29" t="n">
        <v>5</v>
      </c>
    </row>
    <row r="76" customFormat="false" ht="15" hidden="false" customHeight="false" outlineLevel="0" collapsed="false">
      <c r="A76" s="36" t="s">
        <v>139</v>
      </c>
      <c r="B76" s="37" t="n">
        <v>45818</v>
      </c>
      <c r="C76" s="36" t="s">
        <v>79</v>
      </c>
      <c r="D76" s="36" t="s">
        <v>70</v>
      </c>
      <c r="E76" s="38" t="n">
        <v>161500</v>
      </c>
      <c r="F76" s="39" t="n">
        <v>5</v>
      </c>
    </row>
    <row r="77" customFormat="false" ht="15" hidden="false" customHeight="false" outlineLevel="0" collapsed="false">
      <c r="A77" s="26" t="s">
        <v>140</v>
      </c>
      <c r="B77" s="27" t="n">
        <v>45841</v>
      </c>
      <c r="C77" s="26" t="s">
        <v>84</v>
      </c>
      <c r="D77" s="26" t="s">
        <v>47</v>
      </c>
      <c r="E77" s="28" t="n">
        <v>353000</v>
      </c>
      <c r="F77" s="29" t="n">
        <v>5</v>
      </c>
    </row>
    <row r="78" customFormat="false" ht="15" hidden="false" customHeight="false" outlineLevel="0" collapsed="false">
      <c r="A78" s="36" t="s">
        <v>141</v>
      </c>
      <c r="B78" s="37" t="n">
        <v>45927</v>
      </c>
      <c r="C78" s="36" t="s">
        <v>75</v>
      </c>
      <c r="D78" s="36" t="s">
        <v>57</v>
      </c>
      <c r="E78" s="38" t="n">
        <v>388500</v>
      </c>
      <c r="F78" s="39" t="n">
        <v>18</v>
      </c>
    </row>
    <row r="79" customFormat="false" ht="15" hidden="false" customHeight="false" outlineLevel="0" collapsed="false">
      <c r="A79" s="26" t="s">
        <v>142</v>
      </c>
      <c r="B79" s="27" t="n">
        <v>45800</v>
      </c>
      <c r="C79" s="26" t="s">
        <v>73</v>
      </c>
      <c r="D79" s="26" t="s">
        <v>70</v>
      </c>
      <c r="E79" s="28" t="n">
        <v>313000</v>
      </c>
      <c r="F79" s="29" t="n">
        <v>28</v>
      </c>
    </row>
    <row r="80" customFormat="false" ht="15" hidden="false" customHeight="false" outlineLevel="0" collapsed="false">
      <c r="A80" s="36" t="s">
        <v>143</v>
      </c>
      <c r="B80" s="37" t="n">
        <v>46052</v>
      </c>
      <c r="C80" s="36" t="s">
        <v>82</v>
      </c>
      <c r="D80" s="36" t="s">
        <v>52</v>
      </c>
      <c r="E80" s="38" t="n">
        <v>149500</v>
      </c>
      <c r="F80" s="39" t="n">
        <v>12</v>
      </c>
    </row>
    <row r="81" customFormat="false" ht="15" hidden="false" customHeight="false" outlineLevel="0" collapsed="false">
      <c r="A81" s="26" t="s">
        <v>144</v>
      </c>
      <c r="B81" s="27" t="n">
        <v>45983</v>
      </c>
      <c r="C81" s="26" t="s">
        <v>51</v>
      </c>
      <c r="D81" s="26" t="s">
        <v>52</v>
      </c>
      <c r="E81" s="28" t="n">
        <v>340500</v>
      </c>
      <c r="F81" s="29" t="n">
        <v>12</v>
      </c>
    </row>
    <row r="82" customFormat="false" ht="15" hidden="false" customHeight="false" outlineLevel="0" collapsed="false">
      <c r="A82" s="36" t="s">
        <v>145</v>
      </c>
      <c r="B82" s="37" t="n">
        <v>45909</v>
      </c>
      <c r="C82" s="36" t="s">
        <v>114</v>
      </c>
      <c r="D82" s="36" t="s">
        <v>47</v>
      </c>
      <c r="E82" s="38" t="n">
        <v>29000</v>
      </c>
      <c r="F82" s="39" t="n">
        <v>28</v>
      </c>
    </row>
    <row r="83" customFormat="false" ht="15" hidden="false" customHeight="false" outlineLevel="0" collapsed="false">
      <c r="A83" s="26" t="s">
        <v>146</v>
      </c>
      <c r="B83" s="27" t="n">
        <v>45899</v>
      </c>
      <c r="C83" s="26" t="s">
        <v>73</v>
      </c>
      <c r="D83" s="26" t="s">
        <v>62</v>
      </c>
      <c r="E83" s="28" t="n">
        <v>143500</v>
      </c>
      <c r="F83" s="29" t="n">
        <v>12</v>
      </c>
    </row>
    <row r="84" customFormat="false" ht="15" hidden="false" customHeight="false" outlineLevel="0" collapsed="false">
      <c r="A84" s="36" t="s">
        <v>147</v>
      </c>
      <c r="B84" s="37" t="n">
        <v>46034</v>
      </c>
      <c r="C84" s="36" t="s">
        <v>46</v>
      </c>
      <c r="D84" s="36" t="s">
        <v>47</v>
      </c>
      <c r="E84" s="38" t="n">
        <v>3500</v>
      </c>
      <c r="F84" s="39" t="n">
        <v>28</v>
      </c>
    </row>
    <row r="85" customFormat="false" ht="15" hidden="false" customHeight="false" outlineLevel="0" collapsed="false">
      <c r="A85" s="26" t="s">
        <v>148</v>
      </c>
      <c r="B85" s="27" t="n">
        <v>45916</v>
      </c>
      <c r="C85" s="26" t="s">
        <v>114</v>
      </c>
      <c r="D85" s="26" t="s">
        <v>47</v>
      </c>
      <c r="E85" s="28" t="n">
        <v>229000</v>
      </c>
      <c r="F85" s="29" t="n">
        <v>5</v>
      </c>
    </row>
    <row r="86" customFormat="false" ht="15" hidden="false" customHeight="false" outlineLevel="0" collapsed="false">
      <c r="A86" s="36" t="s">
        <v>149</v>
      </c>
      <c r="B86" s="37" t="n">
        <v>46044</v>
      </c>
      <c r="C86" s="36" t="s">
        <v>82</v>
      </c>
      <c r="D86" s="36" t="s">
        <v>47</v>
      </c>
      <c r="E86" s="38" t="n">
        <v>429500</v>
      </c>
      <c r="F86" s="39" t="n">
        <v>5</v>
      </c>
    </row>
    <row r="87" customFormat="false" ht="15" hidden="false" customHeight="false" outlineLevel="0" collapsed="false">
      <c r="A87" s="26" t="s">
        <v>150</v>
      </c>
      <c r="B87" s="27" t="n">
        <v>46089</v>
      </c>
      <c r="C87" s="26" t="s">
        <v>56</v>
      </c>
      <c r="D87" s="26" t="s">
        <v>47</v>
      </c>
      <c r="E87" s="28" t="n">
        <v>131000</v>
      </c>
      <c r="F87" s="29" t="n">
        <v>18</v>
      </c>
    </row>
    <row r="88" customFormat="false" ht="15" hidden="false" customHeight="false" outlineLevel="0" collapsed="false">
      <c r="A88" s="36" t="s">
        <v>151</v>
      </c>
      <c r="B88" s="37" t="n">
        <v>45792</v>
      </c>
      <c r="C88" s="36" t="s">
        <v>69</v>
      </c>
      <c r="D88" s="36" t="s">
        <v>47</v>
      </c>
      <c r="E88" s="38" t="n">
        <v>107500</v>
      </c>
      <c r="F88" s="39" t="n">
        <v>28</v>
      </c>
    </row>
    <row r="89" customFormat="false" ht="15" hidden="false" customHeight="false" outlineLevel="0" collapsed="false">
      <c r="A89" s="26" t="s">
        <v>152</v>
      </c>
      <c r="B89" s="27" t="n">
        <v>45978</v>
      </c>
      <c r="C89" s="26" t="s">
        <v>73</v>
      </c>
      <c r="D89" s="26" t="s">
        <v>52</v>
      </c>
      <c r="E89" s="28" t="n">
        <v>200500</v>
      </c>
      <c r="F89" s="29" t="n">
        <v>12</v>
      </c>
    </row>
    <row r="90" customFormat="false" ht="15" hidden="false" customHeight="false" outlineLevel="0" collapsed="false">
      <c r="A90" s="36" t="s">
        <v>153</v>
      </c>
      <c r="B90" s="37" t="n">
        <v>45873</v>
      </c>
      <c r="C90" s="36" t="s">
        <v>87</v>
      </c>
      <c r="D90" s="36" t="s">
        <v>62</v>
      </c>
      <c r="E90" s="38" t="n">
        <v>112500</v>
      </c>
      <c r="F90" s="39" t="n">
        <v>18</v>
      </c>
    </row>
    <row r="91" customFormat="false" ht="15" hidden="false" customHeight="false" outlineLevel="0" collapsed="false">
      <c r="A91" s="26" t="s">
        <v>154</v>
      </c>
      <c r="B91" s="27" t="n">
        <v>46068</v>
      </c>
      <c r="C91" s="26" t="s">
        <v>114</v>
      </c>
      <c r="D91" s="26" t="s">
        <v>52</v>
      </c>
      <c r="E91" s="28" t="n">
        <v>277000</v>
      </c>
      <c r="F91" s="29" t="n">
        <v>12</v>
      </c>
    </row>
    <row r="92" customFormat="false" ht="15" hidden="false" customHeight="false" outlineLevel="0" collapsed="false">
      <c r="A92" s="36" t="s">
        <v>155</v>
      </c>
      <c r="B92" s="37" t="n">
        <v>45924</v>
      </c>
      <c r="C92" s="36" t="s">
        <v>69</v>
      </c>
      <c r="D92" s="36" t="s">
        <v>62</v>
      </c>
      <c r="E92" s="38" t="n">
        <v>448500</v>
      </c>
      <c r="F92" s="39" t="n">
        <v>28</v>
      </c>
    </row>
    <row r="93" customFormat="false" ht="15" hidden="false" customHeight="false" outlineLevel="0" collapsed="false">
      <c r="A93" s="26" t="s">
        <v>156</v>
      </c>
      <c r="B93" s="27" t="n">
        <v>45832</v>
      </c>
      <c r="C93" s="26" t="s">
        <v>79</v>
      </c>
      <c r="D93" s="26" t="s">
        <v>70</v>
      </c>
      <c r="E93" s="28" t="n">
        <v>396500</v>
      </c>
      <c r="F93" s="29" t="n">
        <v>5</v>
      </c>
    </row>
    <row r="94" customFormat="false" ht="15" hidden="false" customHeight="false" outlineLevel="0" collapsed="false">
      <c r="A94" s="36" t="s">
        <v>157</v>
      </c>
      <c r="B94" s="37" t="n">
        <v>45938</v>
      </c>
      <c r="C94" s="36" t="s">
        <v>114</v>
      </c>
      <c r="D94" s="36" t="s">
        <v>62</v>
      </c>
      <c r="E94" s="38" t="n">
        <v>274500</v>
      </c>
      <c r="F94" s="39" t="n">
        <v>18</v>
      </c>
    </row>
    <row r="95" customFormat="false" ht="15" hidden="false" customHeight="false" outlineLevel="0" collapsed="false">
      <c r="A95" s="26" t="s">
        <v>158</v>
      </c>
      <c r="B95" s="27" t="n">
        <v>46107</v>
      </c>
      <c r="C95" s="26" t="s">
        <v>69</v>
      </c>
      <c r="D95" s="26" t="s">
        <v>62</v>
      </c>
      <c r="E95" s="28" t="n">
        <v>184000</v>
      </c>
      <c r="F95" s="29" t="n">
        <v>28</v>
      </c>
    </row>
    <row r="96" customFormat="false" ht="15" hidden="false" customHeight="false" outlineLevel="0" collapsed="false">
      <c r="A96" s="36" t="s">
        <v>159</v>
      </c>
      <c r="B96" s="37" t="n">
        <v>45793</v>
      </c>
      <c r="C96" s="36" t="s">
        <v>46</v>
      </c>
      <c r="D96" s="36" t="s">
        <v>47</v>
      </c>
      <c r="E96" s="38" t="n">
        <v>290500</v>
      </c>
      <c r="F96" s="39" t="n">
        <v>5</v>
      </c>
    </row>
    <row r="97" customFormat="false" ht="15" hidden="false" customHeight="false" outlineLevel="0" collapsed="false">
      <c r="A97" s="26" t="s">
        <v>160</v>
      </c>
      <c r="B97" s="27" t="n">
        <v>45918</v>
      </c>
      <c r="C97" s="26" t="s">
        <v>46</v>
      </c>
      <c r="D97" s="26" t="s">
        <v>52</v>
      </c>
      <c r="E97" s="28" t="n">
        <v>458000</v>
      </c>
      <c r="F97" s="29" t="n">
        <v>12</v>
      </c>
    </row>
    <row r="98" customFormat="false" ht="15" hidden="false" customHeight="false" outlineLevel="0" collapsed="false">
      <c r="A98" s="36" t="s">
        <v>161</v>
      </c>
      <c r="B98" s="37" t="n">
        <v>45883</v>
      </c>
      <c r="C98" s="36" t="s">
        <v>114</v>
      </c>
      <c r="D98" s="36" t="s">
        <v>52</v>
      </c>
      <c r="E98" s="38" t="n">
        <v>294500</v>
      </c>
      <c r="F98" s="39" t="n">
        <v>28</v>
      </c>
    </row>
    <row r="99" customFormat="false" ht="15" hidden="false" customHeight="false" outlineLevel="0" collapsed="false">
      <c r="A99" s="26" t="s">
        <v>162</v>
      </c>
      <c r="B99" s="27" t="n">
        <v>45845</v>
      </c>
      <c r="C99" s="26" t="s">
        <v>61</v>
      </c>
      <c r="D99" s="26" t="s">
        <v>57</v>
      </c>
      <c r="E99" s="28" t="n">
        <v>154500</v>
      </c>
      <c r="F99" s="29" t="n">
        <v>28</v>
      </c>
    </row>
    <row r="100" customFormat="false" ht="15" hidden="false" customHeight="false" outlineLevel="0" collapsed="false">
      <c r="A100" s="36" t="s">
        <v>163</v>
      </c>
      <c r="B100" s="37" t="n">
        <v>45928</v>
      </c>
      <c r="C100" s="36" t="s">
        <v>87</v>
      </c>
      <c r="D100" s="36" t="s">
        <v>47</v>
      </c>
      <c r="E100" s="38" t="n">
        <v>424500</v>
      </c>
      <c r="F100" s="39" t="n">
        <v>12</v>
      </c>
    </row>
    <row r="101" customFormat="false" ht="15" hidden="false" customHeight="false" outlineLevel="0" collapsed="false">
      <c r="A101" s="26" t="s">
        <v>164</v>
      </c>
      <c r="B101" s="27" t="n">
        <v>45795</v>
      </c>
      <c r="C101" s="26" t="s">
        <v>51</v>
      </c>
      <c r="D101" s="26" t="s">
        <v>52</v>
      </c>
      <c r="E101" s="28" t="n">
        <v>171500</v>
      </c>
      <c r="F101" s="29" t="n">
        <v>5</v>
      </c>
    </row>
    <row r="102" customFormat="false" ht="15" hidden="false" customHeight="false" outlineLevel="0" collapsed="false">
      <c r="A102" s="36" t="s">
        <v>165</v>
      </c>
      <c r="B102" s="37" t="n">
        <v>45884</v>
      </c>
      <c r="C102" s="36" t="s">
        <v>82</v>
      </c>
      <c r="D102" s="36" t="s">
        <v>62</v>
      </c>
      <c r="E102" s="38" t="n">
        <v>291000</v>
      </c>
      <c r="F102" s="39" t="n">
        <v>18</v>
      </c>
    </row>
    <row r="103" customFormat="false" ht="15" hidden="false" customHeight="false" outlineLevel="0" collapsed="false">
      <c r="A103" s="26" t="s">
        <v>166</v>
      </c>
      <c r="B103" s="27" t="n">
        <v>45976</v>
      </c>
      <c r="C103" s="26" t="s">
        <v>82</v>
      </c>
      <c r="D103" s="26" t="s">
        <v>47</v>
      </c>
      <c r="E103" s="28" t="n">
        <v>367000</v>
      </c>
      <c r="F103" s="29" t="n">
        <v>12</v>
      </c>
    </row>
    <row r="104" customFormat="false" ht="15" hidden="false" customHeight="false" outlineLevel="0" collapsed="false">
      <c r="A104" s="36" t="s">
        <v>167</v>
      </c>
      <c r="B104" s="37" t="n">
        <v>45824</v>
      </c>
      <c r="C104" s="36" t="s">
        <v>69</v>
      </c>
      <c r="D104" s="36" t="s">
        <v>62</v>
      </c>
      <c r="E104" s="38" t="n">
        <v>328500</v>
      </c>
      <c r="F104" s="39" t="n">
        <v>5</v>
      </c>
    </row>
    <row r="105" customFormat="false" ht="15" hidden="false" customHeight="false" outlineLevel="0" collapsed="false">
      <c r="A105" s="26" t="s">
        <v>168</v>
      </c>
      <c r="B105" s="27" t="n">
        <v>45992</v>
      </c>
      <c r="C105" s="26" t="s">
        <v>84</v>
      </c>
      <c r="D105" s="26" t="s">
        <v>47</v>
      </c>
      <c r="E105" s="28" t="n">
        <v>147500</v>
      </c>
      <c r="F105" s="29" t="n">
        <v>12</v>
      </c>
    </row>
    <row r="106" customFormat="false" ht="15" hidden="false" customHeight="false" outlineLevel="0" collapsed="false">
      <c r="A106" s="36" t="s">
        <v>169</v>
      </c>
      <c r="B106" s="37" t="n">
        <v>46018</v>
      </c>
      <c r="C106" s="36" t="s">
        <v>46</v>
      </c>
      <c r="D106" s="36" t="s">
        <v>62</v>
      </c>
      <c r="E106" s="38" t="n">
        <v>202500</v>
      </c>
      <c r="F106" s="39" t="n">
        <v>12</v>
      </c>
    </row>
    <row r="107" customFormat="false" ht="15" hidden="false" customHeight="false" outlineLevel="0" collapsed="false">
      <c r="A107" s="26" t="s">
        <v>170</v>
      </c>
      <c r="B107" s="27" t="n">
        <v>45980</v>
      </c>
      <c r="C107" s="26" t="s">
        <v>84</v>
      </c>
      <c r="D107" s="26" t="s">
        <v>70</v>
      </c>
      <c r="E107" s="28" t="n">
        <v>384500</v>
      </c>
      <c r="F107" s="29" t="n">
        <v>5</v>
      </c>
    </row>
    <row r="108" customFormat="false" ht="15" hidden="false" customHeight="false" outlineLevel="0" collapsed="false">
      <c r="A108" s="36" t="s">
        <v>171</v>
      </c>
      <c r="B108" s="37" t="n">
        <v>46106</v>
      </c>
      <c r="C108" s="36" t="s">
        <v>51</v>
      </c>
      <c r="D108" s="36" t="s">
        <v>52</v>
      </c>
      <c r="E108" s="38" t="n">
        <v>194500</v>
      </c>
      <c r="F108" s="39" t="n">
        <v>12</v>
      </c>
    </row>
    <row r="109" customFormat="false" ht="15" hidden="false" customHeight="false" outlineLevel="0" collapsed="false">
      <c r="A109" s="26" t="s">
        <v>172</v>
      </c>
      <c r="B109" s="27" t="n">
        <v>46016</v>
      </c>
      <c r="C109" s="26" t="s">
        <v>56</v>
      </c>
      <c r="D109" s="26" t="s">
        <v>47</v>
      </c>
      <c r="E109" s="28" t="n">
        <v>375000</v>
      </c>
      <c r="F109" s="29" t="n">
        <v>5</v>
      </c>
    </row>
    <row r="110" customFormat="false" ht="15" hidden="false" customHeight="false" outlineLevel="0" collapsed="false">
      <c r="A110" s="36" t="s">
        <v>173</v>
      </c>
      <c r="B110" s="37" t="n">
        <v>45843</v>
      </c>
      <c r="C110" s="36" t="s">
        <v>75</v>
      </c>
      <c r="D110" s="36" t="s">
        <v>47</v>
      </c>
      <c r="E110" s="38" t="n">
        <v>244000</v>
      </c>
      <c r="F110" s="39" t="n">
        <v>5</v>
      </c>
    </row>
    <row r="111" customFormat="false" ht="15" hidden="false" customHeight="false" outlineLevel="0" collapsed="false">
      <c r="A111" s="26" t="s">
        <v>174</v>
      </c>
      <c r="B111" s="27" t="n">
        <v>45964</v>
      </c>
      <c r="C111" s="26" t="s">
        <v>46</v>
      </c>
      <c r="D111" s="26" t="s">
        <v>47</v>
      </c>
      <c r="E111" s="28" t="n">
        <v>263000</v>
      </c>
      <c r="F111" s="29" t="n">
        <v>18</v>
      </c>
    </row>
    <row r="112" customFormat="false" ht="15" hidden="false" customHeight="false" outlineLevel="0" collapsed="false">
      <c r="A112" s="36" t="s">
        <v>175</v>
      </c>
      <c r="B112" s="37" t="n">
        <v>45961</v>
      </c>
      <c r="C112" s="36" t="s">
        <v>51</v>
      </c>
      <c r="D112" s="36" t="s">
        <v>52</v>
      </c>
      <c r="E112" s="38" t="n">
        <v>182500</v>
      </c>
      <c r="F112" s="39" t="n">
        <v>12</v>
      </c>
    </row>
    <row r="113" customFormat="false" ht="15" hidden="false" customHeight="false" outlineLevel="0" collapsed="false">
      <c r="A113" s="26" t="s">
        <v>176</v>
      </c>
      <c r="B113" s="27" t="n">
        <v>45919</v>
      </c>
      <c r="C113" s="26" t="s">
        <v>82</v>
      </c>
      <c r="D113" s="26" t="s">
        <v>62</v>
      </c>
      <c r="E113" s="28" t="n">
        <v>271500</v>
      </c>
      <c r="F113" s="29" t="n">
        <v>18</v>
      </c>
    </row>
    <row r="114" customFormat="false" ht="15" hidden="false" customHeight="false" outlineLevel="0" collapsed="false">
      <c r="A114" s="36" t="s">
        <v>177</v>
      </c>
      <c r="B114" s="37" t="n">
        <v>45804</v>
      </c>
      <c r="C114" s="36" t="s">
        <v>46</v>
      </c>
      <c r="D114" s="36" t="s">
        <v>70</v>
      </c>
      <c r="E114" s="38" t="n">
        <v>374500</v>
      </c>
      <c r="F114" s="39" t="n">
        <v>5</v>
      </c>
    </row>
    <row r="115" customFormat="false" ht="15" hidden="false" customHeight="false" outlineLevel="0" collapsed="false">
      <c r="A115" s="26" t="s">
        <v>178</v>
      </c>
      <c r="B115" s="27" t="n">
        <v>45874</v>
      </c>
      <c r="C115" s="26" t="s">
        <v>75</v>
      </c>
      <c r="D115" s="26" t="s">
        <v>47</v>
      </c>
      <c r="E115" s="28" t="n">
        <v>401000</v>
      </c>
      <c r="F115" s="29" t="n">
        <v>18</v>
      </c>
    </row>
    <row r="116" customFormat="false" ht="15" hidden="false" customHeight="false" outlineLevel="0" collapsed="false">
      <c r="A116" s="36" t="s">
        <v>179</v>
      </c>
      <c r="B116" s="37" t="n">
        <v>46042</v>
      </c>
      <c r="C116" s="36" t="s">
        <v>79</v>
      </c>
      <c r="D116" s="36" t="s">
        <v>57</v>
      </c>
      <c r="E116" s="38" t="n">
        <v>186500</v>
      </c>
      <c r="F116" s="39" t="n">
        <v>28</v>
      </c>
    </row>
    <row r="117" customFormat="false" ht="15" hidden="false" customHeight="false" outlineLevel="0" collapsed="false">
      <c r="A117" s="26" t="s">
        <v>180</v>
      </c>
      <c r="B117" s="27" t="n">
        <v>46063</v>
      </c>
      <c r="C117" s="26" t="s">
        <v>51</v>
      </c>
      <c r="D117" s="26" t="s">
        <v>47</v>
      </c>
      <c r="E117" s="28" t="n">
        <v>97000</v>
      </c>
      <c r="F117" s="29" t="n">
        <v>12</v>
      </c>
    </row>
    <row r="118" customFormat="false" ht="15" hidden="false" customHeight="false" outlineLevel="0" collapsed="false">
      <c r="A118" s="36" t="s">
        <v>181</v>
      </c>
      <c r="B118" s="37" t="n">
        <v>45974</v>
      </c>
      <c r="C118" s="36" t="s">
        <v>61</v>
      </c>
      <c r="D118" s="36" t="s">
        <v>57</v>
      </c>
      <c r="E118" s="38" t="n">
        <v>478500</v>
      </c>
      <c r="F118" s="39" t="n">
        <v>18</v>
      </c>
    </row>
    <row r="119" customFormat="false" ht="15" hidden="false" customHeight="false" outlineLevel="0" collapsed="false">
      <c r="A119" s="26" t="s">
        <v>182</v>
      </c>
      <c r="B119" s="27" t="n">
        <v>45850</v>
      </c>
      <c r="C119" s="26" t="s">
        <v>79</v>
      </c>
      <c r="D119" s="26" t="s">
        <v>52</v>
      </c>
      <c r="E119" s="28" t="n">
        <v>274000</v>
      </c>
      <c r="F119" s="29" t="n">
        <v>5</v>
      </c>
    </row>
    <row r="120" customFormat="false" ht="15" hidden="false" customHeight="false" outlineLevel="0" collapsed="false">
      <c r="A120" s="36" t="s">
        <v>183</v>
      </c>
      <c r="B120" s="37" t="n">
        <v>45837</v>
      </c>
      <c r="C120" s="36" t="s">
        <v>51</v>
      </c>
      <c r="D120" s="36" t="s">
        <v>62</v>
      </c>
      <c r="E120" s="38" t="n">
        <v>375000</v>
      </c>
      <c r="F120" s="39" t="n">
        <v>18</v>
      </c>
    </row>
    <row r="121" customFormat="false" ht="15" hidden="false" customHeight="false" outlineLevel="0" collapsed="false">
      <c r="A121" s="26" t="s">
        <v>184</v>
      </c>
      <c r="B121" s="27" t="n">
        <v>46037</v>
      </c>
      <c r="C121" s="26" t="s">
        <v>114</v>
      </c>
      <c r="D121" s="26" t="s">
        <v>57</v>
      </c>
      <c r="E121" s="28" t="n">
        <v>181500</v>
      </c>
      <c r="F121" s="29" t="n">
        <v>28</v>
      </c>
    </row>
    <row r="122" customFormat="false" ht="15" hidden="false" customHeight="false" outlineLevel="0" collapsed="false">
      <c r="A122" s="36" t="s">
        <v>185</v>
      </c>
      <c r="B122" s="37" t="n">
        <v>46112</v>
      </c>
      <c r="C122" s="36" t="s">
        <v>69</v>
      </c>
      <c r="D122" s="36" t="s">
        <v>57</v>
      </c>
      <c r="E122" s="38" t="n">
        <v>16500</v>
      </c>
      <c r="F122" s="39" t="n">
        <v>18</v>
      </c>
    </row>
    <row r="123" customFormat="false" ht="15" hidden="false" customHeight="false" outlineLevel="0" collapsed="false">
      <c r="A123" s="26" t="s">
        <v>186</v>
      </c>
      <c r="B123" s="27" t="n">
        <v>45823</v>
      </c>
      <c r="C123" s="26" t="s">
        <v>114</v>
      </c>
      <c r="D123" s="26" t="s">
        <v>70</v>
      </c>
      <c r="E123" s="28" t="n">
        <v>423000</v>
      </c>
      <c r="F123" s="29" t="n">
        <v>28</v>
      </c>
    </row>
    <row r="124" customFormat="false" ht="15" hidden="false" customHeight="false" outlineLevel="0" collapsed="false">
      <c r="A124" s="36" t="s">
        <v>187</v>
      </c>
      <c r="B124" s="37" t="n">
        <v>45900</v>
      </c>
      <c r="C124" s="36" t="s">
        <v>69</v>
      </c>
      <c r="D124" s="36" t="s">
        <v>62</v>
      </c>
      <c r="E124" s="38" t="n">
        <v>291000</v>
      </c>
      <c r="F124" s="39" t="n">
        <v>12</v>
      </c>
    </row>
    <row r="125" customFormat="false" ht="15" hidden="false" customHeight="false" outlineLevel="0" collapsed="false">
      <c r="A125" s="26" t="s">
        <v>188</v>
      </c>
      <c r="B125" s="27" t="n">
        <v>45870</v>
      </c>
      <c r="C125" s="26" t="s">
        <v>56</v>
      </c>
      <c r="D125" s="26" t="s">
        <v>52</v>
      </c>
      <c r="E125" s="28" t="n">
        <v>105000</v>
      </c>
      <c r="F125" s="29" t="n">
        <v>12</v>
      </c>
    </row>
    <row r="126" customFormat="false" ht="15" hidden="false" customHeight="false" outlineLevel="0" collapsed="false">
      <c r="A126" s="36" t="s">
        <v>189</v>
      </c>
      <c r="B126" s="37" t="n">
        <v>45873</v>
      </c>
      <c r="C126" s="36" t="s">
        <v>87</v>
      </c>
      <c r="D126" s="36" t="s">
        <v>57</v>
      </c>
      <c r="E126" s="38" t="n">
        <v>443000</v>
      </c>
      <c r="F126" s="39" t="n">
        <v>28</v>
      </c>
    </row>
    <row r="127" customFormat="false" ht="15" hidden="false" customHeight="false" outlineLevel="0" collapsed="false">
      <c r="A127" s="26" t="s">
        <v>190</v>
      </c>
      <c r="B127" s="27" t="n">
        <v>45829</v>
      </c>
      <c r="C127" s="26" t="s">
        <v>87</v>
      </c>
      <c r="D127" s="26" t="s">
        <v>57</v>
      </c>
      <c r="E127" s="28" t="n">
        <v>117500</v>
      </c>
      <c r="F127" s="29" t="n">
        <v>28</v>
      </c>
    </row>
    <row r="128" customFormat="false" ht="15" hidden="false" customHeight="false" outlineLevel="0" collapsed="false">
      <c r="A128" s="36" t="s">
        <v>191</v>
      </c>
      <c r="B128" s="37" t="n">
        <v>46058</v>
      </c>
      <c r="C128" s="36" t="s">
        <v>75</v>
      </c>
      <c r="D128" s="36" t="s">
        <v>47</v>
      </c>
      <c r="E128" s="38" t="n">
        <v>79000</v>
      </c>
      <c r="F128" s="39" t="n">
        <v>12</v>
      </c>
    </row>
  </sheetData>
  <mergeCells count="3">
    <mergeCell ref="A1:L1"/>
    <mergeCell ref="A2:L2"/>
    <mergeCell ref="A3:L5"/>
  </mergeCells>
  <conditionalFormatting sqref="K9:K12">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1D48"/>
    <pageSetUpPr fitToPage="true"/>
  </sheetPr>
  <dimension ref="A1:M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12"/>
    <col collapsed="false" customWidth="true" hidden="false" outlineLevel="0" max="6" min="6" style="0" width="9"/>
    <col collapsed="false" customWidth="true" hidden="false" outlineLevel="0" max="7" min="7" style="0" width="3"/>
    <col collapsed="false" customWidth="true" hidden="false" outlineLevel="0" max="8" min="8" style="0" width="5"/>
    <col collapsed="false" customWidth="true" hidden="false" outlineLevel="0" max="9" min="9" style="0" width="46"/>
    <col collapsed="false" customWidth="true" hidden="false" outlineLevel="0" max="10" min="10" style="0" width="18"/>
    <col collapsed="false" customWidth="true" hidden="false" outlineLevel="0" max="11" min="11" style="0" width="17"/>
    <col collapsed="false" customWidth="true" hidden="false" outlineLevel="0" max="12" min="12" style="0" width="38"/>
    <col collapsed="false" customWidth="true" hidden="true" outlineLevel="0" max="14" min="13" style="0" width="13"/>
  </cols>
  <sheetData>
    <row r="1" customFormat="false" ht="31.5" hidden="false" customHeight="true" outlineLevel="0" collapsed="false">
      <c r="A1" s="59" t="s">
        <v>236</v>
      </c>
      <c r="B1" s="59"/>
      <c r="C1" s="59"/>
      <c r="D1" s="59"/>
      <c r="E1" s="59"/>
      <c r="F1" s="59"/>
      <c r="G1" s="59"/>
      <c r="H1" s="59"/>
      <c r="I1" s="59"/>
      <c r="J1" s="59"/>
      <c r="K1" s="59"/>
      <c r="L1" s="59"/>
    </row>
    <row r="2" customFormat="false" ht="19.5" hidden="false" customHeight="true" outlineLevel="0" collapsed="false">
      <c r="A2" s="60" t="s">
        <v>237</v>
      </c>
      <c r="B2" s="60"/>
      <c r="C2" s="60"/>
      <c r="D2" s="60"/>
      <c r="E2" s="60"/>
      <c r="F2" s="60"/>
      <c r="G2" s="60"/>
      <c r="H2" s="60"/>
      <c r="I2" s="60"/>
      <c r="J2" s="60"/>
      <c r="K2" s="60"/>
      <c r="L2" s="60"/>
    </row>
    <row r="3" customFormat="false" ht="18.75" hidden="false" customHeight="true" outlineLevel="0" collapsed="false">
      <c r="A3" s="61" t="s">
        <v>238</v>
      </c>
      <c r="B3" s="61"/>
      <c r="C3" s="61"/>
      <c r="D3" s="61"/>
      <c r="E3" s="61"/>
      <c r="F3" s="61"/>
      <c r="G3" s="61"/>
      <c r="H3" s="61"/>
      <c r="I3" s="61"/>
      <c r="J3" s="61"/>
      <c r="K3" s="61"/>
      <c r="L3" s="61"/>
    </row>
    <row r="4" customFormat="false" ht="18.75" hidden="false" customHeight="true" outlineLevel="0" collapsed="false">
      <c r="A4" s="61"/>
      <c r="B4" s="61"/>
      <c r="C4" s="61"/>
      <c r="D4" s="61"/>
      <c r="E4" s="61"/>
      <c r="F4" s="61"/>
      <c r="G4" s="61"/>
      <c r="H4" s="61"/>
      <c r="I4" s="61"/>
      <c r="J4" s="61"/>
      <c r="K4" s="61"/>
      <c r="L4" s="61"/>
    </row>
    <row r="5" customFormat="false" ht="18.75" hidden="false" customHeight="true" outlineLevel="0" collapsed="false">
      <c r="A5" s="61"/>
      <c r="B5" s="61"/>
      <c r="C5" s="61"/>
      <c r="D5" s="61"/>
      <c r="E5" s="61"/>
      <c r="F5" s="61"/>
      <c r="G5" s="61"/>
      <c r="H5" s="61"/>
      <c r="I5" s="61"/>
      <c r="J5" s="61"/>
      <c r="K5" s="61"/>
      <c r="L5" s="61"/>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H8" s="62" t="s">
        <v>14</v>
      </c>
      <c r="I8" s="62" t="s">
        <v>41</v>
      </c>
      <c r="J8" s="62" t="s">
        <v>42</v>
      </c>
      <c r="K8" s="62" t="s">
        <v>43</v>
      </c>
      <c r="L8" s="62" t="s">
        <v>44</v>
      </c>
    </row>
    <row r="9" customFormat="false" ht="33.75" hidden="false" customHeight="true" outlineLevel="0" collapsed="false">
      <c r="A9" s="26" t="s">
        <v>45</v>
      </c>
      <c r="B9" s="27" t="n">
        <v>45870</v>
      </c>
      <c r="C9" s="26" t="s">
        <v>46</v>
      </c>
      <c r="D9" s="26" t="s">
        <v>47</v>
      </c>
      <c r="E9" s="28" t="n">
        <v>102500</v>
      </c>
      <c r="F9" s="29" t="n">
        <v>5</v>
      </c>
      <c r="H9" s="63" t="n">
        <v>1</v>
      </c>
      <c r="I9" s="31" t="s">
        <v>239</v>
      </c>
      <c r="J9" s="40"/>
      <c r="K9" s="33" t="str">
        <f aca="false">IF(ISBLANK(J9),"◯ Not attempted",IF(NOT(_xlfn.ISFORMULA(J9)),"✎ Use a formula",IF(ISNUMBER(J9),IF(ABS(J9-$M$9)&lt;0.005,"✓ Correct","✗ Check again"),"✗ Not a number")))</f>
        <v>◯ Not attempted</v>
      </c>
      <c r="L9" s="34" t="s">
        <v>240</v>
      </c>
      <c r="M9" s="0" t="n">
        <f aca="false">SUM($E$9:$E$128)</f>
        <v>30844000</v>
      </c>
    </row>
    <row r="10" customFormat="false" ht="33.75" hidden="false" customHeight="true" outlineLevel="0" collapsed="false">
      <c r="A10" s="36" t="s">
        <v>50</v>
      </c>
      <c r="B10" s="37" t="n">
        <v>46067</v>
      </c>
      <c r="C10" s="36" t="s">
        <v>51</v>
      </c>
      <c r="D10" s="36" t="s">
        <v>52</v>
      </c>
      <c r="E10" s="38" t="n">
        <v>293000</v>
      </c>
      <c r="F10" s="39" t="n">
        <v>28</v>
      </c>
      <c r="H10" s="63" t="n">
        <v>2</v>
      </c>
      <c r="I10" s="31" t="s">
        <v>241</v>
      </c>
      <c r="J10" s="57"/>
      <c r="K10" s="33" t="str">
        <f aca="false">IF(ISBLANK(J10),"◯ Not attempted",IF(NOT(_xlfn.ISFORMULA(J10)),"✎ Use a formula",IF(ISNUMBER(J10),IF(ABS(J10-$M$10)&lt;0.005,"✓ Correct","✗ Check again"),"✗ Not a number")))</f>
        <v>◯ Not attempted</v>
      </c>
      <c r="L10" s="34" t="s">
        <v>242</v>
      </c>
      <c r="M10" s="58" t="n">
        <f aca="false">SUMPRODUCT(($D$9:$D$128&lt;&gt;"Maharashtra")*$E$9:$E$128*$F$9:$F$128)/100</f>
        <v>3915380</v>
      </c>
    </row>
    <row r="11" customFormat="false" ht="33.75" hidden="false" customHeight="true" outlineLevel="0" collapsed="false">
      <c r="A11" s="26" t="s">
        <v>55</v>
      </c>
      <c r="B11" s="27" t="n">
        <v>45957</v>
      </c>
      <c r="C11" s="26" t="s">
        <v>56</v>
      </c>
      <c r="D11" s="26" t="s">
        <v>57</v>
      </c>
      <c r="E11" s="28" t="n">
        <v>407000</v>
      </c>
      <c r="F11" s="29" t="n">
        <v>5</v>
      </c>
      <c r="H11" s="63" t="n">
        <v>3</v>
      </c>
      <c r="I11" s="31" t="s">
        <v>243</v>
      </c>
      <c r="J11" s="57"/>
      <c r="K11" s="33" t="str">
        <f aca="false">IF(ISBLANK(J11),"◯ Not attempted",IF(NOT(_xlfn.ISFORMULA(J11)),"✎ Use a formula",IF(ISNUMBER(J11),IF(ABS(J11-$M$11)&lt;0.005,"✓ Correct","✗ Check again"),"✗ Not a number")))</f>
        <v>◯ Not attempted</v>
      </c>
      <c r="L11" s="34" t="s">
        <v>244</v>
      </c>
      <c r="M11" s="58" t="n">
        <f aca="false">SUMPRODUCT(($D$9:$D$128="Maharashtra")*$E$9:$E$128*$F$9:$F$128)/200</f>
        <v>380765</v>
      </c>
    </row>
    <row r="12" customFormat="false" ht="33.75" hidden="false" customHeight="true" outlineLevel="0" collapsed="false">
      <c r="A12" s="36" t="s">
        <v>60</v>
      </c>
      <c r="B12" s="37" t="n">
        <v>46018</v>
      </c>
      <c r="C12" s="36" t="s">
        <v>61</v>
      </c>
      <c r="D12" s="36" t="s">
        <v>62</v>
      </c>
      <c r="E12" s="38" t="n">
        <v>398000</v>
      </c>
      <c r="F12" s="39" t="n">
        <v>5</v>
      </c>
      <c r="H12" s="63" t="n">
        <v>4</v>
      </c>
      <c r="I12" s="31" t="s">
        <v>245</v>
      </c>
      <c r="J12" s="57"/>
      <c r="K12" s="33" t="str">
        <f aca="false">IF(ISBLANK(J12),"◯ Not attempted",IF(NOT(_xlfn.ISFORMULA(J12)),"✎ Use a formula",IF(ISNUMBER(J12),IF(ABS(J12-$M$12)&lt;0.005,"✓ Correct","✗ Check again"),"✗ Not a number")))</f>
        <v>◯ Not attempted</v>
      </c>
      <c r="L12" s="34" t="s">
        <v>246</v>
      </c>
      <c r="M12" s="58" t="n">
        <f aca="false">SUMPRODUCT(($D$9:$D$128="Maharashtra")*$E$9:$E$128*$F$9:$F$128)/200</f>
        <v>380765</v>
      </c>
    </row>
    <row r="13" customFormat="false" ht="33.75" hidden="false" customHeight="true" outlineLevel="0" collapsed="false">
      <c r="A13" s="26" t="s">
        <v>65</v>
      </c>
      <c r="B13" s="27" t="n">
        <v>45810</v>
      </c>
      <c r="C13" s="26" t="s">
        <v>46</v>
      </c>
      <c r="D13" s="26" t="s">
        <v>52</v>
      </c>
      <c r="E13" s="28" t="n">
        <v>203000</v>
      </c>
      <c r="F13" s="29" t="n">
        <v>12</v>
      </c>
      <c r="H13" s="63" t="n">
        <v>5</v>
      </c>
      <c r="I13" s="31" t="s">
        <v>247</v>
      </c>
      <c r="J13" s="57"/>
      <c r="K13" s="33" t="str">
        <f aca="false">IF(ISBLANK(J13),"◯ Not attempted",IF(NOT(_xlfn.ISFORMULA(J13)),"✎ Use a formula",IF(ISNUMBER(J13),IF(ABS(J13-$M$13)&lt;0.01,"✓ Correct","✗ Check again"),"✗ Not a number")))</f>
        <v>◯ Not attempted</v>
      </c>
      <c r="L13" s="34" t="s">
        <v>248</v>
      </c>
      <c r="M13" s="58" t="n">
        <f aca="false">0</f>
        <v>0</v>
      </c>
    </row>
    <row r="14" customFormat="false" ht="15" hidden="false" customHeight="false" outlineLevel="0" collapsed="false">
      <c r="A14" s="36" t="s">
        <v>68</v>
      </c>
      <c r="B14" s="37" t="n">
        <v>45896</v>
      </c>
      <c r="C14" s="36" t="s">
        <v>69</v>
      </c>
      <c r="D14" s="36" t="s">
        <v>70</v>
      </c>
      <c r="E14" s="38" t="n">
        <v>424000</v>
      </c>
      <c r="F14" s="39" t="n">
        <v>28</v>
      </c>
    </row>
    <row r="15" customFormat="false" ht="15" hidden="false" customHeight="false" outlineLevel="0" collapsed="false">
      <c r="A15" s="26" t="s">
        <v>71</v>
      </c>
      <c r="B15" s="27" t="n">
        <v>46109</v>
      </c>
      <c r="C15" s="26" t="s">
        <v>69</v>
      </c>
      <c r="D15" s="26" t="s">
        <v>62</v>
      </c>
      <c r="E15" s="28" t="n">
        <v>120000</v>
      </c>
      <c r="F15" s="29" t="n">
        <v>12</v>
      </c>
    </row>
    <row r="16" customFormat="false" ht="15" hidden="false" customHeight="false" outlineLevel="0" collapsed="false">
      <c r="A16" s="36" t="s">
        <v>72</v>
      </c>
      <c r="B16" s="37" t="n">
        <v>45824</v>
      </c>
      <c r="C16" s="36" t="s">
        <v>73</v>
      </c>
      <c r="D16" s="36" t="s">
        <v>62</v>
      </c>
      <c r="E16" s="38" t="n">
        <v>109000</v>
      </c>
      <c r="F16" s="39" t="n">
        <v>18</v>
      </c>
    </row>
    <row r="17" customFormat="false" ht="15" hidden="false" customHeight="false" outlineLevel="0" collapsed="false">
      <c r="A17" s="26" t="s">
        <v>74</v>
      </c>
      <c r="B17" s="27" t="n">
        <v>46107</v>
      </c>
      <c r="C17" s="26" t="s">
        <v>75</v>
      </c>
      <c r="D17" s="26" t="s">
        <v>47</v>
      </c>
      <c r="E17" s="28" t="n">
        <v>426500</v>
      </c>
      <c r="F17" s="29" t="n">
        <v>18</v>
      </c>
    </row>
    <row r="18" customFormat="false" ht="15" hidden="false" customHeight="false" outlineLevel="0" collapsed="false">
      <c r="A18" s="36" t="s">
        <v>76</v>
      </c>
      <c r="B18" s="37" t="n">
        <v>45875</v>
      </c>
      <c r="C18" s="36" t="s">
        <v>46</v>
      </c>
      <c r="D18" s="36" t="s">
        <v>52</v>
      </c>
      <c r="E18" s="38" t="n">
        <v>451000</v>
      </c>
      <c r="F18" s="39" t="n">
        <v>5</v>
      </c>
    </row>
    <row r="19" customFormat="false" ht="15" hidden="false" customHeight="false" outlineLevel="0" collapsed="false">
      <c r="A19" s="26" t="s">
        <v>77</v>
      </c>
      <c r="B19" s="27" t="n">
        <v>45888</v>
      </c>
      <c r="C19" s="26" t="s">
        <v>46</v>
      </c>
      <c r="D19" s="26" t="s">
        <v>62</v>
      </c>
      <c r="E19" s="28" t="n">
        <v>327000</v>
      </c>
      <c r="F19" s="29" t="n">
        <v>12</v>
      </c>
    </row>
    <row r="20" customFormat="false" ht="15" hidden="false" customHeight="false" outlineLevel="0" collapsed="false">
      <c r="A20" s="36" t="s">
        <v>78</v>
      </c>
      <c r="B20" s="37" t="n">
        <v>45784</v>
      </c>
      <c r="C20" s="36" t="s">
        <v>79</v>
      </c>
      <c r="D20" s="36" t="s">
        <v>62</v>
      </c>
      <c r="E20" s="38" t="n">
        <v>463000</v>
      </c>
      <c r="F20" s="39" t="n">
        <v>28</v>
      </c>
    </row>
    <row r="21" customFormat="false" ht="15" hidden="false" customHeight="false" outlineLevel="0" collapsed="false">
      <c r="A21" s="26" t="s">
        <v>80</v>
      </c>
      <c r="B21" s="27" t="n">
        <v>45886</v>
      </c>
      <c r="C21" s="26" t="s">
        <v>61</v>
      </c>
      <c r="D21" s="26" t="s">
        <v>57</v>
      </c>
      <c r="E21" s="28" t="n">
        <v>74500</v>
      </c>
      <c r="F21" s="29" t="n">
        <v>5</v>
      </c>
    </row>
    <row r="22" customFormat="false" ht="15" hidden="false" customHeight="false" outlineLevel="0" collapsed="false">
      <c r="A22" s="36" t="s">
        <v>81</v>
      </c>
      <c r="B22" s="37" t="n">
        <v>45996</v>
      </c>
      <c r="C22" s="36" t="s">
        <v>82</v>
      </c>
      <c r="D22" s="36" t="s">
        <v>57</v>
      </c>
      <c r="E22" s="38" t="n">
        <v>96500</v>
      </c>
      <c r="F22" s="39" t="n">
        <v>28</v>
      </c>
    </row>
    <row r="23" customFormat="false" ht="15" hidden="false" customHeight="false" outlineLevel="0" collapsed="false">
      <c r="A23" s="26" t="s">
        <v>83</v>
      </c>
      <c r="B23" s="27" t="n">
        <v>45913</v>
      </c>
      <c r="C23" s="26" t="s">
        <v>84</v>
      </c>
      <c r="D23" s="26" t="s">
        <v>47</v>
      </c>
      <c r="E23" s="28" t="n">
        <v>330000</v>
      </c>
      <c r="F23" s="29" t="n">
        <v>12</v>
      </c>
    </row>
    <row r="24" customFormat="false" ht="15" hidden="false" customHeight="false" outlineLevel="0" collapsed="false">
      <c r="A24" s="36" t="s">
        <v>85</v>
      </c>
      <c r="B24" s="37" t="n">
        <v>46068</v>
      </c>
      <c r="C24" s="36" t="s">
        <v>82</v>
      </c>
      <c r="D24" s="36" t="s">
        <v>57</v>
      </c>
      <c r="E24" s="38" t="n">
        <v>364000</v>
      </c>
      <c r="F24" s="39" t="n">
        <v>28</v>
      </c>
    </row>
    <row r="25" customFormat="false" ht="15" hidden="false" customHeight="false" outlineLevel="0" collapsed="false">
      <c r="A25" s="26" t="s">
        <v>86</v>
      </c>
      <c r="B25" s="27" t="n">
        <v>45802</v>
      </c>
      <c r="C25" s="26" t="s">
        <v>87</v>
      </c>
      <c r="D25" s="26" t="s">
        <v>47</v>
      </c>
      <c r="E25" s="28" t="n">
        <v>72000</v>
      </c>
      <c r="F25" s="29" t="n">
        <v>12</v>
      </c>
    </row>
    <row r="26" customFormat="false" ht="15" hidden="false" customHeight="false" outlineLevel="0" collapsed="false">
      <c r="A26" s="36" t="s">
        <v>88</v>
      </c>
      <c r="B26" s="37" t="n">
        <v>45846</v>
      </c>
      <c r="C26" s="36" t="s">
        <v>79</v>
      </c>
      <c r="D26" s="36" t="s">
        <v>62</v>
      </c>
      <c r="E26" s="38" t="n">
        <v>352500</v>
      </c>
      <c r="F26" s="39" t="n">
        <v>5</v>
      </c>
    </row>
    <row r="27" customFormat="false" ht="15" hidden="false" customHeight="false" outlineLevel="0" collapsed="false">
      <c r="A27" s="26" t="s">
        <v>89</v>
      </c>
      <c r="B27" s="27" t="n">
        <v>46011</v>
      </c>
      <c r="C27" s="26" t="s">
        <v>79</v>
      </c>
      <c r="D27" s="26" t="s">
        <v>52</v>
      </c>
      <c r="E27" s="28" t="n">
        <v>5000</v>
      </c>
      <c r="F27" s="29" t="n">
        <v>18</v>
      </c>
    </row>
    <row r="28" customFormat="false" ht="15" hidden="false" customHeight="false" outlineLevel="0" collapsed="false">
      <c r="A28" s="36" t="s">
        <v>90</v>
      </c>
      <c r="B28" s="37" t="n">
        <v>45762</v>
      </c>
      <c r="C28" s="36" t="s">
        <v>82</v>
      </c>
      <c r="D28" s="36" t="s">
        <v>52</v>
      </c>
      <c r="E28" s="38" t="n">
        <v>132500</v>
      </c>
      <c r="F28" s="39" t="n">
        <v>12</v>
      </c>
    </row>
    <row r="29" customFormat="false" ht="15" hidden="false" customHeight="false" outlineLevel="0" collapsed="false">
      <c r="A29" s="26" t="s">
        <v>91</v>
      </c>
      <c r="B29" s="27" t="n">
        <v>46100</v>
      </c>
      <c r="C29" s="26" t="s">
        <v>73</v>
      </c>
      <c r="D29" s="26" t="s">
        <v>52</v>
      </c>
      <c r="E29" s="28" t="n">
        <v>348500</v>
      </c>
      <c r="F29" s="29" t="n">
        <v>28</v>
      </c>
    </row>
    <row r="30" customFormat="false" ht="15" hidden="false" customHeight="false" outlineLevel="0" collapsed="false">
      <c r="A30" s="36" t="s">
        <v>92</v>
      </c>
      <c r="B30" s="37" t="n">
        <v>46001</v>
      </c>
      <c r="C30" s="36" t="s">
        <v>61</v>
      </c>
      <c r="D30" s="36" t="s">
        <v>47</v>
      </c>
      <c r="E30" s="38" t="n">
        <v>81500</v>
      </c>
      <c r="F30" s="39" t="n">
        <v>12</v>
      </c>
    </row>
    <row r="31" customFormat="false" ht="15" hidden="false" customHeight="false" outlineLevel="0" collapsed="false">
      <c r="A31" s="26" t="s">
        <v>93</v>
      </c>
      <c r="B31" s="27" t="n">
        <v>45780</v>
      </c>
      <c r="C31" s="26" t="s">
        <v>82</v>
      </c>
      <c r="D31" s="26" t="s">
        <v>52</v>
      </c>
      <c r="E31" s="28" t="n">
        <v>251500</v>
      </c>
      <c r="F31" s="29" t="n">
        <v>28</v>
      </c>
    </row>
    <row r="32" customFormat="false" ht="15" hidden="false" customHeight="false" outlineLevel="0" collapsed="false">
      <c r="A32" s="36" t="s">
        <v>94</v>
      </c>
      <c r="B32" s="37" t="n">
        <v>45856</v>
      </c>
      <c r="C32" s="36" t="s">
        <v>61</v>
      </c>
      <c r="D32" s="36" t="s">
        <v>57</v>
      </c>
      <c r="E32" s="38" t="n">
        <v>233500</v>
      </c>
      <c r="F32" s="39" t="n">
        <v>18</v>
      </c>
    </row>
    <row r="33" customFormat="false" ht="15" hidden="false" customHeight="false" outlineLevel="0" collapsed="false">
      <c r="A33" s="26" t="s">
        <v>95</v>
      </c>
      <c r="B33" s="27" t="n">
        <v>45963</v>
      </c>
      <c r="C33" s="26" t="s">
        <v>87</v>
      </c>
      <c r="D33" s="26" t="s">
        <v>52</v>
      </c>
      <c r="E33" s="28" t="n">
        <v>22500</v>
      </c>
      <c r="F33" s="29" t="n">
        <v>28</v>
      </c>
    </row>
    <row r="34" customFormat="false" ht="15" hidden="false" customHeight="false" outlineLevel="0" collapsed="false">
      <c r="A34" s="36" t="s">
        <v>96</v>
      </c>
      <c r="B34" s="37" t="n">
        <v>45963</v>
      </c>
      <c r="C34" s="36" t="s">
        <v>69</v>
      </c>
      <c r="D34" s="36" t="s">
        <v>70</v>
      </c>
      <c r="E34" s="38" t="n">
        <v>273500</v>
      </c>
      <c r="F34" s="39" t="n">
        <v>18</v>
      </c>
    </row>
    <row r="35" customFormat="false" ht="15" hidden="false" customHeight="false" outlineLevel="0" collapsed="false">
      <c r="A35" s="26" t="s">
        <v>97</v>
      </c>
      <c r="B35" s="27" t="n">
        <v>45969</v>
      </c>
      <c r="C35" s="26" t="s">
        <v>82</v>
      </c>
      <c r="D35" s="26" t="s">
        <v>70</v>
      </c>
      <c r="E35" s="28" t="n">
        <v>106000</v>
      </c>
      <c r="F35" s="29" t="n">
        <v>28</v>
      </c>
    </row>
    <row r="36" customFormat="false" ht="15" hidden="false" customHeight="false" outlineLevel="0" collapsed="false">
      <c r="A36" s="36" t="s">
        <v>98</v>
      </c>
      <c r="B36" s="37" t="n">
        <v>45829</v>
      </c>
      <c r="C36" s="36" t="s">
        <v>87</v>
      </c>
      <c r="D36" s="36" t="s">
        <v>52</v>
      </c>
      <c r="E36" s="38" t="n">
        <v>279000</v>
      </c>
      <c r="F36" s="39" t="n">
        <v>28</v>
      </c>
    </row>
    <row r="37" customFormat="false" ht="15" hidden="false" customHeight="false" outlineLevel="0" collapsed="false">
      <c r="A37" s="26" t="s">
        <v>99</v>
      </c>
      <c r="B37" s="27" t="n">
        <v>46071</v>
      </c>
      <c r="C37" s="26" t="s">
        <v>82</v>
      </c>
      <c r="D37" s="26" t="s">
        <v>52</v>
      </c>
      <c r="E37" s="28" t="n">
        <v>134000</v>
      </c>
      <c r="F37" s="29" t="n">
        <v>12</v>
      </c>
    </row>
    <row r="38" customFormat="false" ht="15" hidden="false" customHeight="false" outlineLevel="0" collapsed="false">
      <c r="A38" s="36" t="s">
        <v>100</v>
      </c>
      <c r="B38" s="37" t="n">
        <v>45922</v>
      </c>
      <c r="C38" s="36" t="s">
        <v>51</v>
      </c>
      <c r="D38" s="36" t="s">
        <v>57</v>
      </c>
      <c r="E38" s="38" t="n">
        <v>332500</v>
      </c>
      <c r="F38" s="39" t="n">
        <v>18</v>
      </c>
    </row>
    <row r="39" customFormat="false" ht="15" hidden="false" customHeight="false" outlineLevel="0" collapsed="false">
      <c r="A39" s="26" t="s">
        <v>101</v>
      </c>
      <c r="B39" s="27" t="n">
        <v>45932</v>
      </c>
      <c r="C39" s="26" t="s">
        <v>56</v>
      </c>
      <c r="D39" s="26" t="s">
        <v>57</v>
      </c>
      <c r="E39" s="28" t="n">
        <v>411500</v>
      </c>
      <c r="F39" s="29" t="n">
        <v>18</v>
      </c>
    </row>
    <row r="40" customFormat="false" ht="15" hidden="false" customHeight="false" outlineLevel="0" collapsed="false">
      <c r="A40" s="36" t="s">
        <v>102</v>
      </c>
      <c r="B40" s="37" t="n">
        <v>46047</v>
      </c>
      <c r="C40" s="36" t="s">
        <v>51</v>
      </c>
      <c r="D40" s="36" t="s">
        <v>47</v>
      </c>
      <c r="E40" s="38" t="n">
        <v>116000</v>
      </c>
      <c r="F40" s="39" t="n">
        <v>18</v>
      </c>
    </row>
    <row r="41" customFormat="false" ht="15" hidden="false" customHeight="false" outlineLevel="0" collapsed="false">
      <c r="A41" s="26" t="s">
        <v>103</v>
      </c>
      <c r="B41" s="27" t="n">
        <v>46008</v>
      </c>
      <c r="C41" s="26" t="s">
        <v>73</v>
      </c>
      <c r="D41" s="26" t="s">
        <v>62</v>
      </c>
      <c r="E41" s="28" t="n">
        <v>285000</v>
      </c>
      <c r="F41" s="29" t="n">
        <v>18</v>
      </c>
    </row>
    <row r="42" customFormat="false" ht="15" hidden="false" customHeight="false" outlineLevel="0" collapsed="false">
      <c r="A42" s="36" t="s">
        <v>104</v>
      </c>
      <c r="B42" s="37" t="n">
        <v>45949</v>
      </c>
      <c r="C42" s="36" t="s">
        <v>61</v>
      </c>
      <c r="D42" s="36" t="s">
        <v>62</v>
      </c>
      <c r="E42" s="38" t="n">
        <v>473500</v>
      </c>
      <c r="F42" s="39" t="n">
        <v>5</v>
      </c>
    </row>
    <row r="43" customFormat="false" ht="15" hidden="false" customHeight="false" outlineLevel="0" collapsed="false">
      <c r="A43" s="26" t="s">
        <v>105</v>
      </c>
      <c r="B43" s="27" t="n">
        <v>45758</v>
      </c>
      <c r="C43" s="26" t="s">
        <v>79</v>
      </c>
      <c r="D43" s="26" t="s">
        <v>57</v>
      </c>
      <c r="E43" s="28" t="n">
        <v>332000</v>
      </c>
      <c r="F43" s="29" t="n">
        <v>5</v>
      </c>
    </row>
    <row r="44" customFormat="false" ht="15" hidden="false" customHeight="false" outlineLevel="0" collapsed="false">
      <c r="A44" s="36" t="s">
        <v>106</v>
      </c>
      <c r="B44" s="37" t="n">
        <v>46082</v>
      </c>
      <c r="C44" s="36" t="s">
        <v>51</v>
      </c>
      <c r="D44" s="36" t="s">
        <v>62</v>
      </c>
      <c r="E44" s="38" t="n">
        <v>310500</v>
      </c>
      <c r="F44" s="39" t="n">
        <v>5</v>
      </c>
    </row>
    <row r="45" customFormat="false" ht="15" hidden="false" customHeight="false" outlineLevel="0" collapsed="false">
      <c r="A45" s="26" t="s">
        <v>107</v>
      </c>
      <c r="B45" s="27" t="n">
        <v>45947</v>
      </c>
      <c r="C45" s="26" t="s">
        <v>75</v>
      </c>
      <c r="D45" s="26" t="s">
        <v>70</v>
      </c>
      <c r="E45" s="28" t="n">
        <v>443000</v>
      </c>
      <c r="F45" s="29" t="n">
        <v>5</v>
      </c>
    </row>
    <row r="46" customFormat="false" ht="15" hidden="false" customHeight="false" outlineLevel="0" collapsed="false">
      <c r="A46" s="36" t="s">
        <v>108</v>
      </c>
      <c r="B46" s="37" t="n">
        <v>45831</v>
      </c>
      <c r="C46" s="36" t="s">
        <v>51</v>
      </c>
      <c r="D46" s="36" t="s">
        <v>62</v>
      </c>
      <c r="E46" s="38" t="n">
        <v>442500</v>
      </c>
      <c r="F46" s="39" t="n">
        <v>12</v>
      </c>
    </row>
    <row r="47" customFormat="false" ht="15" hidden="false" customHeight="false" outlineLevel="0" collapsed="false">
      <c r="A47" s="26" t="s">
        <v>109</v>
      </c>
      <c r="B47" s="27" t="n">
        <v>45910</v>
      </c>
      <c r="C47" s="26" t="s">
        <v>82</v>
      </c>
      <c r="D47" s="26" t="s">
        <v>70</v>
      </c>
      <c r="E47" s="28" t="n">
        <v>85000</v>
      </c>
      <c r="F47" s="29" t="n">
        <v>28</v>
      </c>
    </row>
    <row r="48" customFormat="false" ht="15" hidden="false" customHeight="false" outlineLevel="0" collapsed="false">
      <c r="A48" s="36" t="s">
        <v>110</v>
      </c>
      <c r="B48" s="37" t="n">
        <v>46006</v>
      </c>
      <c r="C48" s="36" t="s">
        <v>87</v>
      </c>
      <c r="D48" s="36" t="s">
        <v>62</v>
      </c>
      <c r="E48" s="38" t="n">
        <v>375000</v>
      </c>
      <c r="F48" s="39" t="n">
        <v>12</v>
      </c>
    </row>
    <row r="49" customFormat="false" ht="15" hidden="false" customHeight="false" outlineLevel="0" collapsed="false">
      <c r="A49" s="26" t="s">
        <v>111</v>
      </c>
      <c r="B49" s="27" t="n">
        <v>45922</v>
      </c>
      <c r="C49" s="26" t="s">
        <v>61</v>
      </c>
      <c r="D49" s="26" t="s">
        <v>70</v>
      </c>
      <c r="E49" s="28" t="n">
        <v>97500</v>
      </c>
      <c r="F49" s="29" t="n">
        <v>28</v>
      </c>
    </row>
    <row r="50" customFormat="false" ht="15" hidden="false" customHeight="false" outlineLevel="0" collapsed="false">
      <c r="A50" s="36" t="s">
        <v>112</v>
      </c>
      <c r="B50" s="37" t="n">
        <v>45758</v>
      </c>
      <c r="C50" s="36" t="s">
        <v>69</v>
      </c>
      <c r="D50" s="36" t="s">
        <v>47</v>
      </c>
      <c r="E50" s="38" t="n">
        <v>123500</v>
      </c>
      <c r="F50" s="39" t="n">
        <v>28</v>
      </c>
    </row>
    <row r="51" customFormat="false" ht="15" hidden="false" customHeight="false" outlineLevel="0" collapsed="false">
      <c r="A51" s="26" t="s">
        <v>113</v>
      </c>
      <c r="B51" s="27" t="n">
        <v>46109</v>
      </c>
      <c r="C51" s="26" t="s">
        <v>114</v>
      </c>
      <c r="D51" s="26" t="s">
        <v>62</v>
      </c>
      <c r="E51" s="28" t="n">
        <v>392500</v>
      </c>
      <c r="F51" s="29" t="n">
        <v>12</v>
      </c>
    </row>
    <row r="52" customFormat="false" ht="15" hidden="false" customHeight="false" outlineLevel="0" collapsed="false">
      <c r="A52" s="36" t="s">
        <v>115</v>
      </c>
      <c r="B52" s="37" t="n">
        <v>45786</v>
      </c>
      <c r="C52" s="36" t="s">
        <v>56</v>
      </c>
      <c r="D52" s="36" t="s">
        <v>70</v>
      </c>
      <c r="E52" s="38" t="n">
        <v>162000</v>
      </c>
      <c r="F52" s="39" t="n">
        <v>18</v>
      </c>
    </row>
    <row r="53" customFormat="false" ht="15" hidden="false" customHeight="false" outlineLevel="0" collapsed="false">
      <c r="A53" s="26" t="s">
        <v>116</v>
      </c>
      <c r="B53" s="27" t="n">
        <v>45951</v>
      </c>
      <c r="C53" s="26" t="s">
        <v>46</v>
      </c>
      <c r="D53" s="26" t="s">
        <v>57</v>
      </c>
      <c r="E53" s="28" t="n">
        <v>391000</v>
      </c>
      <c r="F53" s="29" t="n">
        <v>28</v>
      </c>
    </row>
    <row r="54" customFormat="false" ht="15" hidden="false" customHeight="false" outlineLevel="0" collapsed="false">
      <c r="A54" s="36" t="s">
        <v>117</v>
      </c>
      <c r="B54" s="37" t="n">
        <v>46007</v>
      </c>
      <c r="C54" s="36" t="s">
        <v>73</v>
      </c>
      <c r="D54" s="36" t="s">
        <v>70</v>
      </c>
      <c r="E54" s="38" t="n">
        <v>464000</v>
      </c>
      <c r="F54" s="39" t="n">
        <v>12</v>
      </c>
    </row>
    <row r="55" customFormat="false" ht="15" hidden="false" customHeight="false" outlineLevel="0" collapsed="false">
      <c r="A55" s="26" t="s">
        <v>118</v>
      </c>
      <c r="B55" s="27" t="n">
        <v>45869</v>
      </c>
      <c r="C55" s="26" t="s">
        <v>69</v>
      </c>
      <c r="D55" s="26" t="s">
        <v>52</v>
      </c>
      <c r="E55" s="28" t="n">
        <v>363000</v>
      </c>
      <c r="F55" s="29" t="n">
        <v>5</v>
      </c>
    </row>
    <row r="56" customFormat="false" ht="15" hidden="false" customHeight="false" outlineLevel="0" collapsed="false">
      <c r="A56" s="36" t="s">
        <v>119</v>
      </c>
      <c r="B56" s="37" t="n">
        <v>45839</v>
      </c>
      <c r="C56" s="36" t="s">
        <v>82</v>
      </c>
      <c r="D56" s="36" t="s">
        <v>70</v>
      </c>
      <c r="E56" s="38" t="n">
        <v>60000</v>
      </c>
      <c r="F56" s="39" t="n">
        <v>28</v>
      </c>
    </row>
    <row r="57" customFormat="false" ht="15" hidden="false" customHeight="false" outlineLevel="0" collapsed="false">
      <c r="A57" s="26" t="s">
        <v>120</v>
      </c>
      <c r="B57" s="27" t="n">
        <v>46039</v>
      </c>
      <c r="C57" s="26" t="s">
        <v>79</v>
      </c>
      <c r="D57" s="26" t="s">
        <v>62</v>
      </c>
      <c r="E57" s="28" t="n">
        <v>217500</v>
      </c>
      <c r="F57" s="29" t="n">
        <v>18</v>
      </c>
    </row>
    <row r="58" customFormat="false" ht="15" hidden="false" customHeight="false" outlineLevel="0" collapsed="false">
      <c r="A58" s="36" t="s">
        <v>121</v>
      </c>
      <c r="B58" s="37" t="n">
        <v>45786</v>
      </c>
      <c r="C58" s="36" t="s">
        <v>82</v>
      </c>
      <c r="D58" s="36" t="s">
        <v>47</v>
      </c>
      <c r="E58" s="38" t="n">
        <v>140500</v>
      </c>
      <c r="F58" s="39" t="n">
        <v>28</v>
      </c>
    </row>
    <row r="59" customFormat="false" ht="15" hidden="false" customHeight="false" outlineLevel="0" collapsed="false">
      <c r="A59" s="26" t="s">
        <v>122</v>
      </c>
      <c r="B59" s="27" t="n">
        <v>45788</v>
      </c>
      <c r="C59" s="26" t="s">
        <v>114</v>
      </c>
      <c r="D59" s="26" t="s">
        <v>57</v>
      </c>
      <c r="E59" s="28" t="n">
        <v>391500</v>
      </c>
      <c r="F59" s="29" t="n">
        <v>28</v>
      </c>
    </row>
    <row r="60" customFormat="false" ht="15" hidden="false" customHeight="false" outlineLevel="0" collapsed="false">
      <c r="A60" s="36" t="s">
        <v>123</v>
      </c>
      <c r="B60" s="37" t="n">
        <v>45763</v>
      </c>
      <c r="C60" s="36" t="s">
        <v>61</v>
      </c>
      <c r="D60" s="36" t="s">
        <v>62</v>
      </c>
      <c r="E60" s="38" t="n">
        <v>344000</v>
      </c>
      <c r="F60" s="39" t="n">
        <v>18</v>
      </c>
    </row>
    <row r="61" customFormat="false" ht="15" hidden="false" customHeight="false" outlineLevel="0" collapsed="false">
      <c r="A61" s="26" t="s">
        <v>124</v>
      </c>
      <c r="B61" s="27" t="n">
        <v>45979</v>
      </c>
      <c r="C61" s="26" t="s">
        <v>79</v>
      </c>
      <c r="D61" s="26" t="s">
        <v>57</v>
      </c>
      <c r="E61" s="28" t="n">
        <v>253500</v>
      </c>
      <c r="F61" s="29" t="n">
        <v>18</v>
      </c>
    </row>
    <row r="62" customFormat="false" ht="15" hidden="false" customHeight="false" outlineLevel="0" collapsed="false">
      <c r="A62" s="36" t="s">
        <v>125</v>
      </c>
      <c r="B62" s="37" t="n">
        <v>46067</v>
      </c>
      <c r="C62" s="36" t="s">
        <v>46</v>
      </c>
      <c r="D62" s="36" t="s">
        <v>47</v>
      </c>
      <c r="E62" s="38" t="n">
        <v>14000</v>
      </c>
      <c r="F62" s="39" t="n">
        <v>5</v>
      </c>
    </row>
    <row r="63" customFormat="false" ht="15" hidden="false" customHeight="false" outlineLevel="0" collapsed="false">
      <c r="A63" s="26" t="s">
        <v>126</v>
      </c>
      <c r="B63" s="27" t="n">
        <v>45914</v>
      </c>
      <c r="C63" s="26" t="s">
        <v>73</v>
      </c>
      <c r="D63" s="26" t="s">
        <v>47</v>
      </c>
      <c r="E63" s="28" t="n">
        <v>61000</v>
      </c>
      <c r="F63" s="29" t="n">
        <v>12</v>
      </c>
    </row>
    <row r="64" customFormat="false" ht="15" hidden="false" customHeight="false" outlineLevel="0" collapsed="false">
      <c r="A64" s="36" t="s">
        <v>127</v>
      </c>
      <c r="B64" s="37" t="n">
        <v>46068</v>
      </c>
      <c r="C64" s="36" t="s">
        <v>75</v>
      </c>
      <c r="D64" s="36" t="s">
        <v>52</v>
      </c>
      <c r="E64" s="38" t="n">
        <v>108500</v>
      </c>
      <c r="F64" s="39" t="n">
        <v>5</v>
      </c>
    </row>
    <row r="65" customFormat="false" ht="15" hidden="false" customHeight="false" outlineLevel="0" collapsed="false">
      <c r="A65" s="26" t="s">
        <v>128</v>
      </c>
      <c r="B65" s="27" t="n">
        <v>45890</v>
      </c>
      <c r="C65" s="26" t="s">
        <v>51</v>
      </c>
      <c r="D65" s="26" t="s">
        <v>47</v>
      </c>
      <c r="E65" s="28" t="n">
        <v>479000</v>
      </c>
      <c r="F65" s="29" t="n">
        <v>18</v>
      </c>
    </row>
    <row r="66" customFormat="false" ht="15" hidden="false" customHeight="false" outlineLevel="0" collapsed="false">
      <c r="A66" s="36" t="s">
        <v>129</v>
      </c>
      <c r="B66" s="37" t="n">
        <v>46052</v>
      </c>
      <c r="C66" s="36" t="s">
        <v>114</v>
      </c>
      <c r="D66" s="36" t="s">
        <v>70</v>
      </c>
      <c r="E66" s="38" t="n">
        <v>418000</v>
      </c>
      <c r="F66" s="39" t="n">
        <v>12</v>
      </c>
    </row>
    <row r="67" customFormat="false" ht="15" hidden="false" customHeight="false" outlineLevel="0" collapsed="false">
      <c r="A67" s="26" t="s">
        <v>130</v>
      </c>
      <c r="B67" s="27" t="n">
        <v>45930</v>
      </c>
      <c r="C67" s="26" t="s">
        <v>56</v>
      </c>
      <c r="D67" s="26" t="s">
        <v>57</v>
      </c>
      <c r="E67" s="28" t="n">
        <v>198500</v>
      </c>
      <c r="F67" s="29" t="n">
        <v>12</v>
      </c>
    </row>
    <row r="68" customFormat="false" ht="15" hidden="false" customHeight="false" outlineLevel="0" collapsed="false">
      <c r="A68" s="36" t="s">
        <v>131</v>
      </c>
      <c r="B68" s="37" t="n">
        <v>45954</v>
      </c>
      <c r="C68" s="36" t="s">
        <v>87</v>
      </c>
      <c r="D68" s="36" t="s">
        <v>70</v>
      </c>
      <c r="E68" s="38" t="n">
        <v>317000</v>
      </c>
      <c r="F68" s="39" t="n">
        <v>18</v>
      </c>
    </row>
    <row r="69" customFormat="false" ht="15" hidden="false" customHeight="false" outlineLevel="0" collapsed="false">
      <c r="A69" s="26" t="s">
        <v>132</v>
      </c>
      <c r="B69" s="27" t="n">
        <v>45913</v>
      </c>
      <c r="C69" s="26" t="s">
        <v>46</v>
      </c>
      <c r="D69" s="26" t="s">
        <v>57</v>
      </c>
      <c r="E69" s="28" t="n">
        <v>152000</v>
      </c>
      <c r="F69" s="29" t="n">
        <v>18</v>
      </c>
    </row>
    <row r="70" customFormat="false" ht="15" hidden="false" customHeight="false" outlineLevel="0" collapsed="false">
      <c r="A70" s="36" t="s">
        <v>133</v>
      </c>
      <c r="B70" s="37" t="n">
        <v>45828</v>
      </c>
      <c r="C70" s="36" t="s">
        <v>75</v>
      </c>
      <c r="D70" s="36" t="s">
        <v>70</v>
      </c>
      <c r="E70" s="38" t="n">
        <v>266000</v>
      </c>
      <c r="F70" s="39" t="n">
        <v>18</v>
      </c>
    </row>
    <row r="71" customFormat="false" ht="15" hidden="false" customHeight="false" outlineLevel="0" collapsed="false">
      <c r="A71" s="26" t="s">
        <v>134</v>
      </c>
      <c r="B71" s="27" t="n">
        <v>45943</v>
      </c>
      <c r="C71" s="26" t="s">
        <v>84</v>
      </c>
      <c r="D71" s="26" t="s">
        <v>62</v>
      </c>
      <c r="E71" s="28" t="n">
        <v>151000</v>
      </c>
      <c r="F71" s="29" t="n">
        <v>5</v>
      </c>
    </row>
    <row r="72" customFormat="false" ht="15" hidden="false" customHeight="false" outlineLevel="0" collapsed="false">
      <c r="A72" s="36" t="s">
        <v>135</v>
      </c>
      <c r="B72" s="37" t="n">
        <v>45885</v>
      </c>
      <c r="C72" s="36" t="s">
        <v>84</v>
      </c>
      <c r="D72" s="36" t="s">
        <v>62</v>
      </c>
      <c r="E72" s="38" t="n">
        <v>276000</v>
      </c>
      <c r="F72" s="39" t="n">
        <v>28</v>
      </c>
    </row>
    <row r="73" customFormat="false" ht="15" hidden="false" customHeight="false" outlineLevel="0" collapsed="false">
      <c r="A73" s="26" t="s">
        <v>136</v>
      </c>
      <c r="B73" s="27" t="n">
        <v>46051</v>
      </c>
      <c r="C73" s="26" t="s">
        <v>79</v>
      </c>
      <c r="D73" s="26" t="s">
        <v>57</v>
      </c>
      <c r="E73" s="28" t="n">
        <v>218500</v>
      </c>
      <c r="F73" s="29" t="n">
        <v>5</v>
      </c>
    </row>
    <row r="74" customFormat="false" ht="15" hidden="false" customHeight="false" outlineLevel="0" collapsed="false">
      <c r="A74" s="36" t="s">
        <v>137</v>
      </c>
      <c r="B74" s="37" t="n">
        <v>45815</v>
      </c>
      <c r="C74" s="36" t="s">
        <v>61</v>
      </c>
      <c r="D74" s="36" t="s">
        <v>70</v>
      </c>
      <c r="E74" s="38" t="n">
        <v>327500</v>
      </c>
      <c r="F74" s="39" t="n">
        <v>12</v>
      </c>
    </row>
    <row r="75" customFormat="false" ht="15" hidden="false" customHeight="false" outlineLevel="0" collapsed="false">
      <c r="A75" s="26" t="s">
        <v>138</v>
      </c>
      <c r="B75" s="27" t="n">
        <v>45917</v>
      </c>
      <c r="C75" s="26" t="s">
        <v>56</v>
      </c>
      <c r="D75" s="26" t="s">
        <v>47</v>
      </c>
      <c r="E75" s="28" t="n">
        <v>408500</v>
      </c>
      <c r="F75" s="29" t="n">
        <v>5</v>
      </c>
    </row>
    <row r="76" customFormat="false" ht="15" hidden="false" customHeight="false" outlineLevel="0" collapsed="false">
      <c r="A76" s="36" t="s">
        <v>139</v>
      </c>
      <c r="B76" s="37" t="n">
        <v>45818</v>
      </c>
      <c r="C76" s="36" t="s">
        <v>79</v>
      </c>
      <c r="D76" s="36" t="s">
        <v>70</v>
      </c>
      <c r="E76" s="38" t="n">
        <v>161500</v>
      </c>
      <c r="F76" s="39" t="n">
        <v>5</v>
      </c>
    </row>
    <row r="77" customFormat="false" ht="15" hidden="false" customHeight="false" outlineLevel="0" collapsed="false">
      <c r="A77" s="26" t="s">
        <v>140</v>
      </c>
      <c r="B77" s="27" t="n">
        <v>45841</v>
      </c>
      <c r="C77" s="26" t="s">
        <v>84</v>
      </c>
      <c r="D77" s="26" t="s">
        <v>47</v>
      </c>
      <c r="E77" s="28" t="n">
        <v>353000</v>
      </c>
      <c r="F77" s="29" t="n">
        <v>5</v>
      </c>
    </row>
    <row r="78" customFormat="false" ht="15" hidden="false" customHeight="false" outlineLevel="0" collapsed="false">
      <c r="A78" s="36" t="s">
        <v>141</v>
      </c>
      <c r="B78" s="37" t="n">
        <v>45927</v>
      </c>
      <c r="C78" s="36" t="s">
        <v>75</v>
      </c>
      <c r="D78" s="36" t="s">
        <v>57</v>
      </c>
      <c r="E78" s="38" t="n">
        <v>388500</v>
      </c>
      <c r="F78" s="39" t="n">
        <v>18</v>
      </c>
    </row>
    <row r="79" customFormat="false" ht="15" hidden="false" customHeight="false" outlineLevel="0" collapsed="false">
      <c r="A79" s="26" t="s">
        <v>142</v>
      </c>
      <c r="B79" s="27" t="n">
        <v>45800</v>
      </c>
      <c r="C79" s="26" t="s">
        <v>73</v>
      </c>
      <c r="D79" s="26" t="s">
        <v>70</v>
      </c>
      <c r="E79" s="28" t="n">
        <v>313000</v>
      </c>
      <c r="F79" s="29" t="n">
        <v>28</v>
      </c>
    </row>
    <row r="80" customFormat="false" ht="15" hidden="false" customHeight="false" outlineLevel="0" collapsed="false">
      <c r="A80" s="36" t="s">
        <v>143</v>
      </c>
      <c r="B80" s="37" t="n">
        <v>46052</v>
      </c>
      <c r="C80" s="36" t="s">
        <v>82</v>
      </c>
      <c r="D80" s="36" t="s">
        <v>52</v>
      </c>
      <c r="E80" s="38" t="n">
        <v>149500</v>
      </c>
      <c r="F80" s="39" t="n">
        <v>12</v>
      </c>
    </row>
    <row r="81" customFormat="false" ht="15" hidden="false" customHeight="false" outlineLevel="0" collapsed="false">
      <c r="A81" s="26" t="s">
        <v>144</v>
      </c>
      <c r="B81" s="27" t="n">
        <v>45983</v>
      </c>
      <c r="C81" s="26" t="s">
        <v>51</v>
      </c>
      <c r="D81" s="26" t="s">
        <v>52</v>
      </c>
      <c r="E81" s="28" t="n">
        <v>340500</v>
      </c>
      <c r="F81" s="29" t="n">
        <v>12</v>
      </c>
    </row>
    <row r="82" customFormat="false" ht="15" hidden="false" customHeight="false" outlineLevel="0" collapsed="false">
      <c r="A82" s="36" t="s">
        <v>145</v>
      </c>
      <c r="B82" s="37" t="n">
        <v>45909</v>
      </c>
      <c r="C82" s="36" t="s">
        <v>114</v>
      </c>
      <c r="D82" s="36" t="s">
        <v>47</v>
      </c>
      <c r="E82" s="38" t="n">
        <v>29000</v>
      </c>
      <c r="F82" s="39" t="n">
        <v>28</v>
      </c>
    </row>
    <row r="83" customFormat="false" ht="15" hidden="false" customHeight="false" outlineLevel="0" collapsed="false">
      <c r="A83" s="26" t="s">
        <v>146</v>
      </c>
      <c r="B83" s="27" t="n">
        <v>45899</v>
      </c>
      <c r="C83" s="26" t="s">
        <v>73</v>
      </c>
      <c r="D83" s="26" t="s">
        <v>62</v>
      </c>
      <c r="E83" s="28" t="n">
        <v>143500</v>
      </c>
      <c r="F83" s="29" t="n">
        <v>12</v>
      </c>
    </row>
    <row r="84" customFormat="false" ht="15" hidden="false" customHeight="false" outlineLevel="0" collapsed="false">
      <c r="A84" s="36" t="s">
        <v>147</v>
      </c>
      <c r="B84" s="37" t="n">
        <v>46034</v>
      </c>
      <c r="C84" s="36" t="s">
        <v>46</v>
      </c>
      <c r="D84" s="36" t="s">
        <v>47</v>
      </c>
      <c r="E84" s="38" t="n">
        <v>3500</v>
      </c>
      <c r="F84" s="39" t="n">
        <v>28</v>
      </c>
    </row>
    <row r="85" customFormat="false" ht="15" hidden="false" customHeight="false" outlineLevel="0" collapsed="false">
      <c r="A85" s="26" t="s">
        <v>148</v>
      </c>
      <c r="B85" s="27" t="n">
        <v>45916</v>
      </c>
      <c r="C85" s="26" t="s">
        <v>114</v>
      </c>
      <c r="D85" s="26" t="s">
        <v>47</v>
      </c>
      <c r="E85" s="28" t="n">
        <v>229000</v>
      </c>
      <c r="F85" s="29" t="n">
        <v>5</v>
      </c>
    </row>
    <row r="86" customFormat="false" ht="15" hidden="false" customHeight="false" outlineLevel="0" collapsed="false">
      <c r="A86" s="36" t="s">
        <v>149</v>
      </c>
      <c r="B86" s="37" t="n">
        <v>46044</v>
      </c>
      <c r="C86" s="36" t="s">
        <v>82</v>
      </c>
      <c r="D86" s="36" t="s">
        <v>47</v>
      </c>
      <c r="E86" s="38" t="n">
        <v>429500</v>
      </c>
      <c r="F86" s="39" t="n">
        <v>5</v>
      </c>
    </row>
    <row r="87" customFormat="false" ht="15" hidden="false" customHeight="false" outlineLevel="0" collapsed="false">
      <c r="A87" s="26" t="s">
        <v>150</v>
      </c>
      <c r="B87" s="27" t="n">
        <v>46089</v>
      </c>
      <c r="C87" s="26" t="s">
        <v>56</v>
      </c>
      <c r="D87" s="26" t="s">
        <v>47</v>
      </c>
      <c r="E87" s="28" t="n">
        <v>131000</v>
      </c>
      <c r="F87" s="29" t="n">
        <v>18</v>
      </c>
    </row>
    <row r="88" customFormat="false" ht="15" hidden="false" customHeight="false" outlineLevel="0" collapsed="false">
      <c r="A88" s="36" t="s">
        <v>151</v>
      </c>
      <c r="B88" s="37" t="n">
        <v>45792</v>
      </c>
      <c r="C88" s="36" t="s">
        <v>69</v>
      </c>
      <c r="D88" s="36" t="s">
        <v>47</v>
      </c>
      <c r="E88" s="38" t="n">
        <v>107500</v>
      </c>
      <c r="F88" s="39" t="n">
        <v>28</v>
      </c>
    </row>
    <row r="89" customFormat="false" ht="15" hidden="false" customHeight="false" outlineLevel="0" collapsed="false">
      <c r="A89" s="26" t="s">
        <v>152</v>
      </c>
      <c r="B89" s="27" t="n">
        <v>45978</v>
      </c>
      <c r="C89" s="26" t="s">
        <v>73</v>
      </c>
      <c r="D89" s="26" t="s">
        <v>52</v>
      </c>
      <c r="E89" s="28" t="n">
        <v>200500</v>
      </c>
      <c r="F89" s="29" t="n">
        <v>12</v>
      </c>
    </row>
    <row r="90" customFormat="false" ht="15" hidden="false" customHeight="false" outlineLevel="0" collapsed="false">
      <c r="A90" s="36" t="s">
        <v>153</v>
      </c>
      <c r="B90" s="37" t="n">
        <v>45873</v>
      </c>
      <c r="C90" s="36" t="s">
        <v>87</v>
      </c>
      <c r="D90" s="36" t="s">
        <v>62</v>
      </c>
      <c r="E90" s="38" t="n">
        <v>112500</v>
      </c>
      <c r="F90" s="39" t="n">
        <v>18</v>
      </c>
    </row>
    <row r="91" customFormat="false" ht="15" hidden="false" customHeight="false" outlineLevel="0" collapsed="false">
      <c r="A91" s="26" t="s">
        <v>154</v>
      </c>
      <c r="B91" s="27" t="n">
        <v>46068</v>
      </c>
      <c r="C91" s="26" t="s">
        <v>114</v>
      </c>
      <c r="D91" s="26" t="s">
        <v>52</v>
      </c>
      <c r="E91" s="28" t="n">
        <v>277000</v>
      </c>
      <c r="F91" s="29" t="n">
        <v>12</v>
      </c>
    </row>
    <row r="92" customFormat="false" ht="15" hidden="false" customHeight="false" outlineLevel="0" collapsed="false">
      <c r="A92" s="36" t="s">
        <v>155</v>
      </c>
      <c r="B92" s="37" t="n">
        <v>45924</v>
      </c>
      <c r="C92" s="36" t="s">
        <v>69</v>
      </c>
      <c r="D92" s="36" t="s">
        <v>62</v>
      </c>
      <c r="E92" s="38" t="n">
        <v>448500</v>
      </c>
      <c r="F92" s="39" t="n">
        <v>28</v>
      </c>
    </row>
    <row r="93" customFormat="false" ht="15" hidden="false" customHeight="false" outlineLevel="0" collapsed="false">
      <c r="A93" s="26" t="s">
        <v>156</v>
      </c>
      <c r="B93" s="27" t="n">
        <v>45832</v>
      </c>
      <c r="C93" s="26" t="s">
        <v>79</v>
      </c>
      <c r="D93" s="26" t="s">
        <v>70</v>
      </c>
      <c r="E93" s="28" t="n">
        <v>396500</v>
      </c>
      <c r="F93" s="29" t="n">
        <v>5</v>
      </c>
    </row>
    <row r="94" customFormat="false" ht="15" hidden="false" customHeight="false" outlineLevel="0" collapsed="false">
      <c r="A94" s="36" t="s">
        <v>157</v>
      </c>
      <c r="B94" s="37" t="n">
        <v>45938</v>
      </c>
      <c r="C94" s="36" t="s">
        <v>114</v>
      </c>
      <c r="D94" s="36" t="s">
        <v>62</v>
      </c>
      <c r="E94" s="38" t="n">
        <v>274500</v>
      </c>
      <c r="F94" s="39" t="n">
        <v>18</v>
      </c>
    </row>
    <row r="95" customFormat="false" ht="15" hidden="false" customHeight="false" outlineLevel="0" collapsed="false">
      <c r="A95" s="26" t="s">
        <v>158</v>
      </c>
      <c r="B95" s="27" t="n">
        <v>46107</v>
      </c>
      <c r="C95" s="26" t="s">
        <v>69</v>
      </c>
      <c r="D95" s="26" t="s">
        <v>62</v>
      </c>
      <c r="E95" s="28" t="n">
        <v>184000</v>
      </c>
      <c r="F95" s="29" t="n">
        <v>28</v>
      </c>
    </row>
    <row r="96" customFormat="false" ht="15" hidden="false" customHeight="false" outlineLevel="0" collapsed="false">
      <c r="A96" s="36" t="s">
        <v>159</v>
      </c>
      <c r="B96" s="37" t="n">
        <v>45793</v>
      </c>
      <c r="C96" s="36" t="s">
        <v>46</v>
      </c>
      <c r="D96" s="36" t="s">
        <v>47</v>
      </c>
      <c r="E96" s="38" t="n">
        <v>290500</v>
      </c>
      <c r="F96" s="39" t="n">
        <v>5</v>
      </c>
    </row>
    <row r="97" customFormat="false" ht="15" hidden="false" customHeight="false" outlineLevel="0" collapsed="false">
      <c r="A97" s="26" t="s">
        <v>160</v>
      </c>
      <c r="B97" s="27" t="n">
        <v>45918</v>
      </c>
      <c r="C97" s="26" t="s">
        <v>46</v>
      </c>
      <c r="D97" s="26" t="s">
        <v>52</v>
      </c>
      <c r="E97" s="28" t="n">
        <v>458000</v>
      </c>
      <c r="F97" s="29" t="n">
        <v>12</v>
      </c>
    </row>
    <row r="98" customFormat="false" ht="15" hidden="false" customHeight="false" outlineLevel="0" collapsed="false">
      <c r="A98" s="36" t="s">
        <v>161</v>
      </c>
      <c r="B98" s="37" t="n">
        <v>45883</v>
      </c>
      <c r="C98" s="36" t="s">
        <v>114</v>
      </c>
      <c r="D98" s="36" t="s">
        <v>52</v>
      </c>
      <c r="E98" s="38" t="n">
        <v>294500</v>
      </c>
      <c r="F98" s="39" t="n">
        <v>28</v>
      </c>
    </row>
    <row r="99" customFormat="false" ht="15" hidden="false" customHeight="false" outlineLevel="0" collapsed="false">
      <c r="A99" s="26" t="s">
        <v>162</v>
      </c>
      <c r="B99" s="27" t="n">
        <v>45845</v>
      </c>
      <c r="C99" s="26" t="s">
        <v>61</v>
      </c>
      <c r="D99" s="26" t="s">
        <v>57</v>
      </c>
      <c r="E99" s="28" t="n">
        <v>154500</v>
      </c>
      <c r="F99" s="29" t="n">
        <v>28</v>
      </c>
    </row>
    <row r="100" customFormat="false" ht="15" hidden="false" customHeight="false" outlineLevel="0" collapsed="false">
      <c r="A100" s="36" t="s">
        <v>163</v>
      </c>
      <c r="B100" s="37" t="n">
        <v>45928</v>
      </c>
      <c r="C100" s="36" t="s">
        <v>87</v>
      </c>
      <c r="D100" s="36" t="s">
        <v>47</v>
      </c>
      <c r="E100" s="38" t="n">
        <v>424500</v>
      </c>
      <c r="F100" s="39" t="n">
        <v>12</v>
      </c>
    </row>
    <row r="101" customFormat="false" ht="15" hidden="false" customHeight="false" outlineLevel="0" collapsed="false">
      <c r="A101" s="26" t="s">
        <v>164</v>
      </c>
      <c r="B101" s="27" t="n">
        <v>45795</v>
      </c>
      <c r="C101" s="26" t="s">
        <v>51</v>
      </c>
      <c r="D101" s="26" t="s">
        <v>52</v>
      </c>
      <c r="E101" s="28" t="n">
        <v>171500</v>
      </c>
      <c r="F101" s="29" t="n">
        <v>5</v>
      </c>
    </row>
    <row r="102" customFormat="false" ht="15" hidden="false" customHeight="false" outlineLevel="0" collapsed="false">
      <c r="A102" s="36" t="s">
        <v>165</v>
      </c>
      <c r="B102" s="37" t="n">
        <v>45884</v>
      </c>
      <c r="C102" s="36" t="s">
        <v>82</v>
      </c>
      <c r="D102" s="36" t="s">
        <v>62</v>
      </c>
      <c r="E102" s="38" t="n">
        <v>291000</v>
      </c>
      <c r="F102" s="39" t="n">
        <v>18</v>
      </c>
    </row>
    <row r="103" customFormat="false" ht="15" hidden="false" customHeight="false" outlineLevel="0" collapsed="false">
      <c r="A103" s="26" t="s">
        <v>166</v>
      </c>
      <c r="B103" s="27" t="n">
        <v>45976</v>
      </c>
      <c r="C103" s="26" t="s">
        <v>82</v>
      </c>
      <c r="D103" s="26" t="s">
        <v>47</v>
      </c>
      <c r="E103" s="28" t="n">
        <v>367000</v>
      </c>
      <c r="F103" s="29" t="n">
        <v>12</v>
      </c>
    </row>
    <row r="104" customFormat="false" ht="15" hidden="false" customHeight="false" outlineLevel="0" collapsed="false">
      <c r="A104" s="36" t="s">
        <v>167</v>
      </c>
      <c r="B104" s="37" t="n">
        <v>45824</v>
      </c>
      <c r="C104" s="36" t="s">
        <v>69</v>
      </c>
      <c r="D104" s="36" t="s">
        <v>62</v>
      </c>
      <c r="E104" s="38" t="n">
        <v>328500</v>
      </c>
      <c r="F104" s="39" t="n">
        <v>5</v>
      </c>
    </row>
    <row r="105" customFormat="false" ht="15" hidden="false" customHeight="false" outlineLevel="0" collapsed="false">
      <c r="A105" s="26" t="s">
        <v>168</v>
      </c>
      <c r="B105" s="27" t="n">
        <v>45992</v>
      </c>
      <c r="C105" s="26" t="s">
        <v>84</v>
      </c>
      <c r="D105" s="26" t="s">
        <v>47</v>
      </c>
      <c r="E105" s="28" t="n">
        <v>147500</v>
      </c>
      <c r="F105" s="29" t="n">
        <v>12</v>
      </c>
    </row>
    <row r="106" customFormat="false" ht="15" hidden="false" customHeight="false" outlineLevel="0" collapsed="false">
      <c r="A106" s="36" t="s">
        <v>169</v>
      </c>
      <c r="B106" s="37" t="n">
        <v>46018</v>
      </c>
      <c r="C106" s="36" t="s">
        <v>46</v>
      </c>
      <c r="D106" s="36" t="s">
        <v>62</v>
      </c>
      <c r="E106" s="38" t="n">
        <v>202500</v>
      </c>
      <c r="F106" s="39" t="n">
        <v>12</v>
      </c>
    </row>
    <row r="107" customFormat="false" ht="15" hidden="false" customHeight="false" outlineLevel="0" collapsed="false">
      <c r="A107" s="26" t="s">
        <v>170</v>
      </c>
      <c r="B107" s="27" t="n">
        <v>45980</v>
      </c>
      <c r="C107" s="26" t="s">
        <v>84</v>
      </c>
      <c r="D107" s="26" t="s">
        <v>70</v>
      </c>
      <c r="E107" s="28" t="n">
        <v>384500</v>
      </c>
      <c r="F107" s="29" t="n">
        <v>5</v>
      </c>
    </row>
    <row r="108" customFormat="false" ht="15" hidden="false" customHeight="false" outlineLevel="0" collapsed="false">
      <c r="A108" s="36" t="s">
        <v>171</v>
      </c>
      <c r="B108" s="37" t="n">
        <v>46106</v>
      </c>
      <c r="C108" s="36" t="s">
        <v>51</v>
      </c>
      <c r="D108" s="36" t="s">
        <v>52</v>
      </c>
      <c r="E108" s="38" t="n">
        <v>194500</v>
      </c>
      <c r="F108" s="39" t="n">
        <v>12</v>
      </c>
    </row>
    <row r="109" customFormat="false" ht="15" hidden="false" customHeight="false" outlineLevel="0" collapsed="false">
      <c r="A109" s="26" t="s">
        <v>172</v>
      </c>
      <c r="B109" s="27" t="n">
        <v>46016</v>
      </c>
      <c r="C109" s="26" t="s">
        <v>56</v>
      </c>
      <c r="D109" s="26" t="s">
        <v>47</v>
      </c>
      <c r="E109" s="28" t="n">
        <v>375000</v>
      </c>
      <c r="F109" s="29" t="n">
        <v>5</v>
      </c>
    </row>
    <row r="110" customFormat="false" ht="15" hidden="false" customHeight="false" outlineLevel="0" collapsed="false">
      <c r="A110" s="36" t="s">
        <v>173</v>
      </c>
      <c r="B110" s="37" t="n">
        <v>45843</v>
      </c>
      <c r="C110" s="36" t="s">
        <v>75</v>
      </c>
      <c r="D110" s="36" t="s">
        <v>47</v>
      </c>
      <c r="E110" s="38" t="n">
        <v>244000</v>
      </c>
      <c r="F110" s="39" t="n">
        <v>5</v>
      </c>
    </row>
    <row r="111" customFormat="false" ht="15" hidden="false" customHeight="false" outlineLevel="0" collapsed="false">
      <c r="A111" s="26" t="s">
        <v>174</v>
      </c>
      <c r="B111" s="27" t="n">
        <v>45964</v>
      </c>
      <c r="C111" s="26" t="s">
        <v>46</v>
      </c>
      <c r="D111" s="26" t="s">
        <v>47</v>
      </c>
      <c r="E111" s="28" t="n">
        <v>263000</v>
      </c>
      <c r="F111" s="29" t="n">
        <v>18</v>
      </c>
    </row>
    <row r="112" customFormat="false" ht="15" hidden="false" customHeight="false" outlineLevel="0" collapsed="false">
      <c r="A112" s="36" t="s">
        <v>175</v>
      </c>
      <c r="B112" s="37" t="n">
        <v>45961</v>
      </c>
      <c r="C112" s="36" t="s">
        <v>51</v>
      </c>
      <c r="D112" s="36" t="s">
        <v>52</v>
      </c>
      <c r="E112" s="38" t="n">
        <v>182500</v>
      </c>
      <c r="F112" s="39" t="n">
        <v>12</v>
      </c>
    </row>
    <row r="113" customFormat="false" ht="15" hidden="false" customHeight="false" outlineLevel="0" collapsed="false">
      <c r="A113" s="26" t="s">
        <v>176</v>
      </c>
      <c r="B113" s="27" t="n">
        <v>45919</v>
      </c>
      <c r="C113" s="26" t="s">
        <v>82</v>
      </c>
      <c r="D113" s="26" t="s">
        <v>62</v>
      </c>
      <c r="E113" s="28" t="n">
        <v>271500</v>
      </c>
      <c r="F113" s="29" t="n">
        <v>18</v>
      </c>
    </row>
    <row r="114" customFormat="false" ht="15" hidden="false" customHeight="false" outlineLevel="0" collapsed="false">
      <c r="A114" s="36" t="s">
        <v>177</v>
      </c>
      <c r="B114" s="37" t="n">
        <v>45804</v>
      </c>
      <c r="C114" s="36" t="s">
        <v>46</v>
      </c>
      <c r="D114" s="36" t="s">
        <v>70</v>
      </c>
      <c r="E114" s="38" t="n">
        <v>374500</v>
      </c>
      <c r="F114" s="39" t="n">
        <v>5</v>
      </c>
    </row>
    <row r="115" customFormat="false" ht="15" hidden="false" customHeight="false" outlineLevel="0" collapsed="false">
      <c r="A115" s="26" t="s">
        <v>178</v>
      </c>
      <c r="B115" s="27" t="n">
        <v>45874</v>
      </c>
      <c r="C115" s="26" t="s">
        <v>75</v>
      </c>
      <c r="D115" s="26" t="s">
        <v>47</v>
      </c>
      <c r="E115" s="28" t="n">
        <v>401000</v>
      </c>
      <c r="F115" s="29" t="n">
        <v>18</v>
      </c>
    </row>
    <row r="116" customFormat="false" ht="15" hidden="false" customHeight="false" outlineLevel="0" collapsed="false">
      <c r="A116" s="36" t="s">
        <v>179</v>
      </c>
      <c r="B116" s="37" t="n">
        <v>46042</v>
      </c>
      <c r="C116" s="36" t="s">
        <v>79</v>
      </c>
      <c r="D116" s="36" t="s">
        <v>57</v>
      </c>
      <c r="E116" s="38" t="n">
        <v>186500</v>
      </c>
      <c r="F116" s="39" t="n">
        <v>28</v>
      </c>
    </row>
    <row r="117" customFormat="false" ht="15" hidden="false" customHeight="false" outlineLevel="0" collapsed="false">
      <c r="A117" s="26" t="s">
        <v>180</v>
      </c>
      <c r="B117" s="27" t="n">
        <v>46063</v>
      </c>
      <c r="C117" s="26" t="s">
        <v>51</v>
      </c>
      <c r="D117" s="26" t="s">
        <v>47</v>
      </c>
      <c r="E117" s="28" t="n">
        <v>97000</v>
      </c>
      <c r="F117" s="29" t="n">
        <v>12</v>
      </c>
    </row>
    <row r="118" customFormat="false" ht="15" hidden="false" customHeight="false" outlineLevel="0" collapsed="false">
      <c r="A118" s="36" t="s">
        <v>181</v>
      </c>
      <c r="B118" s="37" t="n">
        <v>45974</v>
      </c>
      <c r="C118" s="36" t="s">
        <v>61</v>
      </c>
      <c r="D118" s="36" t="s">
        <v>57</v>
      </c>
      <c r="E118" s="38" t="n">
        <v>478500</v>
      </c>
      <c r="F118" s="39" t="n">
        <v>18</v>
      </c>
    </row>
    <row r="119" customFormat="false" ht="15" hidden="false" customHeight="false" outlineLevel="0" collapsed="false">
      <c r="A119" s="26" t="s">
        <v>182</v>
      </c>
      <c r="B119" s="27" t="n">
        <v>45850</v>
      </c>
      <c r="C119" s="26" t="s">
        <v>79</v>
      </c>
      <c r="D119" s="26" t="s">
        <v>52</v>
      </c>
      <c r="E119" s="28" t="n">
        <v>274000</v>
      </c>
      <c r="F119" s="29" t="n">
        <v>5</v>
      </c>
    </row>
    <row r="120" customFormat="false" ht="15" hidden="false" customHeight="false" outlineLevel="0" collapsed="false">
      <c r="A120" s="36" t="s">
        <v>183</v>
      </c>
      <c r="B120" s="37" t="n">
        <v>45837</v>
      </c>
      <c r="C120" s="36" t="s">
        <v>51</v>
      </c>
      <c r="D120" s="36" t="s">
        <v>62</v>
      </c>
      <c r="E120" s="38" t="n">
        <v>375000</v>
      </c>
      <c r="F120" s="39" t="n">
        <v>18</v>
      </c>
    </row>
    <row r="121" customFormat="false" ht="15" hidden="false" customHeight="false" outlineLevel="0" collapsed="false">
      <c r="A121" s="26" t="s">
        <v>184</v>
      </c>
      <c r="B121" s="27" t="n">
        <v>46037</v>
      </c>
      <c r="C121" s="26" t="s">
        <v>114</v>
      </c>
      <c r="D121" s="26" t="s">
        <v>57</v>
      </c>
      <c r="E121" s="28" t="n">
        <v>181500</v>
      </c>
      <c r="F121" s="29" t="n">
        <v>28</v>
      </c>
    </row>
    <row r="122" customFormat="false" ht="15" hidden="false" customHeight="false" outlineLevel="0" collapsed="false">
      <c r="A122" s="36" t="s">
        <v>185</v>
      </c>
      <c r="B122" s="37" t="n">
        <v>46112</v>
      </c>
      <c r="C122" s="36" t="s">
        <v>69</v>
      </c>
      <c r="D122" s="36" t="s">
        <v>57</v>
      </c>
      <c r="E122" s="38" t="n">
        <v>16500</v>
      </c>
      <c r="F122" s="39" t="n">
        <v>18</v>
      </c>
    </row>
    <row r="123" customFormat="false" ht="15" hidden="false" customHeight="false" outlineLevel="0" collapsed="false">
      <c r="A123" s="26" t="s">
        <v>186</v>
      </c>
      <c r="B123" s="27" t="n">
        <v>45823</v>
      </c>
      <c r="C123" s="26" t="s">
        <v>114</v>
      </c>
      <c r="D123" s="26" t="s">
        <v>70</v>
      </c>
      <c r="E123" s="28" t="n">
        <v>423000</v>
      </c>
      <c r="F123" s="29" t="n">
        <v>28</v>
      </c>
    </row>
    <row r="124" customFormat="false" ht="15" hidden="false" customHeight="false" outlineLevel="0" collapsed="false">
      <c r="A124" s="36" t="s">
        <v>187</v>
      </c>
      <c r="B124" s="37" t="n">
        <v>45900</v>
      </c>
      <c r="C124" s="36" t="s">
        <v>69</v>
      </c>
      <c r="D124" s="36" t="s">
        <v>62</v>
      </c>
      <c r="E124" s="38" t="n">
        <v>291000</v>
      </c>
      <c r="F124" s="39" t="n">
        <v>12</v>
      </c>
    </row>
    <row r="125" customFormat="false" ht="15" hidden="false" customHeight="false" outlineLevel="0" collapsed="false">
      <c r="A125" s="26" t="s">
        <v>188</v>
      </c>
      <c r="B125" s="27" t="n">
        <v>45870</v>
      </c>
      <c r="C125" s="26" t="s">
        <v>56</v>
      </c>
      <c r="D125" s="26" t="s">
        <v>52</v>
      </c>
      <c r="E125" s="28" t="n">
        <v>105000</v>
      </c>
      <c r="F125" s="29" t="n">
        <v>12</v>
      </c>
    </row>
    <row r="126" customFormat="false" ht="15" hidden="false" customHeight="false" outlineLevel="0" collapsed="false">
      <c r="A126" s="36" t="s">
        <v>189</v>
      </c>
      <c r="B126" s="37" t="n">
        <v>45873</v>
      </c>
      <c r="C126" s="36" t="s">
        <v>87</v>
      </c>
      <c r="D126" s="36" t="s">
        <v>57</v>
      </c>
      <c r="E126" s="38" t="n">
        <v>443000</v>
      </c>
      <c r="F126" s="39" t="n">
        <v>28</v>
      </c>
    </row>
    <row r="127" customFormat="false" ht="15" hidden="false" customHeight="false" outlineLevel="0" collapsed="false">
      <c r="A127" s="26" t="s">
        <v>190</v>
      </c>
      <c r="B127" s="27" t="n">
        <v>45829</v>
      </c>
      <c r="C127" s="26" t="s">
        <v>87</v>
      </c>
      <c r="D127" s="26" t="s">
        <v>57</v>
      </c>
      <c r="E127" s="28" t="n">
        <v>117500</v>
      </c>
      <c r="F127" s="29" t="n">
        <v>28</v>
      </c>
    </row>
    <row r="128" customFormat="false" ht="15" hidden="false" customHeight="false" outlineLevel="0" collapsed="false">
      <c r="A128" s="36" t="s">
        <v>191</v>
      </c>
      <c r="B128" s="37" t="n">
        <v>46058</v>
      </c>
      <c r="C128" s="36" t="s">
        <v>75</v>
      </c>
      <c r="D128" s="36" t="s">
        <v>47</v>
      </c>
      <c r="E128" s="38" t="n">
        <v>79000</v>
      </c>
      <c r="F128" s="39" t="n">
        <v>12</v>
      </c>
    </row>
  </sheetData>
  <mergeCells count="3">
    <mergeCell ref="A1:L1"/>
    <mergeCell ref="A2:L2"/>
    <mergeCell ref="A3:L5"/>
  </mergeCells>
  <conditionalFormatting sqref="K9:K13">
    <cfRule type="expression" priority="2" aboveAverage="0" equalAverage="0" bottom="0" percent="0" rank="0" text="" dxfId="0">
      <formula>LEFT(K9,1)="✓"</formula>
    </cfRule>
    <cfRule type="expression" priority="3" aboveAverage="0" equalAverage="0" bottom="0" percent="0" rank="0" text="" dxfId="1">
      <formula>LEFT(K9,1)="✗"</formula>
    </cfRule>
    <cfRule type="expression" priority="4" aboveAverage="0" equalAverage="0" bottom="0" percent="0" rank="0" text="" dxfId="2">
      <formula>LEFT(K9,1)="✎"</formula>
    </cfRule>
    <cfRule type="expression" priority="5" aboveAverage="0" equalAverage="0" bottom="0" percent="0" rank="0" text="" dxfId="3">
      <formula>LEFT(K9,1)="◯"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A"/>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4"/>
    <col collapsed="false" customWidth="true" hidden="false" outlineLevel="0" max="5" min="4" style="0" width="44"/>
    <col collapsed="false" customWidth="true" hidden="false" outlineLevel="0" max="6" min="6" style="0" width="46"/>
  </cols>
  <sheetData>
    <row r="1" customFormat="false" ht="30" hidden="false" customHeight="true" outlineLevel="0" collapsed="false">
      <c r="A1" s="64" t="s">
        <v>249</v>
      </c>
      <c r="B1" s="64"/>
      <c r="C1" s="64"/>
      <c r="D1" s="64"/>
      <c r="E1" s="64"/>
      <c r="F1" s="64"/>
    </row>
    <row r="2" customFormat="false" ht="15" hidden="false" customHeight="false" outlineLevel="0" collapsed="false">
      <c r="A2" s="65" t="s">
        <v>250</v>
      </c>
    </row>
    <row r="4" customFormat="false" ht="21.75" hidden="false" customHeight="true" outlineLevel="0" collapsed="false">
      <c r="A4" s="66" t="s">
        <v>251</v>
      </c>
      <c r="B4" s="66"/>
      <c r="C4" s="66"/>
      <c r="D4" s="66"/>
      <c r="E4" s="66"/>
      <c r="F4" s="66"/>
    </row>
    <row r="5" customFormat="false" ht="15" hidden="false" customHeight="false" outlineLevel="0" collapsed="false">
      <c r="A5" s="67" t="s">
        <v>14</v>
      </c>
      <c r="B5" s="67" t="s">
        <v>41</v>
      </c>
      <c r="C5" s="67" t="s">
        <v>252</v>
      </c>
      <c r="D5" s="67" t="s">
        <v>253</v>
      </c>
      <c r="E5" s="67" t="s">
        <v>254</v>
      </c>
      <c r="F5" s="67" t="s">
        <v>255</v>
      </c>
    </row>
    <row r="6" customFormat="false" ht="30" hidden="false" customHeight="true" outlineLevel="0" collapsed="false">
      <c r="A6" s="68" t="n">
        <v>1</v>
      </c>
      <c r="B6" s="68" t="s">
        <v>48</v>
      </c>
      <c r="C6" s="68" t="s">
        <v>256</v>
      </c>
      <c r="D6" s="69" t="s">
        <v>257</v>
      </c>
      <c r="E6" s="70"/>
      <c r="F6" s="68"/>
    </row>
    <row r="7" customFormat="false" ht="30" hidden="false" customHeight="true" outlineLevel="0" collapsed="false">
      <c r="A7" s="68" t="n">
        <v>2</v>
      </c>
      <c r="B7" s="68" t="s">
        <v>53</v>
      </c>
      <c r="C7" s="68" t="s">
        <v>258</v>
      </c>
      <c r="D7" s="69" t="s">
        <v>259</v>
      </c>
      <c r="E7" s="70" t="s">
        <v>260</v>
      </c>
      <c r="F7" s="68"/>
    </row>
    <row r="8" customFormat="false" ht="30" hidden="false" customHeight="true" outlineLevel="0" collapsed="false">
      <c r="A8" s="68" t="n">
        <v>3</v>
      </c>
      <c r="B8" s="68" t="s">
        <v>58</v>
      </c>
      <c r="C8" s="68" t="s">
        <v>261</v>
      </c>
      <c r="D8" s="69" t="s">
        <v>262</v>
      </c>
      <c r="E8" s="70"/>
      <c r="F8" s="68"/>
    </row>
    <row r="9" customFormat="false" ht="30" hidden="false" customHeight="true" outlineLevel="0" collapsed="false">
      <c r="A9" s="68" t="n">
        <v>4</v>
      </c>
      <c r="B9" s="68" t="s">
        <v>63</v>
      </c>
      <c r="C9" s="68" t="s">
        <v>263</v>
      </c>
      <c r="D9" s="69" t="s">
        <v>264</v>
      </c>
      <c r="E9" s="70"/>
      <c r="F9" s="68"/>
    </row>
    <row r="10" customFormat="false" ht="30" hidden="false" customHeight="true" outlineLevel="0" collapsed="false">
      <c r="A10" s="68" t="n">
        <v>5</v>
      </c>
      <c r="B10" s="68" t="s">
        <v>66</v>
      </c>
      <c r="C10" s="68" t="s">
        <v>265</v>
      </c>
      <c r="D10" s="69" t="s">
        <v>266</v>
      </c>
      <c r="E10" s="70" t="s">
        <v>267</v>
      </c>
      <c r="F10" s="68"/>
    </row>
    <row r="12" customFormat="false" ht="21.75" hidden="false" customHeight="true" outlineLevel="0" collapsed="false">
      <c r="A12" s="71" t="s">
        <v>268</v>
      </c>
      <c r="B12" s="71"/>
      <c r="C12" s="71"/>
      <c r="D12" s="71"/>
      <c r="E12" s="71"/>
      <c r="F12" s="71"/>
    </row>
    <row r="13" customFormat="false" ht="15" hidden="false" customHeight="false" outlineLevel="0" collapsed="false">
      <c r="A13" s="67" t="s">
        <v>14</v>
      </c>
      <c r="B13" s="67" t="s">
        <v>41</v>
      </c>
      <c r="C13" s="67" t="s">
        <v>252</v>
      </c>
      <c r="D13" s="67" t="s">
        <v>253</v>
      </c>
      <c r="E13" s="67" t="s">
        <v>254</v>
      </c>
      <c r="F13" s="67" t="s">
        <v>255</v>
      </c>
    </row>
    <row r="14" customFormat="false" ht="30" hidden="false" customHeight="true" outlineLevel="0" collapsed="false">
      <c r="A14" s="68" t="n">
        <v>1</v>
      </c>
      <c r="B14" s="68" t="s">
        <v>195</v>
      </c>
      <c r="C14" s="68" t="s">
        <v>256</v>
      </c>
      <c r="D14" s="69" t="s">
        <v>269</v>
      </c>
      <c r="E14" s="70"/>
      <c r="F14" s="68"/>
    </row>
    <row r="15" customFormat="false" ht="30" hidden="false" customHeight="true" outlineLevel="0" collapsed="false">
      <c r="A15" s="68" t="n">
        <v>2</v>
      </c>
      <c r="B15" s="68" t="s">
        <v>197</v>
      </c>
      <c r="C15" s="68" t="s">
        <v>258</v>
      </c>
      <c r="D15" s="69" t="s">
        <v>270</v>
      </c>
      <c r="E15" s="70"/>
      <c r="F15" s="68"/>
    </row>
    <row r="16" customFormat="false" ht="42" hidden="false" customHeight="true" outlineLevel="0" collapsed="false">
      <c r="A16" s="68" t="n">
        <v>3</v>
      </c>
      <c r="B16" s="68" t="s">
        <v>199</v>
      </c>
      <c r="C16" s="68" t="s">
        <v>261</v>
      </c>
      <c r="D16" s="69" t="s">
        <v>271</v>
      </c>
      <c r="E16" s="70"/>
      <c r="F16" s="68" t="s">
        <v>272</v>
      </c>
    </row>
    <row r="17" customFormat="false" ht="30" hidden="false" customHeight="true" outlineLevel="0" collapsed="false">
      <c r="A17" s="68" t="n">
        <v>4</v>
      </c>
      <c r="B17" s="68" t="s">
        <v>201</v>
      </c>
      <c r="C17" s="68" t="s">
        <v>263</v>
      </c>
      <c r="D17" s="69" t="s">
        <v>273</v>
      </c>
      <c r="E17" s="70"/>
      <c r="F17" s="68"/>
    </row>
    <row r="19" customFormat="false" ht="21.75" hidden="false" customHeight="true" outlineLevel="0" collapsed="false">
      <c r="A19" s="72" t="s">
        <v>274</v>
      </c>
      <c r="B19" s="72"/>
      <c r="C19" s="72"/>
      <c r="D19" s="72"/>
      <c r="E19" s="72"/>
      <c r="F19" s="72"/>
    </row>
    <row r="20" customFormat="false" ht="15" hidden="false" customHeight="false" outlineLevel="0" collapsed="false">
      <c r="A20" s="67" t="s">
        <v>14</v>
      </c>
      <c r="B20" s="67" t="s">
        <v>41</v>
      </c>
      <c r="C20" s="67" t="s">
        <v>252</v>
      </c>
      <c r="D20" s="67" t="s">
        <v>253</v>
      </c>
      <c r="E20" s="67" t="s">
        <v>254</v>
      </c>
      <c r="F20" s="67" t="s">
        <v>255</v>
      </c>
    </row>
    <row r="21" customFormat="false" ht="42" hidden="false" customHeight="true" outlineLevel="0" collapsed="false">
      <c r="A21" s="68" t="n">
        <v>1</v>
      </c>
      <c r="B21" s="68" t="s">
        <v>206</v>
      </c>
      <c r="C21" s="68" t="s">
        <v>275</v>
      </c>
      <c r="D21" s="69" t="s">
        <v>276</v>
      </c>
      <c r="E21" s="70" t="s">
        <v>277</v>
      </c>
      <c r="F21" s="68" t="s">
        <v>278</v>
      </c>
    </row>
    <row r="22" customFormat="false" ht="30" hidden="false" customHeight="true" outlineLevel="0" collapsed="false">
      <c r="A22" s="68" t="n">
        <v>2</v>
      </c>
      <c r="B22" s="68" t="s">
        <v>209</v>
      </c>
      <c r="C22" s="68" t="s">
        <v>258</v>
      </c>
      <c r="D22" s="69" t="s">
        <v>279</v>
      </c>
      <c r="E22" s="70"/>
      <c r="F22" s="68" t="s">
        <v>280</v>
      </c>
    </row>
    <row r="23" customFormat="false" ht="30" hidden="false" customHeight="true" outlineLevel="0" collapsed="false">
      <c r="A23" s="68" t="n">
        <v>3</v>
      </c>
      <c r="B23" s="68" t="s">
        <v>211</v>
      </c>
      <c r="C23" s="68" t="s">
        <v>261</v>
      </c>
      <c r="D23" s="69" t="s">
        <v>281</v>
      </c>
      <c r="E23" s="70"/>
      <c r="F23" s="68"/>
    </row>
    <row r="25" customFormat="false" ht="21.75" hidden="false" customHeight="true" outlineLevel="0" collapsed="false">
      <c r="A25" s="71" t="s">
        <v>282</v>
      </c>
      <c r="B25" s="71"/>
      <c r="C25" s="71"/>
      <c r="D25" s="71"/>
      <c r="E25" s="71"/>
      <c r="F25" s="71"/>
    </row>
    <row r="26" customFormat="false" ht="15" hidden="false" customHeight="false" outlineLevel="0" collapsed="false">
      <c r="A26" s="67" t="s">
        <v>14</v>
      </c>
      <c r="B26" s="67" t="s">
        <v>41</v>
      </c>
      <c r="C26" s="67" t="s">
        <v>252</v>
      </c>
      <c r="D26" s="67" t="s">
        <v>253</v>
      </c>
      <c r="E26" s="67" t="s">
        <v>254</v>
      </c>
      <c r="F26" s="67" t="s">
        <v>255</v>
      </c>
    </row>
    <row r="27" customFormat="false" ht="30" hidden="false" customHeight="true" outlineLevel="0" collapsed="false">
      <c r="A27" s="68" t="n">
        <v>1</v>
      </c>
      <c r="B27" s="68" t="s">
        <v>217</v>
      </c>
      <c r="C27" s="68" t="s">
        <v>256</v>
      </c>
      <c r="D27" s="69" t="s">
        <v>283</v>
      </c>
      <c r="E27" s="70"/>
      <c r="F27" s="68"/>
    </row>
    <row r="28" customFormat="false" ht="42" hidden="false" customHeight="true" outlineLevel="0" collapsed="false">
      <c r="A28" s="68" t="n">
        <v>2</v>
      </c>
      <c r="B28" s="68" t="s">
        <v>219</v>
      </c>
      <c r="C28" s="68" t="s">
        <v>258</v>
      </c>
      <c r="D28" s="69" t="s">
        <v>284</v>
      </c>
      <c r="E28" s="70" t="s">
        <v>285</v>
      </c>
      <c r="F28" s="68"/>
    </row>
    <row r="29" customFormat="false" ht="30" hidden="false" customHeight="true" outlineLevel="0" collapsed="false">
      <c r="A29" s="68" t="n">
        <v>3</v>
      </c>
      <c r="B29" s="68" t="s">
        <v>221</v>
      </c>
      <c r="C29" s="68" t="s">
        <v>261</v>
      </c>
      <c r="D29" s="69" t="s">
        <v>286</v>
      </c>
      <c r="E29" s="70"/>
      <c r="F29" s="68"/>
    </row>
    <row r="30" customFormat="false" ht="30" hidden="false" customHeight="true" outlineLevel="0" collapsed="false">
      <c r="A30" s="68" t="n">
        <v>4</v>
      </c>
      <c r="B30" s="68" t="s">
        <v>223</v>
      </c>
      <c r="C30" s="68" t="s">
        <v>263</v>
      </c>
      <c r="D30" s="69" t="s">
        <v>287</v>
      </c>
      <c r="E30" s="70"/>
      <c r="F30" s="68"/>
    </row>
    <row r="32" customFormat="false" ht="21.75" hidden="false" customHeight="true" outlineLevel="0" collapsed="false">
      <c r="A32" s="72" t="s">
        <v>288</v>
      </c>
      <c r="B32" s="72"/>
      <c r="C32" s="72"/>
      <c r="D32" s="72"/>
      <c r="E32" s="72"/>
      <c r="F32" s="72"/>
    </row>
    <row r="33" customFormat="false" ht="15" hidden="false" customHeight="false" outlineLevel="0" collapsed="false">
      <c r="A33" s="67" t="s">
        <v>14</v>
      </c>
      <c r="B33" s="67" t="s">
        <v>41</v>
      </c>
      <c r="C33" s="67" t="s">
        <v>252</v>
      </c>
      <c r="D33" s="67" t="s">
        <v>253</v>
      </c>
      <c r="E33" s="67" t="s">
        <v>254</v>
      </c>
      <c r="F33" s="67" t="s">
        <v>255</v>
      </c>
    </row>
    <row r="34" customFormat="false" ht="30" hidden="false" customHeight="true" outlineLevel="0" collapsed="false">
      <c r="A34" s="68" t="n">
        <v>1</v>
      </c>
      <c r="B34" s="68" t="s">
        <v>228</v>
      </c>
      <c r="C34" s="68" t="s">
        <v>256</v>
      </c>
      <c r="D34" s="69" t="s">
        <v>289</v>
      </c>
      <c r="E34" s="70"/>
      <c r="F34" s="68"/>
    </row>
    <row r="35" customFormat="false" ht="30" hidden="false" customHeight="true" outlineLevel="0" collapsed="false">
      <c r="A35" s="68" t="n">
        <v>2</v>
      </c>
      <c r="B35" s="68" t="s">
        <v>230</v>
      </c>
      <c r="C35" s="68" t="s">
        <v>258</v>
      </c>
      <c r="D35" s="69" t="s">
        <v>290</v>
      </c>
      <c r="E35" s="70"/>
      <c r="F35" s="68"/>
    </row>
    <row r="36" customFormat="false" ht="30" hidden="false" customHeight="true" outlineLevel="0" collapsed="false">
      <c r="A36" s="68" t="n">
        <v>3</v>
      </c>
      <c r="B36" s="68" t="s">
        <v>232</v>
      </c>
      <c r="C36" s="68" t="s">
        <v>261</v>
      </c>
      <c r="D36" s="69" t="s">
        <v>291</v>
      </c>
      <c r="E36" s="70" t="s">
        <v>292</v>
      </c>
      <c r="F36" s="68"/>
    </row>
    <row r="37" customFormat="false" ht="42" hidden="false" customHeight="true" outlineLevel="0" collapsed="false">
      <c r="A37" s="68" t="n">
        <v>4</v>
      </c>
      <c r="B37" s="68" t="s">
        <v>234</v>
      </c>
      <c r="C37" s="68" t="s">
        <v>263</v>
      </c>
      <c r="D37" s="69" t="s">
        <v>293</v>
      </c>
      <c r="E37" s="70" t="s">
        <v>294</v>
      </c>
      <c r="F37" s="68"/>
    </row>
    <row r="39" customFormat="false" ht="21.75" hidden="false" customHeight="true" outlineLevel="0" collapsed="false">
      <c r="A39" s="73" t="s">
        <v>295</v>
      </c>
      <c r="B39" s="73"/>
      <c r="C39" s="73"/>
      <c r="D39" s="73"/>
      <c r="E39" s="73"/>
      <c r="F39" s="73"/>
    </row>
    <row r="40" customFormat="false" ht="15" hidden="false" customHeight="false" outlineLevel="0" collapsed="false">
      <c r="A40" s="67" t="s">
        <v>14</v>
      </c>
      <c r="B40" s="67" t="s">
        <v>41</v>
      </c>
      <c r="C40" s="67" t="s">
        <v>252</v>
      </c>
      <c r="D40" s="67" t="s">
        <v>253</v>
      </c>
      <c r="E40" s="67" t="s">
        <v>254</v>
      </c>
      <c r="F40" s="67" t="s">
        <v>255</v>
      </c>
    </row>
    <row r="41" customFormat="false" ht="30" hidden="false" customHeight="true" outlineLevel="0" collapsed="false">
      <c r="A41" s="68" t="n">
        <v>1</v>
      </c>
      <c r="B41" s="68" t="s">
        <v>239</v>
      </c>
      <c r="C41" s="68" t="s">
        <v>256</v>
      </c>
      <c r="D41" s="69" t="s">
        <v>296</v>
      </c>
      <c r="E41" s="70"/>
      <c r="F41" s="68"/>
    </row>
    <row r="42" customFormat="false" ht="30" hidden="false" customHeight="true" outlineLevel="0" collapsed="false">
      <c r="A42" s="68" t="n">
        <v>2</v>
      </c>
      <c r="B42" s="68" t="s">
        <v>241</v>
      </c>
      <c r="C42" s="68" t="s">
        <v>258</v>
      </c>
      <c r="D42" s="69" t="s">
        <v>297</v>
      </c>
      <c r="E42" s="70"/>
      <c r="F42" s="68"/>
    </row>
    <row r="43" customFormat="false" ht="30" hidden="false" customHeight="true" outlineLevel="0" collapsed="false">
      <c r="A43" s="68" t="n">
        <v>3</v>
      </c>
      <c r="B43" s="68" t="s">
        <v>243</v>
      </c>
      <c r="C43" s="68" t="s">
        <v>261</v>
      </c>
      <c r="D43" s="69" t="s">
        <v>298</v>
      </c>
      <c r="E43" s="70"/>
      <c r="F43" s="68"/>
    </row>
    <row r="44" customFormat="false" ht="30" hidden="false" customHeight="true" outlineLevel="0" collapsed="false">
      <c r="A44" s="68" t="n">
        <v>4</v>
      </c>
      <c r="B44" s="68" t="s">
        <v>245</v>
      </c>
      <c r="C44" s="68" t="s">
        <v>263</v>
      </c>
      <c r="D44" s="69" t="s">
        <v>298</v>
      </c>
      <c r="E44" s="70"/>
      <c r="F44" s="68"/>
    </row>
    <row r="45" customFormat="false" ht="30" hidden="false" customHeight="true" outlineLevel="0" collapsed="false">
      <c r="A45" s="68" t="n">
        <v>5</v>
      </c>
      <c r="B45" s="68" t="s">
        <v>247</v>
      </c>
      <c r="C45" s="68" t="s">
        <v>265</v>
      </c>
      <c r="D45" s="69" t="s">
        <v>299</v>
      </c>
      <c r="E45" s="70"/>
      <c r="F45" s="68" t="s">
        <v>300</v>
      </c>
    </row>
  </sheetData>
  <mergeCells count="7">
    <mergeCell ref="A1:F1"/>
    <mergeCell ref="A4:F4"/>
    <mergeCell ref="A12:F12"/>
    <mergeCell ref="A19:F19"/>
    <mergeCell ref="A25:F25"/>
    <mergeCell ref="A32:F32"/>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2026-09-25T07:00:36Z</dcterms:created>
  <dc:creator>openpyxl</dc:creator>
  <dc:description/>
  <dc:language>en-US</dc:language>
  <cp:lastModifiedBy/>
  <dcterms:modified xsi:type="dcterms:W3CDTF">2026-09-25T07:00:36Z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