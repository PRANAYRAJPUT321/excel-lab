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L1 Spaces and capitals" sheetId="2" state="visible" r:id="rId4"/>
    <sheet name="L2 Cutting text apart" sheetId="3" state="visible" r:id="rId5"/>
    <sheet name="L3 Numbers and dates trapped in" sheetId="4" state="visible" r:id="rId6"/>
    <sheet name="L4 Duplicates" sheetId="5" state="visible" r:id="rId7"/>
    <sheet name="L5 Joining text and building ke" sheetId="6" state="visible" r:id="rId8"/>
    <sheet name="L6 Boss round — validate the im" sheetId="7" state="visible" r:id="rId9"/>
    <sheet name="Solu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<sst xmlns="http://schemas.openxmlformats.org/spreadsheetml/2006/main" count="723" uniqueCount="522">
  <si>
    <t xml:space="preserve">EXCEL LAB  ·  06 DATA CLEANING &amp; TEXT</t>
  </si>
  <si>
    <t xml:space="preserve">The workbook that turns a copy-pasted mess into usable data: TRIM and PROPER, splitting codes with FIND and MID, rescuing numbers and dates trapped in text, duplicates, match keys and a full import validator.</t>
  </si>
  <si>
    <t xml:space="preserve">HOW TO USE THIS WORKBOOK</t>
  </si>
  <si>
    <t xml:space="preserve">Work through the lessons in order — each one is harder than the last (★ to ★★★★★).</t>
  </si>
  <si>
    <t xml:space="preserve">Read the Concept box at the top of each lesson, then look at the data.</t>
  </si>
  <si>
    <t xml:space="preserve">Type a FORMULA in each yellow cell. The Check column marks it ✓ or ✗ instantly.</t>
  </si>
  <si>
    <t xml:space="preserve">Blue cells are inputs. Change them and watch every answer update — that is how you know your formula is really right.</t>
  </si>
  <si>
    <t xml:space="preserve">Stuck? Read the Hint. Still stuck? The Solutions sheet shows the model answer and other ways to do it.</t>
  </si>
  <si>
    <t xml:space="preserve">COLOUR CODE</t>
  </si>
  <si>
    <t xml:space="preserve">Yellow — your answer goes here (always a formula)</t>
  </si>
  <si>
    <t xml:space="preserve">Blue — an input you can change</t>
  </si>
  <si>
    <t xml:space="preserve">✓ Correct — marked automatically</t>
  </si>
  <si>
    <t xml:space="preserve">✗ Check again — the result does not match</t>
  </si>
  <si>
    <t xml:space="preserve">✎ You typed a value — replace it with a formula</t>
  </si>
  <si>
    <t xml:space="preserve">#</t>
  </si>
  <si>
    <t xml:space="preserve">Lesson</t>
  </si>
  <si>
    <t xml:space="preserve">Difficulty</t>
  </si>
  <si>
    <t xml:space="preserve">Tasks</t>
  </si>
  <si>
    <t xml:space="preserve">Solved</t>
  </si>
  <si>
    <t xml:space="preserve">Progress</t>
  </si>
  <si>
    <t xml:space="preserve">L1 Spaces and capitals</t>
  </si>
  <si>
    <t xml:space="preserve">★☆☆☆☆</t>
  </si>
  <si>
    <t xml:space="preserve">L2 Cutting text apart</t>
  </si>
  <si>
    <t xml:space="preserve">★★☆☆☆</t>
  </si>
  <si>
    <t xml:space="preserve">L3 Numbers and dates trapped in</t>
  </si>
  <si>
    <t xml:space="preserve">★★★☆☆</t>
  </si>
  <si>
    <t xml:space="preserve">L4 Duplicates</t>
  </si>
  <si>
    <t xml:space="preserve">L5 Joining text and building ke</t>
  </si>
  <si>
    <t xml:space="preserve">★★★★☆</t>
  </si>
  <si>
    <t xml:space="preserve">L6 Boss round — validate the im</t>
  </si>
  <si>
    <t xml:space="preserve">★★★★★</t>
  </si>
  <si>
    <t xml:space="preserve">OVERALL</t>
  </si>
  <si>
    <t xml:space="preserve">Excel Lab — created by Pranay  ·  excel-lab-by-pranay.vercel.app  ·  free for every student</t>
  </si>
  <si>
    <t xml:space="preserve">LESSON 1  ·  SPACES AND CAPITALS</t>
  </si>
  <si>
    <t xml:space="preserve">★☆☆☆☆   Make a copy-pasted name list look like it came from a system, not a chat window.</t>
  </si>
  <si>
    <t xml:space="preserve">CONCEPT  ·  TRIM removes leading and trailing spaces AND squeezes runs of spaces inside the text down to one. PROPER capitalises the first letter of each word; UPPER and LOWER do what they say. LEN counts characters — comparing LEN before and after TRIM tells you how dirty the data really was. Clean first, capitalise second: PROPER(TRIM(text)), never the other way round.</t>
  </si>
  <si>
    <t xml:space="preserve">Raw Name</t>
  </si>
  <si>
    <t xml:space="preserve">Clean Name</t>
  </si>
  <si>
    <t xml:space="preserve">Chars removed</t>
  </si>
  <si>
    <t xml:space="preserve">Task</t>
  </si>
  <si>
    <t xml:space="preserve">Your answer</t>
  </si>
  <si>
    <t xml:space="preserve">Check</t>
  </si>
  <si>
    <t xml:space="preserve">Hint</t>
  </si>
  <si>
    <t xml:space="preserve">Rahul Kulkarni</t>
  </si>
  <si>
    <t xml:space="preserve">Fill Clean Name: no stray spaces, each word capitalised.</t>
  </si>
  <si>
    <t xml:space="preserve">→ fill column B</t>
  </si>
  <si>
    <t xml:space="preserve">=PROPER(TRIM(A9))</t>
  </si>
  <si>
    <t xml:space="preserve">  PRIYA GUPTA  </t>
  </si>
  <si>
    <t xml:space="preserve">Fill Chars removed: how many characters TRIM took out of each raw name.</t>
  </si>
  <si>
    <t xml:space="preserve">→ fill column C</t>
  </si>
  <si>
    <t xml:space="preserve">=LEN(A9)-LEN(TRIM(A9))</t>
  </si>
  <si>
    <t xml:space="preserve">AMIT NAIK</t>
  </si>
  <si>
    <t xml:space="preserve">How many names needed cleaning at all?</t>
  </si>
  <si>
    <t xml:space="preserve">Count the rows where something was removed.</t>
  </si>
  <si>
    <t xml:space="preserve">SNEHA RAO</t>
  </si>
  <si>
    <t xml:space="preserve">Total characters removed across the whole list.</t>
  </si>
  <si>
    <t xml:space="preserve">SUM your new column.</t>
  </si>
  <si>
    <t xml:space="preserve">  VIKRAM REDDY  </t>
  </si>
  <si>
    <t xml:space="preserve">How many cleaned names are longer than 12 characters?</t>
  </si>
  <si>
    <t xml:space="preserve">SUMPRODUCT can apply LEN to a whole column at once; the -- turns TRUE/FALSE into 1/0.</t>
  </si>
  <si>
    <t xml:space="preserve"> Neha Verma  </t>
  </si>
  <si>
    <t xml:space="preserve">  ARJUN JOSHI  </t>
  </si>
  <si>
    <t xml:space="preserve">Kavya Chopra</t>
  </si>
  <si>
    <t xml:space="preserve">ROHIT GHOSH</t>
  </si>
  <si>
    <t xml:space="preserve">  ANANYA NAIR  </t>
  </si>
  <si>
    <t xml:space="preserve">Siddharth Pillai</t>
  </si>
  <si>
    <t xml:space="preserve">ishita   sharma</t>
  </si>
  <si>
    <t xml:space="preserve">  MANISH DESAI  </t>
  </si>
  <si>
    <t xml:space="preserve">pooja   shetty</t>
  </si>
  <si>
    <t xml:space="preserve">karan   iyer</t>
  </si>
  <si>
    <t xml:space="preserve">Divya Mehta</t>
  </si>
  <si>
    <t xml:space="preserve">  NIKHIL MALHOTRA  </t>
  </si>
  <si>
    <t xml:space="preserve">  MEGHNA PATEL  </t>
  </si>
  <si>
    <t xml:space="preserve">Aditya Banerjee</t>
  </si>
  <si>
    <t xml:space="preserve">SHREYA BOSE</t>
  </si>
  <si>
    <t xml:space="preserve">  RAHUL KULKARNI  </t>
  </si>
  <si>
    <t xml:space="preserve"> Priya Gupta  </t>
  </si>
  <si>
    <t xml:space="preserve">sneha   rao</t>
  </si>
  <si>
    <t xml:space="preserve">Vikram Reddy</t>
  </si>
  <si>
    <t xml:space="preserve">  NEHA VERMA  </t>
  </si>
  <si>
    <t xml:space="preserve">Arjun Joshi</t>
  </si>
  <si>
    <t xml:space="preserve">KAVYA CHOPRA</t>
  </si>
  <si>
    <t xml:space="preserve">LESSON 2  ·  CUTTING TEXT APART</t>
  </si>
  <si>
    <t xml:space="preserve">★★☆☆☆   Split a product code and an email into the pieces you can actually filter on.</t>
  </si>
  <si>
    <t xml:space="preserve">CONCEPT  ·  LEFT(text,n) takes characters from the start, RIGHT(text,n) from the end, MID(text,start,n) from anywhere. FIND(what,text) returns the POSITION of a character — that is how you cut at a separator you cannot count to. FIND is case-sensitive; SEARCH is not and accepts wildcards. VALUE turns a text digit string into a real number.</t>
  </si>
  <si>
    <t xml:space="preserve">Code</t>
  </si>
  <si>
    <t xml:space="preserve">Email</t>
  </si>
  <si>
    <t xml:space="preserve">State</t>
  </si>
  <si>
    <t xml:space="preserve">Serial</t>
  </si>
  <si>
    <t xml:space="preserve">Domain</t>
  </si>
  <si>
    <t xml:space="preserve">MH-40000-TX</t>
  </si>
  <si>
    <t xml:space="preserve">rahul.kulkarni@gmail.com</t>
  </si>
  <si>
    <t xml:space="preserve">Fill State: the two letters before the first dash.</t>
  </si>
  <si>
    <t xml:space="preserve">=LEFT(A9,2)</t>
  </si>
  <si>
    <t xml:space="preserve">GJ-40137-IT</t>
  </si>
  <si>
    <t xml:space="preserve">priya.gupta@outlook.com</t>
  </si>
  <si>
    <t xml:space="preserve">Fill Serial: the number between the two dashes, as a real number.</t>
  </si>
  <si>
    <t xml:space="preserve">→ fill column D</t>
  </si>
  <si>
    <t xml:space="preserve">=VALUE(MID(A9,FIND("-",A9)+1,5))</t>
  </si>
  <si>
    <t xml:space="preserve">KA-40274-SV</t>
  </si>
  <si>
    <t xml:space="preserve">amit.naik@gmail.com</t>
  </si>
  <si>
    <t xml:space="preserve">Fill Domain: everything after the @, in lower case.</t>
  </si>
  <si>
    <t xml:space="preserve">→ fill column E</t>
  </si>
  <si>
    <t xml:space="preserve">=LOWER(MID(B9,FIND("@",B9)+1,99)) — 99 just means "to the end".</t>
  </si>
  <si>
    <t xml:space="preserve">TN-40411-PK</t>
  </si>
  <si>
    <t xml:space="preserve">sneha.rao@company.co.in</t>
  </si>
  <si>
    <t xml:space="preserve">How many contacts use gmail.com?</t>
  </si>
  <si>
    <t xml:space="preserve">COUNTIF on your Domain column.</t>
  </si>
  <si>
    <t xml:space="preserve">DL-40548-LG</t>
  </si>
  <si>
    <t xml:space="preserve">vikram.reddy@gmail.com</t>
  </si>
  <si>
    <t xml:space="preserve">The highest serial number in the list.</t>
  </si>
  <si>
    <t xml:space="preserve">MAX on your Serial column.</t>
  </si>
  <si>
    <t xml:space="preserve">MH-40685-TX</t>
  </si>
  <si>
    <t xml:space="preserve">neha.verma@yahoo.in</t>
  </si>
  <si>
    <t xml:space="preserve">How many codes are from Maharashtra (MH)?</t>
  </si>
  <si>
    <t xml:space="preserve">COUNTIF on State, or SUMPRODUCT straight off the code.</t>
  </si>
  <si>
    <t xml:space="preserve">GJ-40822-IT</t>
  </si>
  <si>
    <t xml:space="preserve">arjun.joshi@gmail.com</t>
  </si>
  <si>
    <t xml:space="preserve">KA-40959-SV</t>
  </si>
  <si>
    <t xml:space="preserve">kavya.chopra@outlook.com</t>
  </si>
  <si>
    <t xml:space="preserve">TN-41096-PK</t>
  </si>
  <si>
    <t xml:space="preserve">rohit.ghosh@gmail.com</t>
  </si>
  <si>
    <t xml:space="preserve">DL-41233-LG</t>
  </si>
  <si>
    <t xml:space="preserve">ananya.nair@company.co.in</t>
  </si>
  <si>
    <t xml:space="preserve">MH-41370-TX</t>
  </si>
  <si>
    <t xml:space="preserve">siddharth.pillai@gmail.com</t>
  </si>
  <si>
    <t xml:space="preserve">GJ-41507-IT</t>
  </si>
  <si>
    <t xml:space="preserve">ishita.sharma@yahoo.in</t>
  </si>
  <si>
    <t xml:space="preserve">KA-41644-SV</t>
  </si>
  <si>
    <t xml:space="preserve">manish.desai@gmail.com</t>
  </si>
  <si>
    <t xml:space="preserve">TN-41781-PK</t>
  </si>
  <si>
    <t xml:space="preserve">pooja.shetty@outlook.com</t>
  </si>
  <si>
    <t xml:space="preserve">DL-41918-LG</t>
  </si>
  <si>
    <t xml:space="preserve">karan.iyer@gmail.com</t>
  </si>
  <si>
    <t xml:space="preserve">MH-42055-TX</t>
  </si>
  <si>
    <t xml:space="preserve">divya.mehta@company.co.in</t>
  </si>
  <si>
    <t xml:space="preserve">GJ-42192-IT</t>
  </si>
  <si>
    <t xml:space="preserve">nikhil.malhotra@gmail.com</t>
  </si>
  <si>
    <t xml:space="preserve">KA-42329-SV</t>
  </si>
  <si>
    <t xml:space="preserve">meghna.patel@yahoo.in</t>
  </si>
  <si>
    <t xml:space="preserve">TN-42466-PK</t>
  </si>
  <si>
    <t xml:space="preserve">aditya.banerjee@gmail.com</t>
  </si>
  <si>
    <t xml:space="preserve">DL-42603-LG</t>
  </si>
  <si>
    <t xml:space="preserve">shreya.bose@outlook.com</t>
  </si>
  <si>
    <t xml:space="preserve">MH-42740-TX</t>
  </si>
  <si>
    <t xml:space="preserve">GJ-42877-IT</t>
  </si>
  <si>
    <t xml:space="preserve">priya.gupta@company.co.in</t>
  </si>
  <si>
    <t xml:space="preserve">KA-43014-SV</t>
  </si>
  <si>
    <t xml:space="preserve">TN-43151-PK</t>
  </si>
  <si>
    <t xml:space="preserve">sneha.rao@yahoo.in</t>
  </si>
  <si>
    <t xml:space="preserve">DL-43288-LG</t>
  </si>
  <si>
    <t xml:space="preserve">MH-43425-TX</t>
  </si>
  <si>
    <t xml:space="preserve">neha.verma@outlook.com</t>
  </si>
  <si>
    <t xml:space="preserve">LESSON 3  ·  NUMBERS AND DATES TRAPPED IN TEXT</t>
  </si>
  <si>
    <t xml:space="preserve">★★★☆☆   A bank download where nothing adds up — because nothing is a number.</t>
  </si>
  <si>
    <t xml:space="preserve">CONCEPT  ·  A cell that looks like an amount but sits on the LEFT of the cell is text. SUBSTITUTE(text, old, new) deletes the currency symbol and the commas; VALUE then converts what is left. Dates are worse: DATEVALUE depends on the computer's regional settings and fails on "12-05-2025" in half the world. Build the date yourself with DATE(year, month, day) and MID — that formula gives the same answer on every machine on earth.</t>
  </si>
  <si>
    <t xml:space="preserve">Amount (text)</t>
  </si>
  <si>
    <t xml:space="preserve">Date (text)</t>
  </si>
  <si>
    <t xml:space="preserve">Amount</t>
  </si>
  <si>
    <t xml:space="preserve">Date</t>
  </si>
  <si>
    <t xml:space="preserve">Month</t>
  </si>
  <si>
    <t xml:space="preserve">₹ 75,423.57</t>
  </si>
  <si>
    <t xml:space="preserve">23-12-2025</t>
  </si>
  <si>
    <t xml:space="preserve">Fill Amount: a real number, from the text in column A.</t>
  </si>
  <si>
    <t xml:space="preserve">=VALUE(SUBSTITUTE(SUBSTITUTE(A9,",",""),"₹","")) — strip the commas, strip the symbol, then convert.</t>
  </si>
  <si>
    <t xml:space="preserve">₹ 5,27,254.52</t>
  </si>
  <si>
    <t xml:space="preserve">01-09-2025</t>
  </si>
  <si>
    <t xml:space="preserve">Fill Date: a real date, built from the dd-mm-yyyy text in column B.</t>
  </si>
  <si>
    <t xml:space="preserve">=DATE(VALUE(MID(B9,7,4)),VALUE(MID(B9,4,2)),VALUE(MID(B9,1,2)))</t>
  </si>
  <si>
    <t xml:space="preserve">₹ 9,72,242.09</t>
  </si>
  <si>
    <t xml:space="preserve">20-09-2025</t>
  </si>
  <si>
    <t xml:space="preserve">Fill Month as a label like "Jul-25".</t>
  </si>
  <si>
    <t xml:space="preserve">=TEXT(D9,"mmm-yy")</t>
  </si>
  <si>
    <t xml:space="preserve">₹ 3,59,761.10</t>
  </si>
  <si>
    <t xml:space="preserve">13-04-2025</t>
  </si>
  <si>
    <t xml:space="preserve">Total of all the amounts.</t>
  </si>
  <si>
    <t xml:space="preserve">SUM your converted column. If it returns 0, your column is still text.</t>
  </si>
  <si>
    <t xml:space="preserve">₹ 79,767.32</t>
  </si>
  <si>
    <t xml:space="preserve">05-05-2025</t>
  </si>
  <si>
    <t xml:space="preserve">How many transactions fall in May 2025?</t>
  </si>
  <si>
    <t xml:space="preserve">COUNTIF on your Month label.</t>
  </si>
  <si>
    <t xml:space="preserve">₹ 3,55,481.55</t>
  </si>
  <si>
    <t xml:space="preserve">05-11-2025</t>
  </si>
  <si>
    <t xml:space="preserve">Largest single amount.</t>
  </si>
  <si>
    <t xml:space="preserve">MAX on the converted column.</t>
  </si>
  <si>
    <t xml:space="preserve">₹ 75,132.68</t>
  </si>
  <si>
    <t xml:space="preserve">03-01-2026</t>
  </si>
  <si>
    <t xml:space="preserve">₹ 51,040.99</t>
  </si>
  <si>
    <t xml:space="preserve">₹ 7,64,826.84</t>
  </si>
  <si>
    <t xml:space="preserve">11-06-2025</t>
  </si>
  <si>
    <t xml:space="preserve">₹ 9,20,100.91</t>
  </si>
  <si>
    <t xml:space="preserve">01-10-2025</t>
  </si>
  <si>
    <t xml:space="preserve">₹ 3,21,624.98</t>
  </si>
  <si>
    <t xml:space="preserve">29-07-2025</t>
  </si>
  <si>
    <t xml:space="preserve">₹ 9,46,751.87</t>
  </si>
  <si>
    <t xml:space="preserve">14-11-2025</t>
  </si>
  <si>
    <t xml:space="preserve">₹ 4,92,089.84</t>
  </si>
  <si>
    <t xml:space="preserve">10-06-2025</t>
  </si>
  <si>
    <t xml:space="preserve">₹ 3,14,019.46</t>
  </si>
  <si>
    <t xml:space="preserve">03-04-2025</t>
  </si>
  <si>
    <t xml:space="preserve">₹ 6,41,211.35</t>
  </si>
  <si>
    <t xml:space="preserve">25-08-2025</t>
  </si>
  <si>
    <t xml:space="preserve">₹ 9,49,831.74</t>
  </si>
  <si>
    <t xml:space="preserve">28-01-2026</t>
  </si>
  <si>
    <t xml:space="preserve">₹ 6,18,189.80</t>
  </si>
  <si>
    <t xml:space="preserve">11-09-2025</t>
  </si>
  <si>
    <t xml:space="preserve">₹ 5,96,795.80</t>
  </si>
  <si>
    <t xml:space="preserve">26-11-2025</t>
  </si>
  <si>
    <t xml:space="preserve">₹ 4,95,747.26</t>
  </si>
  <si>
    <t xml:space="preserve">18-10-2025</t>
  </si>
  <si>
    <t xml:space="preserve">₹ 23,135.29</t>
  </si>
  <si>
    <t xml:space="preserve">12-01-2026</t>
  </si>
  <si>
    <t xml:space="preserve">₹ 8,44,573.88</t>
  </si>
  <si>
    <t xml:space="preserve">22-11-2025</t>
  </si>
  <si>
    <t xml:space="preserve">₹ 4,49,638.13</t>
  </si>
  <si>
    <t xml:space="preserve">10-10-2025</t>
  </si>
  <si>
    <t xml:space="preserve">₹ 7,19,564.74</t>
  </si>
  <si>
    <t xml:space="preserve">06-08-2025</t>
  </si>
  <si>
    <t xml:space="preserve">₹ 5,86,832.13</t>
  </si>
  <si>
    <t xml:space="preserve">31-10-2025</t>
  </si>
  <si>
    <t xml:space="preserve">LESSON 4  ·  DUPLICATES</t>
  </si>
  <si>
    <t xml:space="preserve">★★★☆☆   Twenty-five rows, twenty invoices. Find the five that got pasted twice.</t>
  </si>
  <si>
    <t xml:space="preserve">CONCEPT  ·  COUNTIF(whole column, this value) tells you how many times a value appears — more than 1 means a duplicate. To mark only the SECOND and later copies, lock just the top of the range: COUNTIF($A$9:A9, A9) counts from the top down to the current row, so the first occurrence is 1 and every repeat is 2, 3, … . The expanding-range trick is worth memorising.</t>
  </si>
  <si>
    <t xml:space="preserve">Invoice</t>
  </si>
  <si>
    <t xml:space="preserve">Party</t>
  </si>
  <si>
    <t xml:space="preserve">Times seen</t>
  </si>
  <si>
    <t xml:space="preserve">Keep?</t>
  </si>
  <si>
    <t xml:space="preserve">INV-2112</t>
  </si>
  <si>
    <t xml:space="preserve">Kiran Agencies</t>
  </si>
  <si>
    <t xml:space="preserve">Fill Times seen: how many times this invoice number appears in the whole column.</t>
  </si>
  <si>
    <t xml:space="preserve">=COUNTIF($A$9:$A$33,A9) — the range must be locked with $.</t>
  </si>
  <si>
    <t xml:space="preserve">INV-2100</t>
  </si>
  <si>
    <t xml:space="preserve">Orbit Systems</t>
  </si>
  <si>
    <t xml:space="preserve">Fill Keep?: "Keep" for the first time an invoice appears, "Duplicate" for every later copy.</t>
  </si>
  <si>
    <t xml:space="preserve">=IF(COUNTIF($A$9:A9,A9)=1,"Keep","Duplicate") — note only the FIRST A9 is locked.</t>
  </si>
  <si>
    <t xml:space="preserve">INV-2103</t>
  </si>
  <si>
    <t xml:space="preserve">Patel &amp; Co</t>
  </si>
  <si>
    <t xml:space="preserve">How many DIFFERENT invoice numbers are there?</t>
  </si>
  <si>
    <t xml:space="preserve">Count the "Keep" rows.</t>
  </si>
  <si>
    <t xml:space="preserve">INV-2115</t>
  </si>
  <si>
    <t xml:space="preserve">Vaibhav Textiles</t>
  </si>
  <si>
    <t xml:space="preserve">How many rows are duplicates?</t>
  </si>
  <si>
    <t xml:space="preserve">Total rows minus different invoices.</t>
  </si>
  <si>
    <t xml:space="preserve">INV-2104</t>
  </si>
  <si>
    <t xml:space="preserve">Total value counting each invoice only ONCE.</t>
  </si>
  <si>
    <t xml:space="preserve">SUMIF on the Keep label.</t>
  </si>
  <si>
    <t xml:space="preserve">INV-2109</t>
  </si>
  <si>
    <t xml:space="preserve">Shree Enterprises</t>
  </si>
  <si>
    <t xml:space="preserve">INV-2114</t>
  </si>
  <si>
    <t xml:space="preserve">INV-2107</t>
  </si>
  <si>
    <t xml:space="preserve">INV-2106</t>
  </si>
  <si>
    <t xml:space="preserve">INV-2108</t>
  </si>
  <si>
    <t xml:space="preserve">ABC Traders</t>
  </si>
  <si>
    <t xml:space="preserve">INV-2105</t>
  </si>
  <si>
    <t xml:space="preserve">INV-2110</t>
  </si>
  <si>
    <t xml:space="preserve">INV-2111</t>
  </si>
  <si>
    <t xml:space="preserve">Nandini Foods</t>
  </si>
  <si>
    <t xml:space="preserve">INV-2118</t>
  </si>
  <si>
    <t xml:space="preserve">INV-2101</t>
  </si>
  <si>
    <t xml:space="preserve">INV-2117</t>
  </si>
  <si>
    <t xml:space="preserve">INV-2113</t>
  </si>
  <si>
    <t xml:space="preserve">Bharat Electricals</t>
  </si>
  <si>
    <t xml:space="preserve">INV-2116</t>
  </si>
  <si>
    <t xml:space="preserve">INV-2119</t>
  </si>
  <si>
    <t xml:space="preserve">INV-2102</t>
  </si>
  <si>
    <t xml:space="preserve">LESSON 5  ·  JOINING TEXT AND BUILDING KEYS</t>
  </si>
  <si>
    <t xml:space="preserve">★★★★☆   Make a key that matches across two systems that agree on nothing.</t>
  </si>
  <si>
    <t xml:space="preserve">CONCEPT  ·  The &amp; operator glues text together: A9&amp;" "&amp;B9. CONCAT does the same for a whole range; TEXTJOIN adds a separator and can skip blanks — TEXTJOIN(", ", TRUE, range). The real skill is designing a MATCH KEY: clean it, force one case, and join the parts with a character that cannot appear in the data, like a pipe. Two systems will then agree even when their spelling does not.</t>
  </si>
  <si>
    <t xml:space="preserve">First</t>
  </si>
  <si>
    <t xml:space="preserve">Last</t>
  </si>
  <si>
    <t xml:space="preserve">City</t>
  </si>
  <si>
    <t xml:space="preserve">Full Name</t>
  </si>
  <si>
    <t xml:space="preserve">Match Key</t>
  </si>
  <si>
    <t xml:space="preserve">Rahul</t>
  </si>
  <si>
    <t xml:space="preserve">KULKARNI</t>
  </si>
  <si>
    <t xml:space="preserve">Mumbai</t>
  </si>
  <si>
    <t xml:space="preserve">Fill Full Name: first and last name, cleaned and properly capitalised, with one space between them.</t>
  </si>
  <si>
    <t xml:space="preserve">=PROPER(TRIM(A9))&amp;" "&amp;PROPER(TRIM(B9))</t>
  </si>
  <si>
    <t xml:space="preserve">  PRIYA  </t>
  </si>
  <si>
    <t xml:space="preserve">Gupta</t>
  </si>
  <si>
    <t xml:space="preserve">Ahmedabad</t>
  </si>
  <si>
    <t xml:space="preserve">Fill Match Key: first initial + last name + "|" + city, all in CAPITALS, no spaces around anything.</t>
  </si>
  <si>
    <t xml:space="preserve">=UPPER(LEFT(TRIM(A9),1)&amp;TRIM(B9)&amp;"|"&amp;TRIM(C9))</t>
  </si>
  <si>
    <t xml:space="preserve">  AMIT  </t>
  </si>
  <si>
    <t xml:space="preserve">Naik</t>
  </si>
  <si>
    <t xml:space="preserve">Delhi</t>
  </si>
  <si>
    <t xml:space="preserve">How many match keys are unique (appear only once)?</t>
  </si>
  <si>
    <t xml:space="preserve">COUNTIF a column against itself, then count the 1s.</t>
  </si>
  <si>
    <t xml:space="preserve"> Sneha  </t>
  </si>
  <si>
    <t xml:space="preserve">rao</t>
  </si>
  <si>
    <t xml:space="preserve">Pune</t>
  </si>
  <si>
    <t xml:space="preserve">Join the first three full names into one cell, separated by a comma and a space.</t>
  </si>
  <si>
    <t xml:space="preserve">=TEXTJOIN(", ",TRUE,D9:D11)</t>
  </si>
  <si>
    <t xml:space="preserve">VIKRAM</t>
  </si>
  <si>
    <t xml:space="preserve">  REDDY  </t>
  </si>
  <si>
    <t xml:space="preserve">Surat</t>
  </si>
  <si>
    <t xml:space="preserve">How many people are in Pune?</t>
  </si>
  <si>
    <t xml:space="preserve">COUNTIF on the City column.</t>
  </si>
  <si>
    <t xml:space="preserve">  NEHA  </t>
  </si>
  <si>
    <t xml:space="preserve">  VERMA  </t>
  </si>
  <si>
    <t xml:space="preserve">Chennai</t>
  </si>
  <si>
    <t xml:space="preserve">Arjun</t>
  </si>
  <si>
    <t xml:space="preserve">Joshi</t>
  </si>
  <si>
    <t xml:space="preserve">Kochi</t>
  </si>
  <si>
    <t xml:space="preserve">kavya</t>
  </si>
  <si>
    <t xml:space="preserve"> Chopra  </t>
  </si>
  <si>
    <t xml:space="preserve">Nagpur</t>
  </si>
  <si>
    <t xml:space="preserve">ROHIT</t>
  </si>
  <si>
    <t xml:space="preserve"> Ghosh  </t>
  </si>
  <si>
    <t xml:space="preserve">Bengaluru</t>
  </si>
  <si>
    <t xml:space="preserve">ananya</t>
  </si>
  <si>
    <t xml:space="preserve">nair</t>
  </si>
  <si>
    <t xml:space="preserve">Indore</t>
  </si>
  <si>
    <t xml:space="preserve">siddharth</t>
  </si>
  <si>
    <t xml:space="preserve">  PILLAI  </t>
  </si>
  <si>
    <t xml:space="preserve">ishita</t>
  </si>
  <si>
    <t xml:space="preserve">Sharma</t>
  </si>
  <si>
    <t xml:space="preserve">Manish</t>
  </si>
  <si>
    <t xml:space="preserve">Desai</t>
  </si>
  <si>
    <t xml:space="preserve">Pooja</t>
  </si>
  <si>
    <t xml:space="preserve">Shetty</t>
  </si>
  <si>
    <t xml:space="preserve">Karan</t>
  </si>
  <si>
    <t xml:space="preserve">  IYER  </t>
  </si>
  <si>
    <t xml:space="preserve">  DIVYA  </t>
  </si>
  <si>
    <t xml:space="preserve">  MEHTA  </t>
  </si>
  <si>
    <t xml:space="preserve">nikhil</t>
  </si>
  <si>
    <t xml:space="preserve"> Malhotra  </t>
  </si>
  <si>
    <t xml:space="preserve"> Meghna  </t>
  </si>
  <si>
    <t xml:space="preserve"> Patel  </t>
  </si>
  <si>
    <t xml:space="preserve"> Aditya  </t>
  </si>
  <si>
    <t xml:space="preserve">  BANERJEE  </t>
  </si>
  <si>
    <t xml:space="preserve">Shreya</t>
  </si>
  <si>
    <t xml:space="preserve"> Bose  </t>
  </si>
  <si>
    <t xml:space="preserve">RAHUL</t>
  </si>
  <si>
    <t xml:space="preserve">kulkarni</t>
  </si>
  <si>
    <t xml:space="preserve">priya</t>
  </si>
  <si>
    <t xml:space="preserve">  GUPTA  </t>
  </si>
  <si>
    <t xml:space="preserve">amit</t>
  </si>
  <si>
    <t xml:space="preserve">NAIK</t>
  </si>
  <si>
    <t xml:space="preserve">Sneha</t>
  </si>
  <si>
    <t xml:space="preserve">Rao</t>
  </si>
  <si>
    <t xml:space="preserve">LESSON 6  ·  BOSS ROUND — VALIDATE THE IMPORT</t>
  </si>
  <si>
    <t xml:space="preserve">★★★★★   One formula that audits every row before it reaches the accounting system.</t>
  </si>
  <si>
    <t xml:space="preserve">CONCEPT  ·  Validation is a ladder of tests, most serious first. ISERROR(FIND("@", email)) is TRUE when there is no @ at all — that is how you test for "contains" without a #VALUE! crashing the row. LEN(TRIM(x)) = 0 catches cells that look empty but hold spaces. IFS stops at the first TRUE, so a row with two problems reports the most important one and stops.</t>
  </si>
  <si>
    <t xml:space="preserve">Name</t>
  </si>
  <si>
    <t xml:space="preserve">Phone</t>
  </si>
  <si>
    <t xml:space="preserve">GSTIN</t>
  </si>
  <si>
    <t xml:space="preserve">Status</t>
  </si>
  <si>
    <t xml:space="preserve">9542595605</t>
  </si>
  <si>
    <t xml:space="preserve">27AABCA1000A1ZV</t>
  </si>
  <si>
    <t xml:space="preserve">Fill Status: "Name missing" if the name is blank or only spaces; else "Bad email" if there is no @; else "Bad phone" if the phone is not 10 characters; else "Bad GSTIN" if the GSTIN is not 15 characters; else "OK".</t>
  </si>
  <si>
    <t xml:space="preserve">IFS(test,result,test,result,…,TRUE,"OK"). Use ISERROR(FIND("@",B9)) for the missing @.</t>
  </si>
  <si>
    <t xml:space="preserve">Priya Gupta</t>
  </si>
  <si>
    <t xml:space="preserve">9481238749</t>
  </si>
  <si>
    <t xml:space="preserve">27AABCB1037D1ZV</t>
  </si>
  <si>
    <t xml:space="preserve">How many rows are clean?</t>
  </si>
  <si>
    <t xml:space="preserve">COUNTIF for OK.</t>
  </si>
  <si>
    <t xml:space="preserve">Amit Naik</t>
  </si>
  <si>
    <t xml:space="preserve">amit.naik.gmail.com</t>
  </si>
  <si>
    <t xml:space="preserve">9704677648</t>
  </si>
  <si>
    <t xml:space="preserve">27AABCC1074G1ZV</t>
  </si>
  <si>
    <t xml:space="preserve">How many rows have a bad phone number?</t>
  </si>
  <si>
    <t xml:space="preserve">COUNTIF for that exact label.</t>
  </si>
  <si>
    <t xml:space="preserve">Sneha Rao</t>
  </si>
  <si>
    <t xml:space="preserve">9533333875</t>
  </si>
  <si>
    <t xml:space="preserve">27AABCD1111J1ZV</t>
  </si>
  <si>
    <t xml:space="preserve">How many rows need a fix of any kind?</t>
  </si>
  <si>
    <t xml:space="preserve">"&lt;&gt;OK" means "not equal to OK".</t>
  </si>
  <si>
    <t xml:space="preserve">93477743</t>
  </si>
  <si>
    <t xml:space="preserve">27AABCE1148M1ZV</t>
  </si>
  <si>
    <t xml:space="preserve">The email address on the FIRST row flagged "Bad email".</t>
  </si>
  <si>
    <t xml:space="preserve">MATCH finds the position of the first "Bad email"; INDEX pulls the email from that position.</t>
  </si>
  <si>
    <t xml:space="preserve">Neha Verma</t>
  </si>
  <si>
    <t xml:space="preserve">9172552997</t>
  </si>
  <si>
    <t xml:space="preserve">27AABCF1185P1ZV</t>
  </si>
  <si>
    <t xml:space="preserve">What share of the file is clean?</t>
  </si>
  <si>
    <t xml:space="preserve">Clean rows ÷ total rows. Format as a percentage.</t>
  </si>
  <si>
    <t xml:space="preserve">   </t>
  </si>
  <si>
    <t xml:space="preserve">9665850459</t>
  </si>
  <si>
    <t xml:space="preserve">27AABCG1222S1ZV</t>
  </si>
  <si>
    <t xml:space="preserve">9448751693</t>
  </si>
  <si>
    <t xml:space="preserve">27AABCH1259V1ZV</t>
  </si>
  <si>
    <t xml:space="preserve">Rohit Ghosh</t>
  </si>
  <si>
    <t xml:space="preserve">9470794056</t>
  </si>
  <si>
    <t xml:space="preserve">27AABCI1296Y1</t>
  </si>
  <si>
    <t xml:space="preserve">Ananya Nair</t>
  </si>
  <si>
    <t xml:space="preserve">9607138806</t>
  </si>
  <si>
    <t xml:space="preserve">27AABCJ1333B1ZV</t>
  </si>
  <si>
    <t xml:space="preserve">9867895199</t>
  </si>
  <si>
    <t xml:space="preserve">27AABCK1370E1ZV</t>
  </si>
  <si>
    <t xml:space="preserve">Ishita Sharma</t>
  </si>
  <si>
    <t xml:space="preserve">ishita.sharma.yahoo.in</t>
  </si>
  <si>
    <t xml:space="preserve">9606402635</t>
  </si>
  <si>
    <t xml:space="preserve">27AABCL1407H1ZV</t>
  </si>
  <si>
    <t xml:space="preserve">Manish Desai</t>
  </si>
  <si>
    <t xml:space="preserve">9145470175</t>
  </si>
  <si>
    <t xml:space="preserve">27AABCM1444K1ZV</t>
  </si>
  <si>
    <t xml:space="preserve">Pooja Shetty</t>
  </si>
  <si>
    <t xml:space="preserve">94418318</t>
  </si>
  <si>
    <t xml:space="preserve">27AABCN1481N1ZV</t>
  </si>
  <si>
    <t xml:space="preserve">Karan Iyer</t>
  </si>
  <si>
    <t xml:space="preserve">9229864595</t>
  </si>
  <si>
    <t xml:space="preserve">27AABCO1518Q1ZV</t>
  </si>
  <si>
    <t xml:space="preserve">9616520761</t>
  </si>
  <si>
    <t xml:space="preserve">27AABCP1555T1ZV</t>
  </si>
  <si>
    <t xml:space="preserve">Nikhil Malhotra</t>
  </si>
  <si>
    <t xml:space="preserve">9553786685</t>
  </si>
  <si>
    <t xml:space="preserve">27AABCQ1592W1ZV</t>
  </si>
  <si>
    <t xml:space="preserve">Meghna Patel</t>
  </si>
  <si>
    <t xml:space="preserve">9644709928</t>
  </si>
  <si>
    <t xml:space="preserve">27AABCR1629Z1</t>
  </si>
  <si>
    <t xml:space="preserve">9764930981</t>
  </si>
  <si>
    <t xml:space="preserve">27AABCS1666C1ZV</t>
  </si>
  <si>
    <t xml:space="preserve">Shreya Bose</t>
  </si>
  <si>
    <t xml:space="preserve">9697054488</t>
  </si>
  <si>
    <t xml:space="preserve">27AABCT1703F1ZV</t>
  </si>
  <si>
    <t xml:space="preserve">rahul.kulkarni.gmail.com</t>
  </si>
  <si>
    <t xml:space="preserve">9693749282</t>
  </si>
  <si>
    <t xml:space="preserve">27AABCU1740I1ZV</t>
  </si>
  <si>
    <t xml:space="preserve">9690295037</t>
  </si>
  <si>
    <t xml:space="preserve">27AABCV1777L1ZV</t>
  </si>
  <si>
    <t xml:space="preserve">97740271</t>
  </si>
  <si>
    <t xml:space="preserve">27AABCW1814O1ZV</t>
  </si>
  <si>
    <t xml:space="preserve">9883504178</t>
  </si>
  <si>
    <t xml:space="preserve">27AABCX1851R1ZV</t>
  </si>
  <si>
    <t xml:space="preserve">9139914355</t>
  </si>
  <si>
    <t xml:space="preserve">27AABCY1888U1ZV</t>
  </si>
  <si>
    <t xml:space="preserve">9296441697</t>
  </si>
  <si>
    <t xml:space="preserve">27AABCZ1925X1ZV</t>
  </si>
  <si>
    <t xml:space="preserve">SOLUTIONS &amp; OTHER WAYS — open only after you have tried</t>
  </si>
  <si>
    <t xml:space="preserve">Model answers are shapes, not the only answer. If your formula gives the same result, it is right — compare the logic.</t>
  </si>
  <si>
    <t xml:space="preserve">L1 Spaces and capitals   ★</t>
  </si>
  <si>
    <t xml:space="preserve">Answer cell</t>
  </si>
  <si>
    <t xml:space="preserve">Model formula</t>
  </si>
  <si>
    <t xml:space="preserve">Other ways</t>
  </si>
  <si>
    <t xml:space="preserve">Why it works</t>
  </si>
  <si>
    <t xml:space="preserve">column B</t>
  </si>
  <si>
    <t xml:space="preserve">=PROPER(TRIM(A9))   (row 9, then fill down)</t>
  </si>
  <si>
    <t xml:space="preserve">=TRIM(PROPER(A9)) — same result here, but TRIM first is the habit to keep
=PROPER(TRIM(CLEAN(A9))) — CLEAN also strips invisible control characters from system exports</t>
  </si>
  <si>
    <t xml:space="preserve">Two names that look identical but differ by one space will never match in a VLOOKUP.</t>
  </si>
  <si>
    <t xml:space="preserve">column C</t>
  </si>
  <si>
    <t xml:space="preserve">=LEN(A9)-LEN(TRIM(A9))   (row 9, then fill down)</t>
  </si>
  <si>
    <t xml:space="preserve">G11</t>
  </si>
  <si>
    <t xml:space="preserve">=COUNTIF($C$9:$C$36,"&gt;0")</t>
  </si>
  <si>
    <t xml:space="preserve">=SUMPRODUCT(--(LEN(raw)&lt;&gt;LEN(TRIM(raw))))</t>
  </si>
  <si>
    <t xml:space="preserve">G12</t>
  </si>
  <si>
    <t xml:space="preserve">=SUM($C$9:$C$36)</t>
  </si>
  <si>
    <t xml:space="preserve">=SUMPRODUCT(LEN(raw)-LEN(TRIM(raw))) — no helper column needed</t>
  </si>
  <si>
    <t xml:space="preserve">G13</t>
  </si>
  <si>
    <t xml:space="preserve">=SUMPRODUCT(--(LEN($B$9:$B$36)&gt;12))</t>
  </si>
  <si>
    <t xml:space="preserve">COUNTIF cannot test a calculated property like length — SUMPRODUCT can.</t>
  </si>
  <si>
    <t xml:space="preserve">L2 Cutting text apart   ★★</t>
  </si>
  <si>
    <t xml:space="preserve">=LEFT(A9,2)   (row 9, then fill down)</t>
  </si>
  <si>
    <t xml:space="preserve">=LEFT(A9,FIND("-",A9)-1) — works even if the prefix length changes
=MID(A9,1,2)</t>
  </si>
  <si>
    <t xml:space="preserve">Hard-coding 2 breaks the day someone adds a three-letter code. FIND never does.</t>
  </si>
  <si>
    <t xml:space="preserve">column D</t>
  </si>
  <si>
    <t xml:space="preserve">=VALUE(MID(A9,FIND("-",A9)+1,5))   (row 9, then fill down)</t>
  </si>
  <si>
    <t xml:space="preserve">=VALUE(MID(A9,4,5)) — fine while every prefix is 2 letters
=VALUE(MID(A9,FIND("-",A9)+1,FIND("-",A9,FIND("-",A9)+1)-FIND("-",A9)-1)) — finds both dashes, any length</t>
  </si>
  <si>
    <t xml:space="preserve">Without VALUE it stays text, and text never sums.</t>
  </si>
  <si>
    <t xml:space="preserve">column E</t>
  </si>
  <si>
    <t xml:space="preserve">=LOWER(MID(B9,FIND("@",B9)+1,99))   (row 9, then fill down)</t>
  </si>
  <si>
    <t xml:space="preserve">=RIGHT(B9,LEN(B9)-FIND("@",B9))
=TEXTAFTER(B9,"@") in Microsoft 365</t>
  </si>
  <si>
    <t xml:space="preserve">I12</t>
  </si>
  <si>
    <t xml:space="preserve">=COUNTIF($E$9:$E$34,"gmail.com")</t>
  </si>
  <si>
    <t xml:space="preserve">=COUNTIF(emails,"*@gmail.com") — * is a wildcard for any characters</t>
  </si>
  <si>
    <t xml:space="preserve">I13</t>
  </si>
  <si>
    <t xml:space="preserve">=MAX($D$9:$D$34)</t>
  </si>
  <si>
    <t xml:space="preserve">I14</t>
  </si>
  <si>
    <t xml:space="preserve">=COUNTIF($C$9:$C$34,"MH")</t>
  </si>
  <si>
    <t xml:space="preserve">L3 Numbers and dates trapped in   ★★★</t>
  </si>
  <si>
    <t xml:space="preserve">=VALUE(SUBSTITUTE(SUBSTITUTE(A9,",",""),"₹",""))   (row 9, then fill down)</t>
  </si>
  <si>
    <t xml:space="preserve">=NUMBERVALUE(SUBSTITUTE(A9,"₹","")) in newer Excel
=SUMPRODUCT(VALUE(SUBSTITUTE(SUBSTITUTE(A9,",",""),"₹","")))</t>
  </si>
  <si>
    <t xml:space="preserve">Text that looks like a number is the single most common reason a total comes out as zero.</t>
  </si>
  <si>
    <t xml:space="preserve">=DATE(VALUE(MID(B9,7,4)),VALUE(MID(B9,4,2)),VALUE(MID(B9,1,2)))   (row 9, then fill down)</t>
  </si>
  <si>
    <t xml:space="preserve">=DATEVALUE(B9) — shorter, but it breaks on a computer set to US date format
=--TEXT(B9,"@") does NOT work; there is no shortcut worth trusting here</t>
  </si>
  <si>
    <t xml:space="preserve">MID + DATE is regional-settings-proof. That matters the moment someone else opens your file.</t>
  </si>
  <si>
    <t xml:space="preserve">=TEXT(D9,"mmm-yy")   (row 9, then fill down)</t>
  </si>
  <si>
    <t xml:space="preserve">=TEXT(D9,"mmm")&amp;"-"&amp;TEXT(YEAR(D9),"00")</t>
  </si>
  <si>
    <t xml:space="preserve">TEXT turns a date into a label you can group on. Do not use it for anything you still need to sort chronologically.</t>
  </si>
  <si>
    <t xml:space="preserve">=SUM($C$9:$C$32)</t>
  </si>
  <si>
    <t xml:space="preserve">=COUNTIF($E$9:$E$32,"May-25")</t>
  </si>
  <si>
    <t xml:space="preserve">=SUMPRODUCT((YEAR(dates)=2025)*(MONTH(dates)=5))
=COUNTIFS(dates,"&gt;="&amp;DATE(2025,5,1),dates,"&lt;="&amp;DATE(2025,5,31))</t>
  </si>
  <si>
    <t xml:space="preserve">=MAX($C$9:$C$32)</t>
  </si>
  <si>
    <t xml:space="preserve">L4 Duplicates   ★★★</t>
  </si>
  <si>
    <t xml:space="preserve">=COUNTIF($A$9:$A$33,A9)   (row 9, then fill down)</t>
  </si>
  <si>
    <t xml:space="preserve">=IF(COUNTIF($A$9:A9,A9)=1,"Keep","Duplicate")   (row 9, then fill down)</t>
  </si>
  <si>
    <t xml:space="preserve">=IF(COUNTIFS($A$9:A9,A9)=1,"Keep","Duplicate")
Data ▸ Remove Duplicates deletes them, but then you cannot see what was removed</t>
  </si>
  <si>
    <t xml:space="preserve">An expanding range grows as you fill down: row 10 sees $A$9:A10, row 11 sees $A$9:A11.</t>
  </si>
  <si>
    <t xml:space="preserve">I11</t>
  </si>
  <si>
    <t xml:space="preserve">=COUNTIF($E$9:$E$33,"Keep")</t>
  </si>
  <si>
    <t xml:space="preserve">=SUMPRODUCT(1/COUNTIF(A9:A33,A9:A33)) — the classic one-cell unique count
=ROWS(UNIQUE(A9:A33)) in Microsoft 365</t>
  </si>
  <si>
    <t xml:space="preserve">SUMPRODUCT(1/COUNTIF(range,range)) works because a value seen 3 times contributes 1/3 three times.</t>
  </si>
  <si>
    <t xml:space="preserve">=COUNTIF($E$9:$E$33,"Duplicate")</t>
  </si>
  <si>
    <t xml:space="preserve">=COUNTA(A9:A33)-SUMPRODUCT(1/COUNTIF(A9:A33,A9:A33))</t>
  </si>
  <si>
    <t xml:space="preserve">=SUMIF($E$9:$E$33,"Keep",$C$9:$C$33)</t>
  </si>
  <si>
    <t xml:space="preserve">=SUMPRODUCT(C9:C33/COUNTIF(A9:A33,A9:A33)) — no helper column: each copy contributes its share</t>
  </si>
  <si>
    <t xml:space="preserve">Double-counted revenue is how a month's numbers get restated.</t>
  </si>
  <si>
    <t xml:space="preserve">L5 Joining text and building ke   ★★★★</t>
  </si>
  <si>
    <t xml:space="preserve">=PROPER(TRIM(A9))&amp;" "&amp;PROPER(TRIM(B9))   (row 9, then fill down)</t>
  </si>
  <si>
    <t xml:space="preserve">=TEXTJOIN(" ",TRUE,PROPER(TRIM(A9)),PROPER(TRIM(B9)))
=CONCAT(PROPER(TRIM(A9))," ",PROPER(TRIM(B9)))</t>
  </si>
  <si>
    <t xml:space="preserve">=UPPER(LEFT(TRIM(A9),1)&amp;TRIM(B9)&amp;"|"&amp;TRIM(C9))   (row 9, then fill down)</t>
  </si>
  <si>
    <t xml:space="preserve">=UPPER(TEXTJOIN("|",TRUE,LEFT(TRIM(A9),1)&amp;TRIM(B9),TRIM(C9)))</t>
  </si>
  <si>
    <t xml:space="preserve">A pipe is safe because no real name or city contains one. A space or a dash is not safe.</t>
  </si>
  <si>
    <t xml:space="preserve">=SUMPRODUCT(--(COUNTIF($E$9:$E$32,$E$9:$E$32)=1))</t>
  </si>
  <si>
    <t xml:space="preserve">If your key is not unique, every lookup built on it is a coin toss.</t>
  </si>
  <si>
    <t xml:space="preserve">=D9&amp;", "&amp;D10&amp;", "&amp;D11
=CONCAT(D9,", ",D10,", ",D11)</t>
  </si>
  <si>
    <t xml:space="preserve">TEXTJOIN with TRUE skips blanks, so a gap in the range does not leave a dangling comma.</t>
  </si>
  <si>
    <t xml:space="preserve">=COUNTIF($C$9:$C$32,"Pune")</t>
  </si>
  <si>
    <t xml:space="preserve">L6 Boss round — validate the im   ★★★★★</t>
  </si>
  <si>
    <t xml:space="preserve">=IFS(LEN(TRIM(A9))=0,"Name missing",ISERROR(FIND("@",B9)),"Bad email",LEN(TRIM(C9))&lt;&gt;10,"Bad phone",LEN(TRIM(D9))&lt;&gt;15,"Bad GSTIN",TRUE,"OK")</t>
  </si>
  <si>
    <t xml:space="preserve">Nested IFs do the same thing, four levels deep
=IFS(LEN(TRIM(A9))=0,"Name missing",COUNTIF(B9,"*@*")=0,"Bad email",…) — COUNTIF with wildcards avoids ISERROR
=SWITCH(TRUE,LEN(TRIM(A9))=0,"Name missing",…,"OK")</t>
  </si>
  <si>
    <t xml:space="preserve">Order is the whole design: a row with no name should not be reported as a bad phone.</t>
  </si>
  <si>
    <t xml:space="preserve">I10</t>
  </si>
  <si>
    <t xml:space="preserve">=COUNTIF($E$9:$E$34,"OK")</t>
  </si>
  <si>
    <t xml:space="preserve">=COUNTIF($E$9:$E$34,"Bad phone")</t>
  </si>
  <si>
    <t xml:space="preserve">=COUNTIF($E$9:$E$34,"&lt;&gt;OK")</t>
  </si>
  <si>
    <t xml:space="preserve">=COUNTA(E9:E34)-COUNTIF(E9:E34,"OK")</t>
  </si>
  <si>
    <t xml:space="preserve">=INDEX($B$9:$B$34,MATCH("Bad email",$E$9:$E$34,0))</t>
  </si>
  <si>
    <t xml:space="preserve">=XLOOKUP("Bad email",E9:E34,B9:B34)
=VLOOKUP("Bad email",E9:B34,…) does NOT work — the email is to the LEFT of the status</t>
  </si>
  <si>
    <t xml:space="preserve">Finding the FIRST failure is how you debug a 5,000-row import without scrolling through it.</t>
  </si>
  <si>
    <t xml:space="preserve">=COUNTIF($E$9:$E$34,"OK")/COUNTA($A$9:$A$34)</t>
  </si>
  <si>
    <t xml:space="preserve">Data quality is a number you can report, not a feeling.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</si>
</sst>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%"/>
    <numFmt numFmtId="167" formatCode="General"/>
    <numFmt numFmtId="168" formatCode="#,##0.00"/>
    <numFmt numFmtId="169" formatCode="dd\-mmm\-yyyy"/>
    <numFmt numFmtId="170" formatCode="mm/dd/yy"/>
    <numFmt numFmtId="171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1"/>
      <color rgb="FFA9336E"/>
      <name val="Arial"/>
      <family val="0"/>
      <charset val="1"/>
    </font>
    <font>
      <b val="true"/>
      <sz val="10"/>
      <color rgb="FFEC48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0B855C"/>
      <name val="Arial"/>
      <family val="0"/>
      <charset val="1"/>
    </font>
    <font>
      <b val="true"/>
      <sz val="9"/>
      <color rgb="FF92400E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10"/>
      <color rgb="FF0E8477"/>
      <name val="Arial"/>
      <family val="0"/>
      <charset val="1"/>
    </font>
    <font>
      <b val="true"/>
      <sz val="10"/>
      <color rgb="FF2A5DB1"/>
      <name val="Arial"/>
      <family val="0"/>
      <charset val="1"/>
    </font>
    <font>
      <b val="true"/>
      <sz val="10"/>
      <color rgb="FF6442B1"/>
      <name val="Arial"/>
      <family val="0"/>
      <charset val="1"/>
    </font>
    <font>
      <b val="true"/>
      <sz val="10"/>
      <color rgb="FFA214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293B"/>
      <name val="Consolas"/>
      <family val="0"/>
      <charset val="1"/>
    </font>
    <font>
      <sz val="10"/>
      <color rgb="FF1E293B"/>
      <name val="Consolas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EC4899"/>
        <bgColor rgb="FFA9336E"/>
      </patternFill>
    </fill>
    <fill>
      <patternFill patternType="solid">
        <fgColor rgb="FFFFF3B0"/>
        <bgColor rgb="FFFEF3C7"/>
      </patternFill>
    </fill>
    <fill>
      <patternFill patternType="solid">
        <fgColor rgb="FFDBEAFE"/>
        <bgColor rgb="FFEBF2FE"/>
      </patternFill>
    </fill>
    <fill>
      <patternFill patternType="solid">
        <fgColor rgb="FFD1FAE5"/>
        <bgColor rgb="FFE7F8F2"/>
      </patternFill>
    </fill>
    <fill>
      <patternFill patternType="solid">
        <fgColor rgb="FFFEE2E2"/>
        <bgColor rgb="FFFCE8EC"/>
      </patternFill>
    </fill>
    <fill>
      <patternFill patternType="solid">
        <fgColor rgb="FFFEF3C7"/>
        <bgColor rgb="FFFFF3B0"/>
      </patternFill>
    </fill>
    <fill>
      <patternFill patternType="solid">
        <fgColor rgb="FFA9336E"/>
        <bgColor rgb="FFA21433"/>
      </patternFill>
    </fill>
    <fill>
      <patternFill patternType="solid">
        <fgColor rgb="FF10B981"/>
        <bgColor rgb="FF14B8A6"/>
      </patternFill>
    </fill>
    <fill>
      <patternFill patternType="solid">
        <fgColor rgb="FFE7F8F2"/>
        <bgColor rgb="FFE7F7F6"/>
      </patternFill>
    </fill>
    <fill>
      <patternFill patternType="solid">
        <fgColor rgb="FF0F172A"/>
        <bgColor rgb="FF1E293B"/>
      </patternFill>
    </fill>
    <fill>
      <patternFill patternType="solid">
        <fgColor rgb="FFF59E0B"/>
        <bgColor rgb="FFD97706"/>
      </patternFill>
    </fill>
    <fill>
      <patternFill patternType="solid">
        <fgColor rgb="FF0B855C"/>
        <bgColor rgb="FF0E8477"/>
      </patternFill>
    </fill>
    <fill>
      <patternFill patternType="solid">
        <fgColor rgb="FFF8FAFC"/>
        <bgColor rgb="FFFFFFFF"/>
      </patternFill>
    </fill>
    <fill>
      <patternFill patternType="solid">
        <fgColor rgb="FF14B8A6"/>
        <bgColor rgb="FF10B981"/>
      </patternFill>
    </fill>
    <fill>
      <patternFill patternType="solid">
        <fgColor rgb="FFE7F7F6"/>
        <bgColor rgb="FFE7F8F2"/>
      </patternFill>
    </fill>
    <fill>
      <patternFill patternType="solid">
        <fgColor rgb="FF0E8477"/>
        <bgColor rgb="FF0B855C"/>
      </patternFill>
    </fill>
    <fill>
      <patternFill patternType="solid">
        <fgColor rgb="FF3B82F6"/>
        <bgColor rgb="FF2A5DB1"/>
      </patternFill>
    </fill>
    <fill>
      <patternFill patternType="solid">
        <fgColor rgb="FFEBF2FE"/>
        <bgColor rgb="FFF1F5F9"/>
      </patternFill>
    </fill>
    <fill>
      <patternFill patternType="solid">
        <fgColor rgb="FF2A5DB1"/>
        <bgColor rgb="FF1D4ED8"/>
      </patternFill>
    </fill>
    <fill>
      <patternFill patternType="solid">
        <fgColor rgb="FF8B5CF6"/>
        <bgColor rgb="FF6442B1"/>
      </patternFill>
    </fill>
    <fill>
      <patternFill patternType="solid">
        <fgColor rgb="FFF3EEFE"/>
        <bgColor rgb="FFEBF2FE"/>
      </patternFill>
    </fill>
    <fill>
      <patternFill patternType="solid">
        <fgColor rgb="FF6442B1"/>
        <bgColor rgb="FF8B5CF6"/>
      </patternFill>
    </fill>
    <fill>
      <patternFill patternType="solid">
        <fgColor rgb="FFE11D48"/>
        <bgColor rgb="FFA21433"/>
      </patternFill>
    </fill>
    <fill>
      <patternFill patternType="solid">
        <fgColor rgb="FFFCE8EC"/>
        <bgColor rgb="FFFEE2E2"/>
      </patternFill>
    </fill>
    <fill>
      <patternFill patternType="solid">
        <fgColor rgb="FFA21433"/>
        <bgColor rgb="FF991B1B"/>
      </patternFill>
    </fill>
    <fill>
      <patternFill patternType="solid">
        <fgColor rgb="FF334155"/>
        <bgColor rgb="FF1E293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6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9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5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3" fillId="1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3" fillId="2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3" fillId="2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65F46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64748B"/>
      </font>
      <fill>
        <patternFill>
          <bgColor rgb="FFF1F5F9"/>
        </patternFill>
      </fill>
    </dxf>
  </dxfs>
  <colors>
    <indexedColors>
      <rgbColor rgb="FF000000"/>
      <rgbColor rgb="FFFFFFFF"/>
      <rgbColor rgb="FFE11D48"/>
      <rgbColor rgb="FF00FF00"/>
      <rgbColor rgb="FF0000FF"/>
      <rgbColor rgb="FFF1F5F9"/>
      <rgbColor rgb="FFFF00FF"/>
      <rgbColor rgb="FF00FFFF"/>
      <rgbColor rgb="FF991B1B"/>
      <rgbColor rgb="FF065F46"/>
      <rgbColor rgb="FF000080"/>
      <rgbColor rgb="FF808000"/>
      <rgbColor rgb="FF800080"/>
      <rgbColor rgb="FF0E8477"/>
      <rgbColor rgb="FFDBEAFE"/>
      <rgbColor rgb="FF808080"/>
      <rgbColor rgb="FF8B5CF6"/>
      <rgbColor rgb="FFA9336E"/>
      <rgbColor rgb="FFFEF3C7"/>
      <rgbColor rgb="FFE7F7F6"/>
      <rgbColor rgb="FF660066"/>
      <rgbColor rgb="FFEC4899"/>
      <rgbColor rgb="FF1D4ED8"/>
      <rgbColor rgb="FFCBD5E1"/>
      <rgbColor rgb="FF000080"/>
      <rgbColor rgb="FFFF00FF"/>
      <rgbColor rgb="FFF8FAFC"/>
      <rgbColor rgb="FF00FFFF"/>
      <rgbColor rgb="FF800080"/>
      <rgbColor rgb="FFA21433"/>
      <rgbColor rgb="FF0B855C"/>
      <rgbColor rgb="FF0000FF"/>
      <rgbColor rgb="FF00CCFF"/>
      <rgbColor rgb="FFE7F8F2"/>
      <rgbColor rgb="FFD1FAE5"/>
      <rgbColor rgb="FFFFF3B0"/>
      <rgbColor rgb="FFEBF2FE"/>
      <rgbColor rgb="FFFCE8EC"/>
      <rgbColor rgb="FFF3EEFE"/>
      <rgbColor rgb="FFFEE2E2"/>
      <rgbColor rgb="FF3B82F6"/>
      <rgbColor rgb="FF14B8A6"/>
      <rgbColor rgb="FF99CC00"/>
      <rgbColor rgb="FFFFCC00"/>
      <rgbColor rgb="FFF59E0B"/>
      <rgbColor rgb="FFD97706"/>
      <rgbColor rgb="FF64748B"/>
      <rgbColor rgb="FF969696"/>
      <rgbColor rgb="FF2A5DB1"/>
      <rgbColor rgb="FF10B981"/>
      <rgbColor rgb="FF0F172A"/>
      <rgbColor rgb="FF333300"/>
      <rgbColor rgb="FF92400E"/>
      <rgbColor rgb="FF6442B1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xcel-lab-06-data-cleaning.xlsx" TargetMode="External"/><Relationship Id="rId2" Type="http://schemas.openxmlformats.org/officeDocument/2006/relationships/hyperlink" Target="excel-lab-06-data-cleaning.xlsx" TargetMode="External"/><Relationship Id="rId3" Type="http://schemas.openxmlformats.org/officeDocument/2006/relationships/hyperlink" Target="excel-lab-06-data-cleaning.xlsx" TargetMode="External"/><Relationship Id="rId4" Type="http://schemas.openxmlformats.org/officeDocument/2006/relationships/hyperlink" Target="excel-lab-06-data-cleaning.xlsx" TargetMode="External"/><Relationship Id="rId5" Type="http://schemas.openxmlformats.org/officeDocument/2006/relationships/hyperlink" Target="excel-lab-06-data-cleaning.xlsx" TargetMode="External"/><Relationship Id="rId6" Type="http://schemas.openxmlformats.org/officeDocument/2006/relationships/hyperlink" Target="excel-lab-06-data-cleaning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899"/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8" min="7" style="0" width="4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n">
        <v>1</v>
      </c>
      <c r="B5" s="5" t="s">
        <v>3</v>
      </c>
      <c r="C5" s="5"/>
      <c r="D5" s="5"/>
      <c r="E5" s="5"/>
      <c r="F5" s="5"/>
    </row>
    <row r="6" customFormat="false" ht="27.75" hidden="false" customHeight="true" outlineLevel="0" collapsed="false">
      <c r="A6" s="4" t="n">
        <v>2</v>
      </c>
      <c r="B6" s="5" t="s">
        <v>4</v>
      </c>
      <c r="C6" s="5"/>
      <c r="D6" s="5"/>
      <c r="E6" s="5"/>
      <c r="F6" s="5"/>
    </row>
    <row r="7" customFormat="false" ht="27.75" hidden="false" customHeight="true" outlineLevel="0" collapsed="false">
      <c r="A7" s="4" t="n">
        <v>3</v>
      </c>
      <c r="B7" s="5" t="s">
        <v>5</v>
      </c>
      <c r="C7" s="5"/>
      <c r="D7" s="5"/>
      <c r="E7" s="5"/>
      <c r="F7" s="5"/>
    </row>
    <row r="8" customFormat="false" ht="27.75" hidden="false" customHeight="true" outlineLevel="0" collapsed="false">
      <c r="A8" s="4" t="n">
        <v>4</v>
      </c>
      <c r="B8" s="5" t="s">
        <v>6</v>
      </c>
      <c r="C8" s="5"/>
      <c r="D8" s="5"/>
      <c r="E8" s="5"/>
      <c r="F8" s="5"/>
    </row>
    <row r="9" customFormat="false" ht="27.75" hidden="false" customHeight="true" outlineLevel="0" collapsed="false">
      <c r="A9" s="4" t="n">
        <v>5</v>
      </c>
      <c r="B9" s="5" t="s">
        <v>7</v>
      </c>
      <c r="C9" s="5"/>
      <c r="D9" s="5"/>
      <c r="E9" s="5"/>
      <c r="F9" s="5"/>
    </row>
    <row r="11" customFormat="false" ht="15" hidden="false" customHeight="false" outlineLevel="0" collapsed="false">
      <c r="A11" s="3" t="s">
        <v>8</v>
      </c>
    </row>
    <row r="12" customFormat="false" ht="19.5" hidden="false" customHeight="true" outlineLevel="0" collapsed="false">
      <c r="A12" s="6"/>
      <c r="B12" s="7" t="s">
        <v>9</v>
      </c>
      <c r="C12" s="7"/>
      <c r="D12" s="7"/>
      <c r="E12" s="7"/>
      <c r="F12" s="7"/>
    </row>
    <row r="13" customFormat="false" ht="19.5" hidden="false" customHeight="true" outlineLevel="0" collapsed="false">
      <c r="A13" s="8"/>
      <c r="B13" s="7" t="s">
        <v>10</v>
      </c>
      <c r="C13" s="7"/>
      <c r="D13" s="7"/>
      <c r="E13" s="7"/>
      <c r="F13" s="7"/>
    </row>
    <row r="14" customFormat="false" ht="19.5" hidden="false" customHeight="true" outlineLevel="0" collapsed="false">
      <c r="A14" s="9"/>
      <c r="B14" s="7" t="s">
        <v>11</v>
      </c>
      <c r="C14" s="7"/>
      <c r="D14" s="7"/>
      <c r="E14" s="7"/>
      <c r="F14" s="7"/>
    </row>
    <row r="15" customFormat="false" ht="19.5" hidden="false" customHeight="true" outlineLevel="0" collapsed="false">
      <c r="A15" s="10"/>
      <c r="B15" s="7" t="s">
        <v>12</v>
      </c>
      <c r="C15" s="7"/>
      <c r="D15" s="7"/>
      <c r="E15" s="7"/>
      <c r="F15" s="7"/>
    </row>
    <row r="16" customFormat="false" ht="19.5" hidden="false" customHeight="true" outlineLevel="0" collapsed="false">
      <c r="A16" s="11"/>
      <c r="B16" s="7" t="s">
        <v>13</v>
      </c>
      <c r="C16" s="7"/>
      <c r="D16" s="7"/>
      <c r="E16" s="7"/>
      <c r="F16" s="7"/>
    </row>
    <row r="18" customFormat="false" ht="21.75" hidden="false" customHeight="true" outlineLevel="0" collapsed="false">
      <c r="A18" s="12" t="s">
        <v>14</v>
      </c>
      <c r="B18" s="12" t="s">
        <v>15</v>
      </c>
      <c r="C18" s="12" t="s">
        <v>16</v>
      </c>
      <c r="D18" s="12" t="s">
        <v>17</v>
      </c>
      <c r="E18" s="12" t="s">
        <v>18</v>
      </c>
      <c r="F18" s="12" t="s">
        <v>19</v>
      </c>
    </row>
    <row r="19" customFormat="false" ht="19.5" hidden="false" customHeight="true" outlineLevel="0" collapsed="false">
      <c r="A19" s="13" t="n">
        <v>1</v>
      </c>
      <c r="B19" s="14" t="s">
        <v>20</v>
      </c>
      <c r="C19" s="15" t="s">
        <v>21</v>
      </c>
      <c r="D19" s="16" t="n">
        <v>5</v>
      </c>
      <c r="E19" s="13" t="n">
        <f aca="false">COUNTIF('L1 Spaces and capitals'!H9:H13,"✓*")</f>
        <v>0</v>
      </c>
      <c r="F19" s="17" t="n">
        <f aca="false">IFERROR(E19/D19,0)</f>
        <v>0</v>
      </c>
    </row>
    <row r="20" customFormat="false" ht="19.5" hidden="false" customHeight="true" outlineLevel="0" collapsed="false">
      <c r="A20" s="13" t="n">
        <v>2</v>
      </c>
      <c r="B20" s="14" t="s">
        <v>22</v>
      </c>
      <c r="C20" s="15" t="s">
        <v>23</v>
      </c>
      <c r="D20" s="16" t="n">
        <v>6</v>
      </c>
      <c r="E20" s="13" t="n">
        <f aca="false">COUNTIF('L2 Cutting text apart'!J9:J14,"✓*")</f>
        <v>0</v>
      </c>
      <c r="F20" s="17" t="n">
        <f aca="false">IFERROR(E20/D20,0)</f>
        <v>0</v>
      </c>
    </row>
    <row r="21" customFormat="false" ht="19.5" hidden="false" customHeight="true" outlineLevel="0" collapsed="false">
      <c r="A21" s="13" t="n">
        <v>3</v>
      </c>
      <c r="B21" s="14" t="s">
        <v>24</v>
      </c>
      <c r="C21" s="15" t="s">
        <v>25</v>
      </c>
      <c r="D21" s="16" t="n">
        <v>6</v>
      </c>
      <c r="E21" s="13" t="n">
        <f aca="false">COUNTIF('L3 Numbers and dates trapped in'!J9:J14,"✓*")</f>
        <v>0</v>
      </c>
      <c r="F21" s="17" t="n">
        <f aca="false">IFERROR(E21/D21,0)</f>
        <v>0</v>
      </c>
    </row>
    <row r="22" customFormat="false" ht="19.5" hidden="false" customHeight="true" outlineLevel="0" collapsed="false">
      <c r="A22" s="13" t="n">
        <v>4</v>
      </c>
      <c r="B22" s="14" t="s">
        <v>26</v>
      </c>
      <c r="C22" s="15" t="s">
        <v>25</v>
      </c>
      <c r="D22" s="16" t="n">
        <v>5</v>
      </c>
      <c r="E22" s="13" t="n">
        <f aca="false">COUNTIF('L4 Duplicates'!J9:J13,"✓*")</f>
        <v>0</v>
      </c>
      <c r="F22" s="17" t="n">
        <f aca="false">IFERROR(E22/D22,0)</f>
        <v>0</v>
      </c>
    </row>
    <row r="23" customFormat="false" ht="19.5" hidden="false" customHeight="true" outlineLevel="0" collapsed="false">
      <c r="A23" s="13" t="n">
        <v>5</v>
      </c>
      <c r="B23" s="14" t="s">
        <v>27</v>
      </c>
      <c r="C23" s="15" t="s">
        <v>28</v>
      </c>
      <c r="D23" s="16" t="n">
        <v>5</v>
      </c>
      <c r="E23" s="13" t="n">
        <f aca="false">COUNTIF('L5 Joining text and building ke'!J9:J13,"✓*")</f>
        <v>0</v>
      </c>
      <c r="F23" s="17" t="n">
        <f aca="false">IFERROR(E23/D23,0)</f>
        <v>0</v>
      </c>
    </row>
    <row r="24" customFormat="false" ht="19.5" hidden="false" customHeight="true" outlineLevel="0" collapsed="false">
      <c r="A24" s="13" t="n">
        <v>6</v>
      </c>
      <c r="B24" s="14" t="s">
        <v>29</v>
      </c>
      <c r="C24" s="15" t="s">
        <v>30</v>
      </c>
      <c r="D24" s="16" t="n">
        <v>6</v>
      </c>
      <c r="E24" s="13" t="n">
        <f aca="false">COUNTIF('L6 Boss round — validate the im'!J9:J14,"✓*")</f>
        <v>0</v>
      </c>
      <c r="F24" s="17" t="n">
        <f aca="false">IFERROR(E24/D24,0)</f>
        <v>0</v>
      </c>
    </row>
    <row r="25" customFormat="false" ht="15" hidden="false" customHeight="false" outlineLevel="0" collapsed="false">
      <c r="B25" s="18" t="s">
        <v>31</v>
      </c>
      <c r="D25" s="13" t="n">
        <f aca="false">SUM(D19:D24)</f>
        <v>33</v>
      </c>
      <c r="E25" s="13" t="n">
        <f aca="false">SUM(E19:E24)</f>
        <v>0</v>
      </c>
      <c r="F25" s="19" t="n">
        <f aca="false">IFERROR(E25/D25,0)</f>
        <v>0</v>
      </c>
    </row>
    <row r="27" customFormat="false" ht="15" hidden="false" customHeight="false" outlineLevel="0" collapsed="false">
      <c r="A27" s="20" t="s">
        <v>32</v>
      </c>
      <c r="B27" s="20"/>
      <c r="C27" s="20"/>
      <c r="D27" s="20"/>
      <c r="E27" s="20"/>
      <c r="F27" s="20"/>
    </row>
  </sheetData>
  <mergeCells count="13">
    <mergeCell ref="A1:F1"/>
    <mergeCell ref="A2:F2"/>
    <mergeCell ref="B5:F5"/>
    <mergeCell ref="B6:F6"/>
    <mergeCell ref="B7:F7"/>
    <mergeCell ref="B8:F8"/>
    <mergeCell ref="B9:F9"/>
    <mergeCell ref="B12:F12"/>
    <mergeCell ref="B13:F13"/>
    <mergeCell ref="B14:F14"/>
    <mergeCell ref="B15:F15"/>
    <mergeCell ref="B16:F16"/>
    <mergeCell ref="A27:F27"/>
  </mergeCells>
  <conditionalFormatting sqref="F19:F25">
    <cfRule type="dataBar" priority="2">
      <dataBar showValue="1" minLength="10" maxLength="90">
        <cfvo type="num" val="0"/>
        <cfvo type="num" val="1"/>
        <color rgb="FFEC4899"/>
      </dataBar>
      <extLst>
        <ext xmlns:x14="http://schemas.microsoft.com/office/spreadsheetml/2009/9/main" uri="{B025F937-C7B1-47D3-B67F-A62EFF666E3E}">
          <x14:id>{37558CE7-9A92-4AF4-B536-50678D883884}</x14:id>
        </ext>
      </extLst>
    </cfRule>
  </conditionalFormatting>
  <hyperlinks>
    <hyperlink ref="B19" r:id="rId1" location="'L1%20Spaces%20and%20capitals'!A1" display="L1 Spaces and capitals"/>
    <hyperlink ref="B20" r:id="rId2" location="'L2%20Cutting%20text%20apart'!A1" display="L2 Cutting text apart"/>
    <hyperlink ref="B21" r:id="rId3" location="'L3%20Numbers%20and%20dates%20trapped%20in'!A1" display="L3 Numbers and dates trapped in"/>
    <hyperlink ref="B22" r:id="rId4" location="'L4%20Duplicates'!A1" display="L4 Duplicates"/>
    <hyperlink ref="B23" r:id="rId5" location="'L5%20Joining%20text%20and%20building%20ke'!A1" display="L5 Joining text and building ke"/>
    <hyperlink ref="B24" r:id="rId6" location="'L6%20Boss%20round%20—%20validate%20the%20im'!A1" display="L6 Boss round — validate the i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58CE7-9A92-4AF4-B536-50678D88388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C4899"/>
              <x14:axisColor rgb="FF000000"/>
            </x14:dataBar>
          </x14:cfRule>
          <xm:sqref>F19:F25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5"/>
    <col collapsed="false" customWidth="true" hidden="false" outlineLevel="0" max="6" min="6" style="0" width="46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38"/>
    <col collapsed="false" customWidth="true" hidden="true" outlineLevel="0" max="13" min="10" style="0" width="13"/>
  </cols>
  <sheetData>
    <row r="1" customFormat="false" ht="31.5" hidden="false" customHeight="true" outlineLevel="0" collapsed="false">
      <c r="A1" s="21" t="s">
        <v>33</v>
      </c>
      <c r="B1" s="21"/>
      <c r="C1" s="21"/>
      <c r="D1" s="21"/>
      <c r="E1" s="21"/>
      <c r="F1" s="21"/>
      <c r="G1" s="21"/>
      <c r="H1" s="21"/>
      <c r="I1" s="21"/>
    </row>
    <row r="2" customFormat="false" ht="19.5" hidden="false" customHeight="true" outlineLevel="0" collapsed="false">
      <c r="A2" s="22" t="s">
        <v>34</v>
      </c>
      <c r="B2" s="22"/>
      <c r="C2" s="22"/>
      <c r="D2" s="22"/>
      <c r="E2" s="22"/>
      <c r="F2" s="22"/>
      <c r="G2" s="22"/>
      <c r="H2" s="22"/>
      <c r="I2" s="22"/>
    </row>
    <row r="3" customFormat="false" ht="18.75" hidden="false" customHeight="true" outlineLevel="0" collapsed="false">
      <c r="A3" s="23" t="s">
        <v>35</v>
      </c>
      <c r="B3" s="23"/>
      <c r="C3" s="23"/>
      <c r="D3" s="23"/>
      <c r="E3" s="23"/>
      <c r="F3" s="23"/>
      <c r="G3" s="23"/>
      <c r="H3" s="23"/>
      <c r="I3" s="23"/>
    </row>
    <row r="4" customFormat="false" ht="18.75" hidden="false" customHeight="true" outlineLevel="0" collapsed="false">
      <c r="A4" s="23"/>
      <c r="B4" s="23"/>
      <c r="C4" s="23"/>
      <c r="D4" s="23"/>
      <c r="E4" s="23"/>
      <c r="F4" s="23"/>
      <c r="G4" s="23"/>
      <c r="H4" s="23"/>
      <c r="I4" s="23"/>
    </row>
    <row r="5" customFormat="false" ht="18.75" hidden="false" customHeight="true" outlineLevel="0" collapsed="false">
      <c r="A5" s="23"/>
      <c r="B5" s="23"/>
      <c r="C5" s="23"/>
      <c r="D5" s="23"/>
      <c r="E5" s="23"/>
      <c r="F5" s="23"/>
      <c r="G5" s="23"/>
      <c r="H5" s="23"/>
      <c r="I5" s="23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36</v>
      </c>
      <c r="B8" s="25" t="s">
        <v>37</v>
      </c>
      <c r="C8" s="25" t="s">
        <v>38</v>
      </c>
      <c r="E8" s="26" t="s">
        <v>14</v>
      </c>
      <c r="F8" s="26" t="s">
        <v>39</v>
      </c>
      <c r="G8" s="26" t="s">
        <v>40</v>
      </c>
      <c r="H8" s="26" t="s">
        <v>41</v>
      </c>
      <c r="I8" s="26" t="s">
        <v>42</v>
      </c>
    </row>
    <row r="9" customFormat="false" ht="33.75" hidden="false" customHeight="true" outlineLevel="0" collapsed="false">
      <c r="A9" s="27" t="s">
        <v>43</v>
      </c>
      <c r="B9" s="28"/>
      <c r="C9" s="29"/>
      <c r="E9" s="30" t="n">
        <v>1</v>
      </c>
      <c r="F9" s="31" t="s">
        <v>44</v>
      </c>
      <c r="G9" s="32" t="s">
        <v>45</v>
      </c>
      <c r="H9" s="33" t="str">
        <f aca="false">IF(COUNTA($B$9:$B$36)=0,"◯ Not attempted",IF(NOT(_xlfn.ISFORMULA(B9)),"✎ Use a formula",IFERROR(IF(SUMPRODUCT(--(UPPER(TRIM($B$9:$B$36&amp;""))=UPPER(TRIM($K$9:$K$36&amp;""))))=ROWS($B$9:$B$36),"✓ Correct","✗ "&amp;(ROWS($B$9:$B$36)-SUMPRODUCT(--(UPPER(TRIM($B$9:$B$36&amp;""))=UPPER(TRIM($K$9:$K$36&amp;"")))))&amp;" rows differ"),"✗ Check the column")))</f>
        <v>◯ Not attempted</v>
      </c>
      <c r="I9" s="34" t="s">
        <v>46</v>
      </c>
      <c r="K9" s="0" t="str">
        <f aca="false">PROPER(TRIM(A9))</f>
        <v>Rahul Kulkarni</v>
      </c>
      <c r="L9" s="0" t="n">
        <f aca="false">LEN(A9)-LEN(TRIM(A9))</f>
        <v>0</v>
      </c>
    </row>
    <row r="10" customFormat="false" ht="33.75" hidden="false" customHeight="true" outlineLevel="0" collapsed="false">
      <c r="A10" s="35" t="s">
        <v>47</v>
      </c>
      <c r="B10" s="28"/>
      <c r="C10" s="29"/>
      <c r="E10" s="30" t="n">
        <v>2</v>
      </c>
      <c r="F10" s="31" t="s">
        <v>48</v>
      </c>
      <c r="G10" s="32" t="s">
        <v>49</v>
      </c>
      <c r="H10" s="33" t="str">
        <f aca="false">IF(COUNTA($C$9:$C$36)=0,"◯ Not attempted",IF(NOT(_xlfn.ISFORMULA(C9)),"✎ Use a formula",IFERROR(IF(SUMPRODUCT(--(ABS($C$9:$C$36-$L$9:$L$36)&lt;0.01))=ROWS($C$9:$C$36),"✓ Correct","✗ "&amp;(ROWS($C$9:$C$36)-SUMPRODUCT(--(ABS($C$9:$C$36-$L$9:$L$36)&lt;0.01)))&amp;" rows differ"),"✗ Check the column")))</f>
        <v>◯ Not attempted</v>
      </c>
      <c r="I10" s="34" t="s">
        <v>50</v>
      </c>
      <c r="K10" s="0" t="str">
        <f aca="false">PROPER(TRIM(A10))</f>
        <v>Priya Gupta</v>
      </c>
      <c r="L10" s="0" t="n">
        <f aca="false">LEN(A10)-LEN(TRIM(A10))</f>
        <v>4</v>
      </c>
    </row>
    <row r="11" customFormat="false" ht="33.75" hidden="false" customHeight="true" outlineLevel="0" collapsed="false">
      <c r="A11" s="27" t="s">
        <v>51</v>
      </c>
      <c r="B11" s="28"/>
      <c r="C11" s="29"/>
      <c r="E11" s="30" t="n">
        <v>3</v>
      </c>
      <c r="F11" s="31" t="s">
        <v>52</v>
      </c>
      <c r="G11" s="36"/>
      <c r="H11" s="33" t="str">
        <f aca="false">IF(ISBLANK(G11),"◯ Not attempted",IF(NOT(_xlfn.ISFORMULA(G11)),"✎ Use a formula",IF(ISNUMBER(G11),IF(ABS(G11-$J$11)&lt;0.005,"✓ Correct","✗ Check again"),"✗ Not a number")))</f>
        <v>◯ Not attempted</v>
      </c>
      <c r="I11" s="34" t="s">
        <v>53</v>
      </c>
      <c r="J11" s="37" t="n">
        <f aca="false">15</f>
        <v>15</v>
      </c>
      <c r="K11" s="0" t="str">
        <f aca="false">PROPER(TRIM(A11))</f>
        <v>Amit Naik</v>
      </c>
      <c r="L11" s="38" t="n">
        <f aca="false">LEN(A11)-LEN(TRIM(A11))</f>
        <v>0</v>
      </c>
    </row>
    <row r="12" customFormat="false" ht="33.75" hidden="false" customHeight="true" outlineLevel="0" collapsed="false">
      <c r="A12" s="35" t="s">
        <v>54</v>
      </c>
      <c r="B12" s="28"/>
      <c r="C12" s="29"/>
      <c r="E12" s="30" t="n">
        <v>4</v>
      </c>
      <c r="F12" s="31" t="s">
        <v>55</v>
      </c>
      <c r="G12" s="36"/>
      <c r="H12" s="33" t="str">
        <f aca="false">IF(ISBLANK(G12),"◯ Not attempted",IF(NOT(_xlfn.ISFORMULA(G12)),"✎ Use a formula",IF(ISNUMBER(G12),IF(ABS(G12-$J$12)&lt;0.005,"✓ Correct","✗ Check again"),"✗ Not a number")))</f>
        <v>◯ Not attempted</v>
      </c>
      <c r="I12" s="34" t="s">
        <v>56</v>
      </c>
      <c r="J12" s="37" t="n">
        <f aca="false">50</f>
        <v>50</v>
      </c>
      <c r="K12" s="0" t="str">
        <f aca="false">PROPER(TRIM(A12))</f>
        <v>Sneha Rao</v>
      </c>
      <c r="L12" s="38" t="n">
        <f aca="false">LEN(A12)-LEN(TRIM(A12))</f>
        <v>0</v>
      </c>
    </row>
    <row r="13" customFormat="false" ht="33.75" hidden="false" customHeight="true" outlineLevel="0" collapsed="false">
      <c r="A13" s="27" t="s">
        <v>57</v>
      </c>
      <c r="B13" s="28"/>
      <c r="C13" s="29"/>
      <c r="E13" s="30" t="n">
        <v>5</v>
      </c>
      <c r="F13" s="31" t="s">
        <v>58</v>
      </c>
      <c r="G13" s="36"/>
      <c r="H13" s="33" t="str">
        <f aca="false">IF(ISBLANK(G13),"◯ Not attempted",IF(NOT(_xlfn.ISFORMULA(G13)),"✎ Use a formula",IF(ISNUMBER(G13),IF(ABS(G13-$J$13)&lt;0.005,"✓ Correct","✗ Check again"),"✗ Not a number")))</f>
        <v>◯ Not attempted</v>
      </c>
      <c r="I13" s="34" t="s">
        <v>59</v>
      </c>
      <c r="J13" s="37" t="n">
        <f aca="false">6</f>
        <v>6</v>
      </c>
      <c r="K13" s="0" t="str">
        <f aca="false">PROPER(TRIM(A13))</f>
        <v>Vikram Reddy</v>
      </c>
      <c r="L13" s="38" t="n">
        <f aca="false">LEN(A13)-LEN(TRIM(A13))</f>
        <v>4</v>
      </c>
    </row>
    <row r="14" customFormat="false" ht="15" hidden="false" customHeight="false" outlineLevel="0" collapsed="false">
      <c r="A14" s="35" t="s">
        <v>60</v>
      </c>
      <c r="B14" s="28"/>
      <c r="C14" s="29"/>
      <c r="K14" s="0" t="str">
        <f aca="false">PROPER(TRIM(A14))</f>
        <v>Neha Verma</v>
      </c>
      <c r="L14" s="38" t="n">
        <f aca="false">LEN(A14)-LEN(TRIM(A14))</f>
        <v>3</v>
      </c>
    </row>
    <row r="15" customFormat="false" ht="15" hidden="false" customHeight="false" outlineLevel="0" collapsed="false">
      <c r="A15" s="27" t="s">
        <v>61</v>
      </c>
      <c r="B15" s="28"/>
      <c r="C15" s="29"/>
      <c r="K15" s="0" t="str">
        <f aca="false">PROPER(TRIM(A15))</f>
        <v>Arjun Joshi</v>
      </c>
      <c r="L15" s="38" t="n">
        <f aca="false">LEN(A15)-LEN(TRIM(A15))</f>
        <v>4</v>
      </c>
    </row>
    <row r="16" customFormat="false" ht="15" hidden="false" customHeight="false" outlineLevel="0" collapsed="false">
      <c r="A16" s="35" t="s">
        <v>62</v>
      </c>
      <c r="B16" s="28"/>
      <c r="C16" s="29"/>
      <c r="K16" s="0" t="str">
        <f aca="false">PROPER(TRIM(A16))</f>
        <v>Kavya Chopra</v>
      </c>
      <c r="L16" s="38" t="n">
        <f aca="false">LEN(A16)-LEN(TRIM(A16))</f>
        <v>0</v>
      </c>
    </row>
    <row r="17" customFormat="false" ht="15" hidden="false" customHeight="false" outlineLevel="0" collapsed="false">
      <c r="A17" s="27" t="s">
        <v>63</v>
      </c>
      <c r="B17" s="28"/>
      <c r="C17" s="29"/>
      <c r="K17" s="0" t="str">
        <f aca="false">PROPER(TRIM(A17))</f>
        <v>Rohit Ghosh</v>
      </c>
      <c r="L17" s="38" t="n">
        <f aca="false">LEN(A17)-LEN(TRIM(A17))</f>
        <v>0</v>
      </c>
    </row>
    <row r="18" customFormat="false" ht="15" hidden="false" customHeight="false" outlineLevel="0" collapsed="false">
      <c r="A18" s="35" t="s">
        <v>64</v>
      </c>
      <c r="B18" s="28"/>
      <c r="C18" s="29"/>
      <c r="K18" s="0" t="str">
        <f aca="false">PROPER(TRIM(A18))</f>
        <v>Ananya Nair</v>
      </c>
      <c r="L18" s="38" t="n">
        <f aca="false">LEN(A18)-LEN(TRIM(A18))</f>
        <v>4</v>
      </c>
    </row>
    <row r="19" customFormat="false" ht="15" hidden="false" customHeight="false" outlineLevel="0" collapsed="false">
      <c r="A19" s="27" t="s">
        <v>65</v>
      </c>
      <c r="B19" s="28"/>
      <c r="C19" s="29"/>
      <c r="K19" s="0" t="str">
        <f aca="false">PROPER(TRIM(A19))</f>
        <v>Siddharth Pillai</v>
      </c>
      <c r="L19" s="38" t="n">
        <f aca="false">LEN(A19)-LEN(TRIM(A19))</f>
        <v>0</v>
      </c>
    </row>
    <row r="20" customFormat="false" ht="15" hidden="false" customHeight="false" outlineLevel="0" collapsed="false">
      <c r="A20" s="35" t="s">
        <v>66</v>
      </c>
      <c r="B20" s="28"/>
      <c r="C20" s="29"/>
      <c r="K20" s="0" t="str">
        <f aca="false">PROPER(TRIM(A20))</f>
        <v>Ishita Sharma</v>
      </c>
      <c r="L20" s="38" t="n">
        <f aca="false">LEN(A20)-LEN(TRIM(A20))</f>
        <v>2</v>
      </c>
    </row>
    <row r="21" customFormat="false" ht="15" hidden="false" customHeight="false" outlineLevel="0" collapsed="false">
      <c r="A21" s="27" t="s">
        <v>67</v>
      </c>
      <c r="B21" s="28"/>
      <c r="C21" s="29"/>
      <c r="K21" s="0" t="str">
        <f aca="false">PROPER(TRIM(A21))</f>
        <v>Manish Desai</v>
      </c>
      <c r="L21" s="38" t="n">
        <f aca="false">LEN(A21)-LEN(TRIM(A21))</f>
        <v>4</v>
      </c>
    </row>
    <row r="22" customFormat="false" ht="15" hidden="false" customHeight="false" outlineLevel="0" collapsed="false">
      <c r="A22" s="35" t="s">
        <v>68</v>
      </c>
      <c r="B22" s="28"/>
      <c r="C22" s="29"/>
      <c r="K22" s="0" t="str">
        <f aca="false">PROPER(TRIM(A22))</f>
        <v>Pooja Shetty</v>
      </c>
      <c r="L22" s="38" t="n">
        <f aca="false">LEN(A22)-LEN(TRIM(A22))</f>
        <v>2</v>
      </c>
    </row>
    <row r="23" customFormat="false" ht="15" hidden="false" customHeight="false" outlineLevel="0" collapsed="false">
      <c r="A23" s="27" t="s">
        <v>69</v>
      </c>
      <c r="B23" s="28"/>
      <c r="C23" s="29"/>
      <c r="K23" s="0" t="str">
        <f aca="false">PROPER(TRIM(A23))</f>
        <v>Karan Iyer</v>
      </c>
      <c r="L23" s="38" t="n">
        <f aca="false">LEN(A23)-LEN(TRIM(A23))</f>
        <v>2</v>
      </c>
    </row>
    <row r="24" customFormat="false" ht="15" hidden="false" customHeight="false" outlineLevel="0" collapsed="false">
      <c r="A24" s="35" t="s">
        <v>70</v>
      </c>
      <c r="B24" s="28"/>
      <c r="C24" s="29"/>
      <c r="K24" s="0" t="str">
        <f aca="false">PROPER(TRIM(A24))</f>
        <v>Divya Mehta</v>
      </c>
      <c r="L24" s="38" t="n">
        <f aca="false">LEN(A24)-LEN(TRIM(A24))</f>
        <v>0</v>
      </c>
    </row>
    <row r="25" customFormat="false" ht="15" hidden="false" customHeight="false" outlineLevel="0" collapsed="false">
      <c r="A25" s="27" t="s">
        <v>71</v>
      </c>
      <c r="B25" s="28"/>
      <c r="C25" s="29"/>
      <c r="K25" s="0" t="str">
        <f aca="false">PROPER(TRIM(A25))</f>
        <v>Nikhil Malhotra</v>
      </c>
      <c r="L25" s="38" t="n">
        <f aca="false">LEN(A25)-LEN(TRIM(A25))</f>
        <v>4</v>
      </c>
    </row>
    <row r="26" customFormat="false" ht="15" hidden="false" customHeight="false" outlineLevel="0" collapsed="false">
      <c r="A26" s="35" t="s">
        <v>72</v>
      </c>
      <c r="B26" s="28"/>
      <c r="C26" s="29"/>
      <c r="K26" s="0" t="str">
        <f aca="false">PROPER(TRIM(A26))</f>
        <v>Meghna Patel</v>
      </c>
      <c r="L26" s="38" t="n">
        <f aca="false">LEN(A26)-LEN(TRIM(A26))</f>
        <v>4</v>
      </c>
    </row>
    <row r="27" customFormat="false" ht="15" hidden="false" customHeight="false" outlineLevel="0" collapsed="false">
      <c r="A27" s="27" t="s">
        <v>73</v>
      </c>
      <c r="B27" s="28"/>
      <c r="C27" s="29"/>
      <c r="K27" s="0" t="str">
        <f aca="false">PROPER(TRIM(A27))</f>
        <v>Aditya Banerjee</v>
      </c>
      <c r="L27" s="38" t="n">
        <f aca="false">LEN(A27)-LEN(TRIM(A27))</f>
        <v>0</v>
      </c>
    </row>
    <row r="28" customFormat="false" ht="15" hidden="false" customHeight="false" outlineLevel="0" collapsed="false">
      <c r="A28" s="35" t="s">
        <v>74</v>
      </c>
      <c r="B28" s="28"/>
      <c r="C28" s="29"/>
      <c r="K28" s="0" t="str">
        <f aca="false">PROPER(TRIM(A28))</f>
        <v>Shreya Bose</v>
      </c>
      <c r="L28" s="38" t="n">
        <f aca="false">LEN(A28)-LEN(TRIM(A28))</f>
        <v>0</v>
      </c>
    </row>
    <row r="29" customFormat="false" ht="15" hidden="false" customHeight="false" outlineLevel="0" collapsed="false">
      <c r="A29" s="27" t="s">
        <v>75</v>
      </c>
      <c r="B29" s="28"/>
      <c r="C29" s="29"/>
      <c r="K29" s="0" t="str">
        <f aca="false">PROPER(TRIM(A29))</f>
        <v>Rahul Kulkarni</v>
      </c>
      <c r="L29" s="38" t="n">
        <f aca="false">LEN(A29)-LEN(TRIM(A29))</f>
        <v>4</v>
      </c>
    </row>
    <row r="30" customFormat="false" ht="15" hidden="false" customHeight="false" outlineLevel="0" collapsed="false">
      <c r="A30" s="35" t="s">
        <v>76</v>
      </c>
      <c r="B30" s="28"/>
      <c r="C30" s="29"/>
      <c r="K30" s="0" t="str">
        <f aca="false">PROPER(TRIM(A30))</f>
        <v>Priya Gupta</v>
      </c>
      <c r="L30" s="38" t="n">
        <f aca="false">LEN(A30)-LEN(TRIM(A30))</f>
        <v>3</v>
      </c>
    </row>
    <row r="31" customFormat="false" ht="15" hidden="false" customHeight="false" outlineLevel="0" collapsed="false">
      <c r="A31" s="27" t="s">
        <v>51</v>
      </c>
      <c r="B31" s="28"/>
      <c r="C31" s="29"/>
      <c r="K31" s="0" t="str">
        <f aca="false">PROPER(TRIM(A31))</f>
        <v>Amit Naik</v>
      </c>
      <c r="L31" s="38" t="n">
        <f aca="false">LEN(A31)-LEN(TRIM(A31))</f>
        <v>0</v>
      </c>
    </row>
    <row r="32" customFormat="false" ht="15" hidden="false" customHeight="false" outlineLevel="0" collapsed="false">
      <c r="A32" s="35" t="s">
        <v>77</v>
      </c>
      <c r="B32" s="28"/>
      <c r="C32" s="29"/>
      <c r="K32" s="0" t="str">
        <f aca="false">PROPER(TRIM(A32))</f>
        <v>Sneha Rao</v>
      </c>
      <c r="L32" s="38" t="n">
        <f aca="false">LEN(A32)-LEN(TRIM(A32))</f>
        <v>2</v>
      </c>
    </row>
    <row r="33" customFormat="false" ht="15" hidden="false" customHeight="false" outlineLevel="0" collapsed="false">
      <c r="A33" s="27" t="s">
        <v>78</v>
      </c>
      <c r="B33" s="28"/>
      <c r="C33" s="29"/>
      <c r="K33" s="0" t="str">
        <f aca="false">PROPER(TRIM(A33))</f>
        <v>Vikram Reddy</v>
      </c>
      <c r="L33" s="38" t="n">
        <f aca="false">LEN(A33)-LEN(TRIM(A33))</f>
        <v>0</v>
      </c>
    </row>
    <row r="34" customFormat="false" ht="15" hidden="false" customHeight="false" outlineLevel="0" collapsed="false">
      <c r="A34" s="35" t="s">
        <v>79</v>
      </c>
      <c r="B34" s="28"/>
      <c r="C34" s="29"/>
      <c r="K34" s="0" t="str">
        <f aca="false">PROPER(TRIM(A34))</f>
        <v>Neha Verma</v>
      </c>
      <c r="L34" s="38" t="n">
        <f aca="false">LEN(A34)-LEN(TRIM(A34))</f>
        <v>4</v>
      </c>
    </row>
    <row r="35" customFormat="false" ht="15" hidden="false" customHeight="false" outlineLevel="0" collapsed="false">
      <c r="A35" s="27" t="s">
        <v>80</v>
      </c>
      <c r="B35" s="28"/>
      <c r="C35" s="29"/>
      <c r="K35" s="0" t="str">
        <f aca="false">PROPER(TRIM(A35))</f>
        <v>Arjun Joshi</v>
      </c>
      <c r="L35" s="38" t="n">
        <f aca="false">LEN(A35)-LEN(TRIM(A35))</f>
        <v>0</v>
      </c>
    </row>
    <row r="36" customFormat="false" ht="15" hidden="false" customHeight="false" outlineLevel="0" collapsed="false">
      <c r="A36" s="35" t="s">
        <v>81</v>
      </c>
      <c r="B36" s="28"/>
      <c r="C36" s="29"/>
      <c r="K36" s="0" t="str">
        <f aca="false">PROPER(TRIM(A36))</f>
        <v>Kavya Chopra</v>
      </c>
      <c r="L36" s="38" t="n">
        <f aca="false">LEN(A36)-LEN(TRIM(A36))</f>
        <v>0</v>
      </c>
    </row>
  </sheetData>
  <mergeCells count="3">
    <mergeCell ref="A1:I1"/>
    <mergeCell ref="A2:I2"/>
    <mergeCell ref="A3:I5"/>
  </mergeCells>
  <conditionalFormatting sqref="H9:H13">
    <cfRule type="expression" priority="2" aboveAverage="0" equalAverage="0" bottom="0" percent="0" rank="0" text="" dxfId="0">
      <formula>LEFT(H9,1)="✓"</formula>
    </cfRule>
    <cfRule type="expression" priority="3" aboveAverage="0" equalAverage="0" bottom="0" percent="0" rank="0" text="" dxfId="1">
      <formula>LEFT(H9,1)="✗"</formula>
    </cfRule>
    <cfRule type="expression" priority="4" aboveAverage="0" equalAverage="0" bottom="0" percent="0" rank="0" text="" dxfId="2">
      <formula>LEFT(H9,1)="✎"</formula>
    </cfRule>
    <cfRule type="expression" priority="5" aboveAverage="0" equalAverage="0" bottom="0" percent="0" rank="0" text="" dxfId="3">
      <formula>LEFT(H9,1)="◯"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38"/>
    <col collapsed="false" customWidth="true" hidden="true" outlineLevel="0" max="16" min="12" style="0" width="13"/>
  </cols>
  <sheetData>
    <row r="1" customFormat="false" ht="31.5" hidden="false" customHeight="true" outlineLevel="0" collapsed="false">
      <c r="A1" s="39" t="s">
        <v>82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9.5" hidden="false" customHeight="true" outlineLevel="0" collapsed="false">
      <c r="A2" s="40" t="s">
        <v>83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18.75" hidden="false" customHeight="true" outlineLevel="0" collapsed="false">
      <c r="A3" s="41" t="s">
        <v>84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customFormat="false" ht="18.75" hidden="false" customHeight="true" outlineLevel="0" collapsed="false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</row>
    <row r="5" customFormat="false" ht="18.75" hidden="false" customHeight="true" outlineLevel="0" collapsed="false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85</v>
      </c>
      <c r="B8" s="24" t="s">
        <v>86</v>
      </c>
      <c r="C8" s="25" t="s">
        <v>87</v>
      </c>
      <c r="D8" s="25" t="s">
        <v>88</v>
      </c>
      <c r="E8" s="25" t="s">
        <v>89</v>
      </c>
      <c r="G8" s="42" t="s">
        <v>14</v>
      </c>
      <c r="H8" s="42" t="s">
        <v>39</v>
      </c>
      <c r="I8" s="42" t="s">
        <v>40</v>
      </c>
      <c r="J8" s="42" t="s">
        <v>41</v>
      </c>
      <c r="K8" s="42" t="s">
        <v>42</v>
      </c>
    </row>
    <row r="9" customFormat="false" ht="33.75" hidden="false" customHeight="true" outlineLevel="0" collapsed="false">
      <c r="A9" s="27" t="s">
        <v>90</v>
      </c>
      <c r="B9" s="27" t="s">
        <v>91</v>
      </c>
      <c r="C9" s="28"/>
      <c r="D9" s="29"/>
      <c r="E9" s="28"/>
      <c r="G9" s="43" t="n">
        <v>1</v>
      </c>
      <c r="H9" s="31" t="s">
        <v>92</v>
      </c>
      <c r="I9" s="32" t="s">
        <v>49</v>
      </c>
      <c r="J9" s="33" t="str">
        <f aca="false">IF(COUNTA($C$9:$C$34)=0,"◯ Not attempted",IF(NOT(_xlfn.ISFORMULA(C9)),"✎ Use a formula",IFERROR(IF(SUMPRODUCT(--(UPPER(TRIM($C$9:$C$34&amp;""))=UPPER(TRIM($M$9:$M$34&amp;""))))=ROWS($C$9:$C$34),"✓ Correct","✗ "&amp;(ROWS($C$9:$C$34)-SUMPRODUCT(--(UPPER(TRIM($C$9:$C$34&amp;""))=UPPER(TRIM($M$9:$M$34&amp;"")))))&amp;" rows differ"),"✗ Check the column")))</f>
        <v>◯ Not attempted</v>
      </c>
      <c r="K9" s="34" t="s">
        <v>93</v>
      </c>
      <c r="M9" s="0" t="str">
        <f aca="false">LEFT(A9,2)</f>
        <v>MH</v>
      </c>
      <c r="N9" s="0" t="n">
        <f aca="false">VALUE(MID(A9,FIND("-",A9)+1,5))</f>
        <v>40000</v>
      </c>
      <c r="O9" s="0" t="str">
        <f aca="false">LOWER(MID(B9,FIND("@",B9)+1,99))</f>
        <v>gmail.com</v>
      </c>
    </row>
    <row r="10" customFormat="false" ht="33.75" hidden="false" customHeight="true" outlineLevel="0" collapsed="false">
      <c r="A10" s="35" t="s">
        <v>94</v>
      </c>
      <c r="B10" s="35" t="s">
        <v>95</v>
      </c>
      <c r="C10" s="28"/>
      <c r="D10" s="29"/>
      <c r="E10" s="28"/>
      <c r="G10" s="43" t="n">
        <v>2</v>
      </c>
      <c r="H10" s="31" t="s">
        <v>96</v>
      </c>
      <c r="I10" s="32" t="s">
        <v>97</v>
      </c>
      <c r="J10" s="33" t="str">
        <f aca="false">IF(COUNTA($D$9:$D$34)=0,"◯ Not attempted",IF(NOT(_xlfn.ISFORMULA(D9)),"✎ Use a formula",IFERROR(IF(SUMPRODUCT(--(ABS($D$9:$D$34-$N$9:$N$34)&lt;0.01))=ROWS($D$9:$D$34),"✓ Correct","✗ "&amp;(ROWS($D$9:$D$34)-SUMPRODUCT(--(ABS($D$9:$D$34-$N$9:$N$34)&lt;0.01)))&amp;" rows differ"),"✗ Check the column")))</f>
        <v>◯ Not attempted</v>
      </c>
      <c r="K10" s="34" t="s">
        <v>98</v>
      </c>
      <c r="M10" s="0" t="str">
        <f aca="false">LEFT(A10,2)</f>
        <v>GJ</v>
      </c>
      <c r="N10" s="0" t="n">
        <f aca="false">VALUE(MID(A10,FIND("-",A10)+1,5))</f>
        <v>40137</v>
      </c>
      <c r="O10" s="0" t="str">
        <f aca="false">LOWER(MID(B10,FIND("@",B10)+1,99))</f>
        <v>outlook.com</v>
      </c>
    </row>
    <row r="11" customFormat="false" ht="33.75" hidden="false" customHeight="true" outlineLevel="0" collapsed="false">
      <c r="A11" s="27" t="s">
        <v>99</v>
      </c>
      <c r="B11" s="27" t="s">
        <v>100</v>
      </c>
      <c r="C11" s="28"/>
      <c r="D11" s="29"/>
      <c r="E11" s="28"/>
      <c r="G11" s="43" t="n">
        <v>3</v>
      </c>
      <c r="H11" s="31" t="s">
        <v>101</v>
      </c>
      <c r="I11" s="32" t="s">
        <v>102</v>
      </c>
      <c r="J11" s="33" t="str">
        <f aca="false">IF(COUNTA($E$9:$E$34)=0,"◯ Not attempted",IF(NOT(_xlfn.ISFORMULA(E9)),"✎ Use a formula",IFERROR(IF(SUMPRODUCT(--(UPPER(TRIM($E$9:$E$34&amp;""))=UPPER(TRIM($O$9:$O$34&amp;""))))=ROWS($E$9:$E$34),"✓ Correct","✗ "&amp;(ROWS($E$9:$E$34)-SUMPRODUCT(--(UPPER(TRIM($E$9:$E$34&amp;""))=UPPER(TRIM($O$9:$O$34&amp;"")))))&amp;" rows differ"),"✗ Check the column")))</f>
        <v>◯ Not attempted</v>
      </c>
      <c r="K11" s="34" t="s">
        <v>103</v>
      </c>
      <c r="M11" s="0" t="str">
        <f aca="false">LEFT(A11,2)</f>
        <v>KA</v>
      </c>
      <c r="N11" s="0" t="n">
        <f aca="false">VALUE(MID(A11,FIND("-",A11)+1,5))</f>
        <v>40274</v>
      </c>
      <c r="O11" s="0" t="str">
        <f aca="false">LOWER(MID(B11,FIND("@",B11)+1,99))</f>
        <v>gmail.com</v>
      </c>
    </row>
    <row r="12" customFormat="false" ht="33.75" hidden="false" customHeight="true" outlineLevel="0" collapsed="false">
      <c r="A12" s="35" t="s">
        <v>104</v>
      </c>
      <c r="B12" s="35" t="s">
        <v>105</v>
      </c>
      <c r="C12" s="28"/>
      <c r="D12" s="29"/>
      <c r="E12" s="28"/>
      <c r="G12" s="43" t="n">
        <v>4</v>
      </c>
      <c r="H12" s="31" t="s">
        <v>106</v>
      </c>
      <c r="I12" s="36"/>
      <c r="J12" s="33" t="str">
        <f aca="false">IF(ISBLANK(I12),"◯ Not attempted",IF(NOT(_xlfn.ISFORMULA(I12)),"✎ Use a formula",IF(ISNUMBER(I12),IF(ABS(I12-$L$12)&lt;0.005,"✓ Correct","✗ Check again"),"✗ Not a number")))</f>
        <v>◯ Not attempted</v>
      </c>
      <c r="K12" s="34" t="s">
        <v>107</v>
      </c>
      <c r="L12" s="37" t="n">
        <f aca="false">COUNTIF($B$9:$B$34,"*@gmail.com")</f>
        <v>13</v>
      </c>
      <c r="M12" s="0" t="str">
        <f aca="false">LEFT(A12,2)</f>
        <v>TN</v>
      </c>
      <c r="N12" s="38" t="n">
        <f aca="false">VALUE(MID(A12,FIND("-",A12)+1,5))</f>
        <v>40411</v>
      </c>
      <c r="O12" s="0" t="str">
        <f aca="false">LOWER(MID(B12,FIND("@",B12)+1,99))</f>
        <v>company.co.in</v>
      </c>
    </row>
    <row r="13" customFormat="false" ht="33.75" hidden="false" customHeight="true" outlineLevel="0" collapsed="false">
      <c r="A13" s="27" t="s">
        <v>108</v>
      </c>
      <c r="B13" s="27" t="s">
        <v>109</v>
      </c>
      <c r="C13" s="28"/>
      <c r="D13" s="29"/>
      <c r="E13" s="28"/>
      <c r="G13" s="43" t="n">
        <v>5</v>
      </c>
      <c r="H13" s="31" t="s">
        <v>110</v>
      </c>
      <c r="I13" s="36"/>
      <c r="J13" s="33" t="str">
        <f aca="false">IF(ISBLANK(I13),"◯ Not attempted",IF(NOT(_xlfn.ISFORMULA(I13)),"✎ Use a formula",IF(ISNUMBER(I13),IF(ABS(I13-$L$13)&lt;0.005,"✓ Correct","✗ Check again"),"✗ Not a number")))</f>
        <v>◯ Not attempted</v>
      </c>
      <c r="K13" s="34" t="s">
        <v>111</v>
      </c>
      <c r="L13" s="37" t="n">
        <f aca="false">43425</f>
        <v>43425</v>
      </c>
      <c r="M13" s="0" t="str">
        <f aca="false">LEFT(A13,2)</f>
        <v>DL</v>
      </c>
      <c r="N13" s="38" t="n">
        <f aca="false">VALUE(MID(A13,FIND("-",A13)+1,5))</f>
        <v>40548</v>
      </c>
      <c r="O13" s="0" t="str">
        <f aca="false">LOWER(MID(B13,FIND("@",B13)+1,99))</f>
        <v>gmail.com</v>
      </c>
    </row>
    <row r="14" customFormat="false" ht="33.75" hidden="false" customHeight="true" outlineLevel="0" collapsed="false">
      <c r="A14" s="35" t="s">
        <v>112</v>
      </c>
      <c r="B14" s="35" t="s">
        <v>113</v>
      </c>
      <c r="C14" s="28"/>
      <c r="D14" s="29"/>
      <c r="E14" s="28"/>
      <c r="G14" s="43" t="n">
        <v>6</v>
      </c>
      <c r="H14" s="31" t="s">
        <v>114</v>
      </c>
      <c r="I14" s="36"/>
      <c r="J14" s="33" t="str">
        <f aca="false">IF(ISBLANK(I14),"◯ Not attempted",IF(NOT(_xlfn.ISFORMULA(I14)),"✎ Use a formula",IF(ISNUMBER(I14),IF(ABS(I14-$L$14)&lt;0.005,"✓ Correct","✗ Check again"),"✗ Not a number")))</f>
        <v>◯ Not attempted</v>
      </c>
      <c r="K14" s="34" t="s">
        <v>115</v>
      </c>
      <c r="L14" s="37" t="n">
        <f aca="false">SUMPRODUCT(--(LEFT($A$9:$A$34,2)="MH"))</f>
        <v>6</v>
      </c>
      <c r="M14" s="0" t="str">
        <f aca="false">LEFT(A14,2)</f>
        <v>MH</v>
      </c>
      <c r="N14" s="38" t="n">
        <f aca="false">VALUE(MID(A14,FIND("-",A14)+1,5))</f>
        <v>40685</v>
      </c>
      <c r="O14" s="0" t="str">
        <f aca="false">LOWER(MID(B14,FIND("@",B14)+1,99))</f>
        <v>yahoo.in</v>
      </c>
    </row>
    <row r="15" customFormat="false" ht="15" hidden="false" customHeight="false" outlineLevel="0" collapsed="false">
      <c r="A15" s="27" t="s">
        <v>116</v>
      </c>
      <c r="B15" s="27" t="s">
        <v>117</v>
      </c>
      <c r="C15" s="28"/>
      <c r="D15" s="29"/>
      <c r="E15" s="28"/>
      <c r="M15" s="0" t="str">
        <f aca="false">LEFT(A15,2)</f>
        <v>GJ</v>
      </c>
      <c r="N15" s="38" t="n">
        <f aca="false">VALUE(MID(A15,FIND("-",A15)+1,5))</f>
        <v>40822</v>
      </c>
      <c r="O15" s="0" t="str">
        <f aca="false">LOWER(MID(B15,FIND("@",B15)+1,99))</f>
        <v>gmail.com</v>
      </c>
    </row>
    <row r="16" customFormat="false" ht="15" hidden="false" customHeight="false" outlineLevel="0" collapsed="false">
      <c r="A16" s="35" t="s">
        <v>118</v>
      </c>
      <c r="B16" s="35" t="s">
        <v>119</v>
      </c>
      <c r="C16" s="28"/>
      <c r="D16" s="29"/>
      <c r="E16" s="28"/>
      <c r="M16" s="0" t="str">
        <f aca="false">LEFT(A16,2)</f>
        <v>KA</v>
      </c>
      <c r="N16" s="38" t="n">
        <f aca="false">VALUE(MID(A16,FIND("-",A16)+1,5))</f>
        <v>40959</v>
      </c>
      <c r="O16" s="0" t="str">
        <f aca="false">LOWER(MID(B16,FIND("@",B16)+1,99))</f>
        <v>outlook.com</v>
      </c>
    </row>
    <row r="17" customFormat="false" ht="15" hidden="false" customHeight="false" outlineLevel="0" collapsed="false">
      <c r="A17" s="27" t="s">
        <v>120</v>
      </c>
      <c r="B17" s="27" t="s">
        <v>121</v>
      </c>
      <c r="C17" s="28"/>
      <c r="D17" s="29"/>
      <c r="E17" s="28"/>
      <c r="M17" s="0" t="str">
        <f aca="false">LEFT(A17,2)</f>
        <v>TN</v>
      </c>
      <c r="N17" s="38" t="n">
        <f aca="false">VALUE(MID(A17,FIND("-",A17)+1,5))</f>
        <v>41096</v>
      </c>
      <c r="O17" s="0" t="str">
        <f aca="false">LOWER(MID(B17,FIND("@",B17)+1,99))</f>
        <v>gmail.com</v>
      </c>
    </row>
    <row r="18" customFormat="false" ht="15" hidden="false" customHeight="false" outlineLevel="0" collapsed="false">
      <c r="A18" s="35" t="s">
        <v>122</v>
      </c>
      <c r="B18" s="35" t="s">
        <v>123</v>
      </c>
      <c r="C18" s="28"/>
      <c r="D18" s="29"/>
      <c r="E18" s="28"/>
      <c r="M18" s="0" t="str">
        <f aca="false">LEFT(A18,2)</f>
        <v>DL</v>
      </c>
      <c r="N18" s="38" t="n">
        <f aca="false">VALUE(MID(A18,FIND("-",A18)+1,5))</f>
        <v>41233</v>
      </c>
      <c r="O18" s="0" t="str">
        <f aca="false">LOWER(MID(B18,FIND("@",B18)+1,99))</f>
        <v>company.co.in</v>
      </c>
    </row>
    <row r="19" customFormat="false" ht="15" hidden="false" customHeight="false" outlineLevel="0" collapsed="false">
      <c r="A19" s="27" t="s">
        <v>124</v>
      </c>
      <c r="B19" s="27" t="s">
        <v>125</v>
      </c>
      <c r="C19" s="28"/>
      <c r="D19" s="29"/>
      <c r="E19" s="28"/>
      <c r="M19" s="0" t="str">
        <f aca="false">LEFT(A19,2)</f>
        <v>MH</v>
      </c>
      <c r="N19" s="38" t="n">
        <f aca="false">VALUE(MID(A19,FIND("-",A19)+1,5))</f>
        <v>41370</v>
      </c>
      <c r="O19" s="0" t="str">
        <f aca="false">LOWER(MID(B19,FIND("@",B19)+1,99))</f>
        <v>gmail.com</v>
      </c>
    </row>
    <row r="20" customFormat="false" ht="15" hidden="false" customHeight="false" outlineLevel="0" collapsed="false">
      <c r="A20" s="35" t="s">
        <v>126</v>
      </c>
      <c r="B20" s="35" t="s">
        <v>127</v>
      </c>
      <c r="C20" s="28"/>
      <c r="D20" s="29"/>
      <c r="E20" s="28"/>
      <c r="M20" s="0" t="str">
        <f aca="false">LEFT(A20,2)</f>
        <v>GJ</v>
      </c>
      <c r="N20" s="38" t="n">
        <f aca="false">VALUE(MID(A20,FIND("-",A20)+1,5))</f>
        <v>41507</v>
      </c>
      <c r="O20" s="0" t="str">
        <f aca="false">LOWER(MID(B20,FIND("@",B20)+1,99))</f>
        <v>yahoo.in</v>
      </c>
    </row>
    <row r="21" customFormat="false" ht="15" hidden="false" customHeight="false" outlineLevel="0" collapsed="false">
      <c r="A21" s="27" t="s">
        <v>128</v>
      </c>
      <c r="B21" s="27" t="s">
        <v>129</v>
      </c>
      <c r="C21" s="28"/>
      <c r="D21" s="29"/>
      <c r="E21" s="28"/>
      <c r="M21" s="0" t="str">
        <f aca="false">LEFT(A21,2)</f>
        <v>KA</v>
      </c>
      <c r="N21" s="38" t="n">
        <f aca="false">VALUE(MID(A21,FIND("-",A21)+1,5))</f>
        <v>41644</v>
      </c>
      <c r="O21" s="0" t="str">
        <f aca="false">LOWER(MID(B21,FIND("@",B21)+1,99))</f>
        <v>gmail.com</v>
      </c>
    </row>
    <row r="22" customFormat="false" ht="15" hidden="false" customHeight="false" outlineLevel="0" collapsed="false">
      <c r="A22" s="35" t="s">
        <v>130</v>
      </c>
      <c r="B22" s="35" t="s">
        <v>131</v>
      </c>
      <c r="C22" s="28"/>
      <c r="D22" s="29"/>
      <c r="E22" s="28"/>
      <c r="M22" s="0" t="str">
        <f aca="false">LEFT(A22,2)</f>
        <v>TN</v>
      </c>
      <c r="N22" s="38" t="n">
        <f aca="false">VALUE(MID(A22,FIND("-",A22)+1,5))</f>
        <v>41781</v>
      </c>
      <c r="O22" s="0" t="str">
        <f aca="false">LOWER(MID(B22,FIND("@",B22)+1,99))</f>
        <v>outlook.com</v>
      </c>
    </row>
    <row r="23" customFormat="false" ht="15" hidden="false" customHeight="false" outlineLevel="0" collapsed="false">
      <c r="A23" s="27" t="s">
        <v>132</v>
      </c>
      <c r="B23" s="27" t="s">
        <v>133</v>
      </c>
      <c r="C23" s="28"/>
      <c r="D23" s="29"/>
      <c r="E23" s="28"/>
      <c r="M23" s="0" t="str">
        <f aca="false">LEFT(A23,2)</f>
        <v>DL</v>
      </c>
      <c r="N23" s="38" t="n">
        <f aca="false">VALUE(MID(A23,FIND("-",A23)+1,5))</f>
        <v>41918</v>
      </c>
      <c r="O23" s="0" t="str">
        <f aca="false">LOWER(MID(B23,FIND("@",B23)+1,99))</f>
        <v>gmail.com</v>
      </c>
    </row>
    <row r="24" customFormat="false" ht="15" hidden="false" customHeight="false" outlineLevel="0" collapsed="false">
      <c r="A24" s="35" t="s">
        <v>134</v>
      </c>
      <c r="B24" s="35" t="s">
        <v>135</v>
      </c>
      <c r="C24" s="28"/>
      <c r="D24" s="29"/>
      <c r="E24" s="28"/>
      <c r="M24" s="0" t="str">
        <f aca="false">LEFT(A24,2)</f>
        <v>MH</v>
      </c>
      <c r="N24" s="38" t="n">
        <f aca="false">VALUE(MID(A24,FIND("-",A24)+1,5))</f>
        <v>42055</v>
      </c>
      <c r="O24" s="0" t="str">
        <f aca="false">LOWER(MID(B24,FIND("@",B24)+1,99))</f>
        <v>company.co.in</v>
      </c>
    </row>
    <row r="25" customFormat="false" ht="15" hidden="false" customHeight="false" outlineLevel="0" collapsed="false">
      <c r="A25" s="27" t="s">
        <v>136</v>
      </c>
      <c r="B25" s="27" t="s">
        <v>137</v>
      </c>
      <c r="C25" s="28"/>
      <c r="D25" s="29"/>
      <c r="E25" s="28"/>
      <c r="M25" s="0" t="str">
        <f aca="false">LEFT(A25,2)</f>
        <v>GJ</v>
      </c>
      <c r="N25" s="38" t="n">
        <f aca="false">VALUE(MID(A25,FIND("-",A25)+1,5))</f>
        <v>42192</v>
      </c>
      <c r="O25" s="0" t="str">
        <f aca="false">LOWER(MID(B25,FIND("@",B25)+1,99))</f>
        <v>gmail.com</v>
      </c>
    </row>
    <row r="26" customFormat="false" ht="15" hidden="false" customHeight="false" outlineLevel="0" collapsed="false">
      <c r="A26" s="35" t="s">
        <v>138</v>
      </c>
      <c r="B26" s="35" t="s">
        <v>139</v>
      </c>
      <c r="C26" s="28"/>
      <c r="D26" s="29"/>
      <c r="E26" s="28"/>
      <c r="M26" s="0" t="str">
        <f aca="false">LEFT(A26,2)</f>
        <v>KA</v>
      </c>
      <c r="N26" s="38" t="n">
        <f aca="false">VALUE(MID(A26,FIND("-",A26)+1,5))</f>
        <v>42329</v>
      </c>
      <c r="O26" s="0" t="str">
        <f aca="false">LOWER(MID(B26,FIND("@",B26)+1,99))</f>
        <v>yahoo.in</v>
      </c>
    </row>
    <row r="27" customFormat="false" ht="15" hidden="false" customHeight="false" outlineLevel="0" collapsed="false">
      <c r="A27" s="27" t="s">
        <v>140</v>
      </c>
      <c r="B27" s="27" t="s">
        <v>141</v>
      </c>
      <c r="C27" s="28"/>
      <c r="D27" s="29"/>
      <c r="E27" s="28"/>
      <c r="M27" s="0" t="str">
        <f aca="false">LEFT(A27,2)</f>
        <v>TN</v>
      </c>
      <c r="N27" s="38" t="n">
        <f aca="false">VALUE(MID(A27,FIND("-",A27)+1,5))</f>
        <v>42466</v>
      </c>
      <c r="O27" s="0" t="str">
        <f aca="false">LOWER(MID(B27,FIND("@",B27)+1,99))</f>
        <v>gmail.com</v>
      </c>
    </row>
    <row r="28" customFormat="false" ht="15" hidden="false" customHeight="false" outlineLevel="0" collapsed="false">
      <c r="A28" s="35" t="s">
        <v>142</v>
      </c>
      <c r="B28" s="35" t="s">
        <v>143</v>
      </c>
      <c r="C28" s="28"/>
      <c r="D28" s="29"/>
      <c r="E28" s="28"/>
      <c r="M28" s="0" t="str">
        <f aca="false">LEFT(A28,2)</f>
        <v>DL</v>
      </c>
      <c r="N28" s="38" t="n">
        <f aca="false">VALUE(MID(A28,FIND("-",A28)+1,5))</f>
        <v>42603</v>
      </c>
      <c r="O28" s="0" t="str">
        <f aca="false">LOWER(MID(B28,FIND("@",B28)+1,99))</f>
        <v>outlook.com</v>
      </c>
    </row>
    <row r="29" customFormat="false" ht="15" hidden="false" customHeight="false" outlineLevel="0" collapsed="false">
      <c r="A29" s="27" t="s">
        <v>144</v>
      </c>
      <c r="B29" s="27" t="s">
        <v>91</v>
      </c>
      <c r="C29" s="28"/>
      <c r="D29" s="29"/>
      <c r="E29" s="28"/>
      <c r="M29" s="0" t="str">
        <f aca="false">LEFT(A29,2)</f>
        <v>MH</v>
      </c>
      <c r="N29" s="38" t="n">
        <f aca="false">VALUE(MID(A29,FIND("-",A29)+1,5))</f>
        <v>42740</v>
      </c>
      <c r="O29" s="0" t="str">
        <f aca="false">LOWER(MID(B29,FIND("@",B29)+1,99))</f>
        <v>gmail.com</v>
      </c>
    </row>
    <row r="30" customFormat="false" ht="15" hidden="false" customHeight="false" outlineLevel="0" collapsed="false">
      <c r="A30" s="35" t="s">
        <v>145</v>
      </c>
      <c r="B30" s="35" t="s">
        <v>146</v>
      </c>
      <c r="C30" s="28"/>
      <c r="D30" s="29"/>
      <c r="E30" s="28"/>
      <c r="M30" s="0" t="str">
        <f aca="false">LEFT(A30,2)</f>
        <v>GJ</v>
      </c>
      <c r="N30" s="38" t="n">
        <f aca="false">VALUE(MID(A30,FIND("-",A30)+1,5))</f>
        <v>42877</v>
      </c>
      <c r="O30" s="0" t="str">
        <f aca="false">LOWER(MID(B30,FIND("@",B30)+1,99))</f>
        <v>company.co.in</v>
      </c>
    </row>
    <row r="31" customFormat="false" ht="15" hidden="false" customHeight="false" outlineLevel="0" collapsed="false">
      <c r="A31" s="27" t="s">
        <v>147</v>
      </c>
      <c r="B31" s="27" t="s">
        <v>100</v>
      </c>
      <c r="C31" s="28"/>
      <c r="D31" s="29"/>
      <c r="E31" s="28"/>
      <c r="M31" s="0" t="str">
        <f aca="false">LEFT(A31,2)</f>
        <v>KA</v>
      </c>
      <c r="N31" s="38" t="n">
        <f aca="false">VALUE(MID(A31,FIND("-",A31)+1,5))</f>
        <v>43014</v>
      </c>
      <c r="O31" s="0" t="str">
        <f aca="false">LOWER(MID(B31,FIND("@",B31)+1,99))</f>
        <v>gmail.com</v>
      </c>
    </row>
    <row r="32" customFormat="false" ht="15" hidden="false" customHeight="false" outlineLevel="0" collapsed="false">
      <c r="A32" s="35" t="s">
        <v>148</v>
      </c>
      <c r="B32" s="35" t="s">
        <v>149</v>
      </c>
      <c r="C32" s="28"/>
      <c r="D32" s="29"/>
      <c r="E32" s="28"/>
      <c r="M32" s="0" t="str">
        <f aca="false">LEFT(A32,2)</f>
        <v>TN</v>
      </c>
      <c r="N32" s="38" t="n">
        <f aca="false">VALUE(MID(A32,FIND("-",A32)+1,5))</f>
        <v>43151</v>
      </c>
      <c r="O32" s="0" t="str">
        <f aca="false">LOWER(MID(B32,FIND("@",B32)+1,99))</f>
        <v>yahoo.in</v>
      </c>
    </row>
    <row r="33" customFormat="false" ht="15" hidden="false" customHeight="false" outlineLevel="0" collapsed="false">
      <c r="A33" s="27" t="s">
        <v>150</v>
      </c>
      <c r="B33" s="27" t="s">
        <v>109</v>
      </c>
      <c r="C33" s="28"/>
      <c r="D33" s="29"/>
      <c r="E33" s="28"/>
      <c r="M33" s="0" t="str">
        <f aca="false">LEFT(A33,2)</f>
        <v>DL</v>
      </c>
      <c r="N33" s="38" t="n">
        <f aca="false">VALUE(MID(A33,FIND("-",A33)+1,5))</f>
        <v>43288</v>
      </c>
      <c r="O33" s="0" t="str">
        <f aca="false">LOWER(MID(B33,FIND("@",B33)+1,99))</f>
        <v>gmail.com</v>
      </c>
    </row>
    <row r="34" customFormat="false" ht="15" hidden="false" customHeight="false" outlineLevel="0" collapsed="false">
      <c r="A34" s="35" t="s">
        <v>151</v>
      </c>
      <c r="B34" s="35" t="s">
        <v>152</v>
      </c>
      <c r="C34" s="28"/>
      <c r="D34" s="29"/>
      <c r="E34" s="28"/>
      <c r="M34" s="0" t="str">
        <f aca="false">LEFT(A34,2)</f>
        <v>MH</v>
      </c>
      <c r="N34" s="38" t="n">
        <f aca="false">VALUE(MID(A34,FIND("-",A34)+1,5))</f>
        <v>43425</v>
      </c>
      <c r="O34" s="0" t="str">
        <f aca="false">LOWER(MID(B34,FIND("@",B34)+1,99))</f>
        <v>outlook.com</v>
      </c>
    </row>
  </sheetData>
  <mergeCells count="3">
    <mergeCell ref="A1:K1"/>
    <mergeCell ref="A2:K2"/>
    <mergeCell ref="A3:K5"/>
  </mergeCells>
  <conditionalFormatting sqref="J9:J14">
    <cfRule type="expression" priority="2" aboveAverage="0" equalAverage="0" bottom="0" percent="0" rank="0" text="" dxfId="0">
      <formula>LEFT(J9,1)="✓"</formula>
    </cfRule>
    <cfRule type="expression" priority="3" aboveAverage="0" equalAverage="0" bottom="0" percent="0" rank="0" text="" dxfId="1">
      <formula>LEFT(J9,1)="✗"</formula>
    </cfRule>
    <cfRule type="expression" priority="4" aboveAverage="0" equalAverage="0" bottom="0" percent="0" rank="0" text="" dxfId="2">
      <formula>LEFT(J9,1)="✎"</formula>
    </cfRule>
    <cfRule type="expression" priority="5" aboveAverage="0" equalAverage="0" bottom="0" percent="0" rank="0" text="" dxfId="3">
      <formula>LEFT(J9,1)="◯"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1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38"/>
    <col collapsed="false" customWidth="true" hidden="true" outlineLevel="0" max="16" min="12" style="0" width="13"/>
  </cols>
  <sheetData>
    <row r="1" customFormat="false" ht="31.5" hidden="false" customHeight="true" outlineLevel="0" collapsed="false">
      <c r="A1" s="44" t="s">
        <v>153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customFormat="false" ht="19.5" hidden="false" customHeight="true" outlineLevel="0" collapsed="false">
      <c r="A2" s="45" t="s">
        <v>154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customFormat="false" ht="18.75" hidden="false" customHeight="true" outlineLevel="0" collapsed="false">
      <c r="A3" s="46" t="s">
        <v>155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customFormat="false" ht="18.75" hidden="false" customHeight="tru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</row>
    <row r="5" customFormat="false" ht="18.75" hidden="false" customHeight="tru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156</v>
      </c>
      <c r="B8" s="24" t="s">
        <v>157</v>
      </c>
      <c r="C8" s="25" t="s">
        <v>158</v>
      </c>
      <c r="D8" s="25" t="s">
        <v>159</v>
      </c>
      <c r="E8" s="25" t="s">
        <v>160</v>
      </c>
      <c r="G8" s="47" t="s">
        <v>14</v>
      </c>
      <c r="H8" s="47" t="s">
        <v>39</v>
      </c>
      <c r="I8" s="47" t="s">
        <v>40</v>
      </c>
      <c r="J8" s="47" t="s">
        <v>41</v>
      </c>
      <c r="K8" s="47" t="s">
        <v>42</v>
      </c>
    </row>
    <row r="9" customFormat="false" ht="33.75" hidden="false" customHeight="true" outlineLevel="0" collapsed="false">
      <c r="A9" s="27" t="s">
        <v>161</v>
      </c>
      <c r="B9" s="27" t="s">
        <v>162</v>
      </c>
      <c r="C9" s="48"/>
      <c r="D9" s="49"/>
      <c r="E9" s="28"/>
      <c r="G9" s="50" t="n">
        <v>1</v>
      </c>
      <c r="H9" s="31" t="s">
        <v>163</v>
      </c>
      <c r="I9" s="32" t="s">
        <v>49</v>
      </c>
      <c r="J9" s="33" t="str">
        <f aca="false">IF(COUNTA($C$9:$C$32)=0,"◯ Not attempted",IF(NOT(_xlfn.ISFORMULA(C9)),"✎ Use a formula",IFERROR(IF(SUMPRODUCT(--(ABS($C$9:$C$32-$M$9:$M$32)&lt;0.02))=ROWS($C$9:$C$32),"✓ Correct","✗ "&amp;(ROWS($C$9:$C$32)-SUMPRODUCT(--(ABS($C$9:$C$32-$M$9:$M$32)&lt;0.02)))&amp;" rows differ"),"✗ Check the column")))</f>
        <v>◯ Not attempted</v>
      </c>
      <c r="K9" s="34" t="s">
        <v>164</v>
      </c>
      <c r="M9" s="0" t="n">
        <f aca="false">VALUE(SUBSTITUTE(SUBSTITUTE(A9,",",""),"₹",""))</f>
        <v>75423.57</v>
      </c>
      <c r="N9" s="51" t="n">
        <f aca="false">DATE(VALUE(MID(B9,7,4)),VALUE(MID(B9,4,2)),VALUE(MID(B9,1,2)))</f>
        <v>46014</v>
      </c>
      <c r="O9" s="0" t="str">
        <f aca="false">TEXT(DATE(VALUE(MID(B9,7,4)),VALUE(MID(B9,4,2)),VALUE(MID(B9,1,2))),"mmm-yy")</f>
        <v>Dec-25</v>
      </c>
    </row>
    <row r="10" customFormat="false" ht="33.75" hidden="false" customHeight="true" outlineLevel="0" collapsed="false">
      <c r="A10" s="35" t="s">
        <v>165</v>
      </c>
      <c r="B10" s="35" t="s">
        <v>166</v>
      </c>
      <c r="C10" s="48"/>
      <c r="D10" s="49"/>
      <c r="E10" s="28"/>
      <c r="G10" s="50" t="n">
        <v>2</v>
      </c>
      <c r="H10" s="31" t="s">
        <v>167</v>
      </c>
      <c r="I10" s="32" t="s">
        <v>97</v>
      </c>
      <c r="J10" s="33" t="str">
        <f aca="false">IF(COUNTA($D$9:$D$32)=0,"◯ Not attempted",IF(NOT(_xlfn.ISFORMULA(D9)),"✎ Use a formula",IFERROR(IF(SUMPRODUCT(--(ABS($D$9:$D$32-$N$9:$N$32)&lt;0.5))=ROWS($D$9:$D$32),"✓ Correct","✗ "&amp;(ROWS($D$9:$D$32)-SUMPRODUCT(--(ABS($D$9:$D$32-$N$9:$N$32)&lt;0.5)))&amp;" rows differ"),"✗ Check the column")))</f>
        <v>◯ Not attempted</v>
      </c>
      <c r="K10" s="34" t="s">
        <v>168</v>
      </c>
      <c r="M10" s="0" t="n">
        <f aca="false">VALUE(SUBSTITUTE(SUBSTITUTE(A10,",",""),"₹",""))</f>
        <v>527254.52</v>
      </c>
      <c r="N10" s="51" t="n">
        <f aca="false">DATE(VALUE(MID(B10,7,4)),VALUE(MID(B10,4,2)),VALUE(MID(B10,1,2)))</f>
        <v>45901</v>
      </c>
      <c r="O10" s="0" t="str">
        <f aca="false">TEXT(DATE(VALUE(MID(B10,7,4)),VALUE(MID(B10,4,2)),VALUE(MID(B10,1,2))),"mmm-yy")</f>
        <v>Sep-25</v>
      </c>
    </row>
    <row r="11" customFormat="false" ht="33.75" hidden="false" customHeight="true" outlineLevel="0" collapsed="false">
      <c r="A11" s="27" t="s">
        <v>169</v>
      </c>
      <c r="B11" s="27" t="s">
        <v>170</v>
      </c>
      <c r="C11" s="48"/>
      <c r="D11" s="49"/>
      <c r="E11" s="28"/>
      <c r="G11" s="50" t="n">
        <v>3</v>
      </c>
      <c r="H11" s="31" t="s">
        <v>171</v>
      </c>
      <c r="I11" s="32" t="s">
        <v>102</v>
      </c>
      <c r="J11" s="33" t="str">
        <f aca="false">IF(COUNTA($E$9:$E$32)=0,"◯ Not attempted",IF(NOT(_xlfn.ISFORMULA(E9)),"✎ Use a formula",IFERROR(IF(SUMPRODUCT(--(UPPER(TRIM($E$9:$E$32&amp;""))=UPPER(TRIM($O$9:$O$32&amp;""))))=ROWS($E$9:$E$32),"✓ Correct","✗ "&amp;(ROWS($E$9:$E$32)-SUMPRODUCT(--(UPPER(TRIM($E$9:$E$32&amp;""))=UPPER(TRIM($O$9:$O$32&amp;"")))))&amp;" rows differ"),"✗ Check the column")))</f>
        <v>◯ Not attempted</v>
      </c>
      <c r="K11" s="34" t="s">
        <v>172</v>
      </c>
      <c r="M11" s="0" t="n">
        <f aca="false">VALUE(SUBSTITUTE(SUBSTITUTE(A11,",",""),"₹",""))</f>
        <v>972242.09</v>
      </c>
      <c r="N11" s="51" t="n">
        <f aca="false">DATE(VALUE(MID(B11,7,4)),VALUE(MID(B11,4,2)),VALUE(MID(B11,1,2)))</f>
        <v>45920</v>
      </c>
      <c r="O11" s="0" t="str">
        <f aca="false">TEXT(DATE(VALUE(MID(B11,7,4)),VALUE(MID(B11,4,2)),VALUE(MID(B11,1,2))),"mmm-yy")</f>
        <v>Sep-25</v>
      </c>
    </row>
    <row r="12" customFormat="false" ht="33.75" hidden="false" customHeight="true" outlineLevel="0" collapsed="false">
      <c r="A12" s="35" t="s">
        <v>173</v>
      </c>
      <c r="B12" s="35" t="s">
        <v>174</v>
      </c>
      <c r="C12" s="48"/>
      <c r="D12" s="49"/>
      <c r="E12" s="28"/>
      <c r="G12" s="50" t="n">
        <v>4</v>
      </c>
      <c r="H12" s="31" t="s">
        <v>175</v>
      </c>
      <c r="I12" s="52"/>
      <c r="J12" s="33" t="str">
        <f aca="false">IF(ISBLANK(I12),"◯ Not attempted",IF(NOT(_xlfn.ISFORMULA(I12)),"✎ Use a formula",IF(ISNUMBER(I12),IF(ABS(I12-$L$12)&lt;0.05,"✓ Correct","✗ Check again"),"✗ Not a number")))</f>
        <v>◯ Not attempted</v>
      </c>
      <c r="K12" s="34" t="s">
        <v>176</v>
      </c>
      <c r="L12" s="53" t="n">
        <f aca="false">12181037.84</f>
        <v>12181037.84</v>
      </c>
      <c r="M12" s="38" t="n">
        <f aca="false">VALUE(SUBSTITUTE(SUBSTITUTE(A12,",",""),"₹",""))</f>
        <v>359761.1</v>
      </c>
      <c r="N12" s="51" t="n">
        <f aca="false">DATE(VALUE(MID(B12,7,4)),VALUE(MID(B12,4,2)),VALUE(MID(B12,1,2)))</f>
        <v>45760</v>
      </c>
      <c r="O12" s="0" t="str">
        <f aca="false">TEXT(DATE(VALUE(MID(B12,7,4)),VALUE(MID(B12,4,2)),VALUE(MID(B12,1,2))),"mmm-yy")</f>
        <v>Apr-25</v>
      </c>
    </row>
    <row r="13" customFormat="false" ht="33.75" hidden="false" customHeight="true" outlineLevel="0" collapsed="false">
      <c r="A13" s="27" t="s">
        <v>177</v>
      </c>
      <c r="B13" s="27" t="s">
        <v>178</v>
      </c>
      <c r="C13" s="48"/>
      <c r="D13" s="49"/>
      <c r="E13" s="28"/>
      <c r="G13" s="50" t="n">
        <v>5</v>
      </c>
      <c r="H13" s="31" t="s">
        <v>179</v>
      </c>
      <c r="I13" s="36"/>
      <c r="J13" s="33" t="str">
        <f aca="false">IF(ISBLANK(I13),"◯ Not attempted",IF(NOT(_xlfn.ISFORMULA(I13)),"✎ Use a formula",IF(ISNUMBER(I13),IF(ABS(I13-$L$13)&lt;0.005,"✓ Correct","✗ Check again"),"✗ Not a number")))</f>
        <v>◯ Not attempted</v>
      </c>
      <c r="K13" s="34" t="s">
        <v>180</v>
      </c>
      <c r="L13" s="37" t="n">
        <f aca="false">1</f>
        <v>1</v>
      </c>
      <c r="M13" s="38" t="n">
        <f aca="false">VALUE(SUBSTITUTE(SUBSTITUTE(A13,",",""),"₹",""))</f>
        <v>79767.32</v>
      </c>
      <c r="N13" s="51" t="n">
        <f aca="false">DATE(VALUE(MID(B13,7,4)),VALUE(MID(B13,4,2)),VALUE(MID(B13,1,2)))</f>
        <v>45782</v>
      </c>
      <c r="O13" s="0" t="str">
        <f aca="false">TEXT(DATE(VALUE(MID(B13,7,4)),VALUE(MID(B13,4,2)),VALUE(MID(B13,1,2))),"mmm-yy")</f>
        <v>May-25</v>
      </c>
    </row>
    <row r="14" customFormat="false" ht="33.75" hidden="false" customHeight="true" outlineLevel="0" collapsed="false">
      <c r="A14" s="35" t="s">
        <v>181</v>
      </c>
      <c r="B14" s="35" t="s">
        <v>182</v>
      </c>
      <c r="C14" s="48"/>
      <c r="D14" s="49"/>
      <c r="E14" s="28"/>
      <c r="G14" s="50" t="n">
        <v>6</v>
      </c>
      <c r="H14" s="31" t="s">
        <v>183</v>
      </c>
      <c r="I14" s="52"/>
      <c r="J14" s="33" t="str">
        <f aca="false">IF(ISBLANK(I14),"◯ Not attempted",IF(NOT(_xlfn.ISFORMULA(I14)),"✎ Use a formula",IF(ISNUMBER(I14),IF(ABS(I14-$L$14)&lt;0.05,"✓ Correct","✗ Check again"),"✗ Not a number")))</f>
        <v>◯ Not attempted</v>
      </c>
      <c r="K14" s="34" t="s">
        <v>184</v>
      </c>
      <c r="L14" s="53" t="n">
        <f aca="false">972242.09</f>
        <v>972242.09</v>
      </c>
      <c r="M14" s="38" t="n">
        <f aca="false">VALUE(SUBSTITUTE(SUBSTITUTE(A14,",",""),"₹",""))</f>
        <v>355481.55</v>
      </c>
      <c r="N14" s="51" t="n">
        <f aca="false">DATE(VALUE(MID(B14,7,4)),VALUE(MID(B14,4,2)),VALUE(MID(B14,1,2)))</f>
        <v>45966</v>
      </c>
      <c r="O14" s="0" t="str">
        <f aca="false">TEXT(DATE(VALUE(MID(B14,7,4)),VALUE(MID(B14,4,2)),VALUE(MID(B14,1,2))),"mmm-yy")</f>
        <v>Nov-25</v>
      </c>
    </row>
    <row r="15" customFormat="false" ht="15" hidden="false" customHeight="false" outlineLevel="0" collapsed="false">
      <c r="A15" s="27" t="s">
        <v>185</v>
      </c>
      <c r="B15" s="27" t="s">
        <v>186</v>
      </c>
      <c r="C15" s="48"/>
      <c r="D15" s="49"/>
      <c r="E15" s="28"/>
      <c r="M15" s="38" t="n">
        <f aca="false">VALUE(SUBSTITUTE(SUBSTITUTE(A15,",",""),"₹",""))</f>
        <v>75132.68</v>
      </c>
      <c r="N15" s="51" t="n">
        <f aca="false">DATE(VALUE(MID(B15,7,4)),VALUE(MID(B15,4,2)),VALUE(MID(B15,1,2)))</f>
        <v>46025</v>
      </c>
      <c r="O15" s="0" t="str">
        <f aca="false">TEXT(DATE(VALUE(MID(B15,7,4)),VALUE(MID(B15,4,2)),VALUE(MID(B15,1,2))),"mmm-yy")</f>
        <v>Jan-26</v>
      </c>
    </row>
    <row r="16" customFormat="false" ht="15" hidden="false" customHeight="false" outlineLevel="0" collapsed="false">
      <c r="A16" s="35" t="s">
        <v>187</v>
      </c>
      <c r="B16" s="35" t="s">
        <v>174</v>
      </c>
      <c r="C16" s="48"/>
      <c r="D16" s="49"/>
      <c r="E16" s="28"/>
      <c r="M16" s="38" t="n">
        <f aca="false">VALUE(SUBSTITUTE(SUBSTITUTE(A16,",",""),"₹",""))</f>
        <v>51040.99</v>
      </c>
      <c r="N16" s="51" t="n">
        <f aca="false">DATE(VALUE(MID(B16,7,4)),VALUE(MID(B16,4,2)),VALUE(MID(B16,1,2)))</f>
        <v>45760</v>
      </c>
      <c r="O16" s="0" t="str">
        <f aca="false">TEXT(DATE(VALUE(MID(B16,7,4)),VALUE(MID(B16,4,2)),VALUE(MID(B16,1,2))),"mmm-yy")</f>
        <v>Apr-25</v>
      </c>
    </row>
    <row r="17" customFormat="false" ht="15" hidden="false" customHeight="false" outlineLevel="0" collapsed="false">
      <c r="A17" s="27" t="s">
        <v>188</v>
      </c>
      <c r="B17" s="27" t="s">
        <v>189</v>
      </c>
      <c r="C17" s="48"/>
      <c r="D17" s="49"/>
      <c r="E17" s="28"/>
      <c r="M17" s="38" t="n">
        <f aca="false">VALUE(SUBSTITUTE(SUBSTITUTE(A17,",",""),"₹",""))</f>
        <v>764826.84</v>
      </c>
      <c r="N17" s="51" t="n">
        <f aca="false">DATE(VALUE(MID(B17,7,4)),VALUE(MID(B17,4,2)),VALUE(MID(B17,1,2)))</f>
        <v>45819</v>
      </c>
      <c r="O17" s="0" t="str">
        <f aca="false">TEXT(DATE(VALUE(MID(B17,7,4)),VALUE(MID(B17,4,2)),VALUE(MID(B17,1,2))),"mmm-yy")</f>
        <v>Jun-25</v>
      </c>
    </row>
    <row r="18" customFormat="false" ht="15" hidden="false" customHeight="false" outlineLevel="0" collapsed="false">
      <c r="A18" s="35" t="s">
        <v>190</v>
      </c>
      <c r="B18" s="35" t="s">
        <v>191</v>
      </c>
      <c r="C18" s="48"/>
      <c r="D18" s="49"/>
      <c r="E18" s="28"/>
      <c r="M18" s="38" t="n">
        <f aca="false">VALUE(SUBSTITUTE(SUBSTITUTE(A18,",",""),"₹",""))</f>
        <v>920100.91</v>
      </c>
      <c r="N18" s="51" t="n">
        <f aca="false">DATE(VALUE(MID(B18,7,4)),VALUE(MID(B18,4,2)),VALUE(MID(B18,1,2)))</f>
        <v>45931</v>
      </c>
      <c r="O18" s="0" t="str">
        <f aca="false">TEXT(DATE(VALUE(MID(B18,7,4)),VALUE(MID(B18,4,2)),VALUE(MID(B18,1,2))),"mmm-yy")</f>
        <v>Oct-25</v>
      </c>
    </row>
    <row r="19" customFormat="false" ht="15" hidden="false" customHeight="false" outlineLevel="0" collapsed="false">
      <c r="A19" s="27" t="s">
        <v>192</v>
      </c>
      <c r="B19" s="27" t="s">
        <v>193</v>
      </c>
      <c r="C19" s="48"/>
      <c r="D19" s="49"/>
      <c r="E19" s="28"/>
      <c r="M19" s="38" t="n">
        <f aca="false">VALUE(SUBSTITUTE(SUBSTITUTE(A19,",",""),"₹",""))</f>
        <v>321624.98</v>
      </c>
      <c r="N19" s="51" t="n">
        <f aca="false">DATE(VALUE(MID(B19,7,4)),VALUE(MID(B19,4,2)),VALUE(MID(B19,1,2)))</f>
        <v>45867</v>
      </c>
      <c r="O19" s="0" t="str">
        <f aca="false">TEXT(DATE(VALUE(MID(B19,7,4)),VALUE(MID(B19,4,2)),VALUE(MID(B19,1,2))),"mmm-yy")</f>
        <v>Jul-25</v>
      </c>
    </row>
    <row r="20" customFormat="false" ht="15" hidden="false" customHeight="false" outlineLevel="0" collapsed="false">
      <c r="A20" s="35" t="s">
        <v>194</v>
      </c>
      <c r="B20" s="35" t="s">
        <v>195</v>
      </c>
      <c r="C20" s="48"/>
      <c r="D20" s="49"/>
      <c r="E20" s="28"/>
      <c r="M20" s="38" t="n">
        <f aca="false">VALUE(SUBSTITUTE(SUBSTITUTE(A20,",",""),"₹",""))</f>
        <v>946751.87</v>
      </c>
      <c r="N20" s="51" t="n">
        <f aca="false">DATE(VALUE(MID(B20,7,4)),VALUE(MID(B20,4,2)),VALUE(MID(B20,1,2)))</f>
        <v>45975</v>
      </c>
      <c r="O20" s="0" t="str">
        <f aca="false">TEXT(DATE(VALUE(MID(B20,7,4)),VALUE(MID(B20,4,2)),VALUE(MID(B20,1,2))),"mmm-yy")</f>
        <v>Nov-25</v>
      </c>
    </row>
    <row r="21" customFormat="false" ht="15" hidden="false" customHeight="false" outlineLevel="0" collapsed="false">
      <c r="A21" s="27" t="s">
        <v>196</v>
      </c>
      <c r="B21" s="27" t="s">
        <v>197</v>
      </c>
      <c r="C21" s="48"/>
      <c r="D21" s="49"/>
      <c r="E21" s="28"/>
      <c r="M21" s="38" t="n">
        <f aca="false">VALUE(SUBSTITUTE(SUBSTITUTE(A21,",",""),"₹",""))</f>
        <v>492089.84</v>
      </c>
      <c r="N21" s="51" t="n">
        <f aca="false">DATE(VALUE(MID(B21,7,4)),VALUE(MID(B21,4,2)),VALUE(MID(B21,1,2)))</f>
        <v>45818</v>
      </c>
      <c r="O21" s="0" t="str">
        <f aca="false">TEXT(DATE(VALUE(MID(B21,7,4)),VALUE(MID(B21,4,2)),VALUE(MID(B21,1,2))),"mmm-yy")</f>
        <v>Jun-25</v>
      </c>
    </row>
    <row r="22" customFormat="false" ht="15" hidden="false" customHeight="false" outlineLevel="0" collapsed="false">
      <c r="A22" s="35" t="s">
        <v>198</v>
      </c>
      <c r="B22" s="35" t="s">
        <v>199</v>
      </c>
      <c r="C22" s="48"/>
      <c r="D22" s="49"/>
      <c r="E22" s="28"/>
      <c r="M22" s="38" t="n">
        <f aca="false">VALUE(SUBSTITUTE(SUBSTITUTE(A22,",",""),"₹",""))</f>
        <v>314019.46</v>
      </c>
      <c r="N22" s="51" t="n">
        <f aca="false">DATE(VALUE(MID(B22,7,4)),VALUE(MID(B22,4,2)),VALUE(MID(B22,1,2)))</f>
        <v>45750</v>
      </c>
      <c r="O22" s="0" t="str">
        <f aca="false">TEXT(DATE(VALUE(MID(B22,7,4)),VALUE(MID(B22,4,2)),VALUE(MID(B22,1,2))),"mmm-yy")</f>
        <v>Apr-25</v>
      </c>
    </row>
    <row r="23" customFormat="false" ht="15" hidden="false" customHeight="false" outlineLevel="0" collapsed="false">
      <c r="A23" s="27" t="s">
        <v>200</v>
      </c>
      <c r="B23" s="27" t="s">
        <v>201</v>
      </c>
      <c r="C23" s="48"/>
      <c r="D23" s="49"/>
      <c r="E23" s="28"/>
      <c r="M23" s="38" t="n">
        <f aca="false">VALUE(SUBSTITUTE(SUBSTITUTE(A23,",",""),"₹",""))</f>
        <v>641211.35</v>
      </c>
      <c r="N23" s="51" t="n">
        <f aca="false">DATE(VALUE(MID(B23,7,4)),VALUE(MID(B23,4,2)),VALUE(MID(B23,1,2)))</f>
        <v>45894</v>
      </c>
      <c r="O23" s="0" t="str">
        <f aca="false">TEXT(DATE(VALUE(MID(B23,7,4)),VALUE(MID(B23,4,2)),VALUE(MID(B23,1,2))),"mmm-yy")</f>
        <v>Aug-25</v>
      </c>
    </row>
    <row r="24" customFormat="false" ht="15" hidden="false" customHeight="false" outlineLevel="0" collapsed="false">
      <c r="A24" s="35" t="s">
        <v>202</v>
      </c>
      <c r="B24" s="35" t="s">
        <v>203</v>
      </c>
      <c r="C24" s="48"/>
      <c r="D24" s="49"/>
      <c r="E24" s="28"/>
      <c r="M24" s="38" t="n">
        <f aca="false">VALUE(SUBSTITUTE(SUBSTITUTE(A24,",",""),"₹",""))</f>
        <v>949831.74</v>
      </c>
      <c r="N24" s="51" t="n">
        <f aca="false">DATE(VALUE(MID(B24,7,4)),VALUE(MID(B24,4,2)),VALUE(MID(B24,1,2)))</f>
        <v>46050</v>
      </c>
      <c r="O24" s="0" t="str">
        <f aca="false">TEXT(DATE(VALUE(MID(B24,7,4)),VALUE(MID(B24,4,2)),VALUE(MID(B24,1,2))),"mmm-yy")</f>
        <v>Jan-26</v>
      </c>
    </row>
    <row r="25" customFormat="false" ht="15" hidden="false" customHeight="false" outlineLevel="0" collapsed="false">
      <c r="A25" s="27" t="s">
        <v>204</v>
      </c>
      <c r="B25" s="27" t="s">
        <v>205</v>
      </c>
      <c r="C25" s="48"/>
      <c r="D25" s="49"/>
      <c r="E25" s="28"/>
      <c r="M25" s="38" t="n">
        <f aca="false">VALUE(SUBSTITUTE(SUBSTITUTE(A25,",",""),"₹",""))</f>
        <v>618189.8</v>
      </c>
      <c r="N25" s="51" t="n">
        <f aca="false">DATE(VALUE(MID(B25,7,4)),VALUE(MID(B25,4,2)),VALUE(MID(B25,1,2)))</f>
        <v>45911</v>
      </c>
      <c r="O25" s="0" t="str">
        <f aca="false">TEXT(DATE(VALUE(MID(B25,7,4)),VALUE(MID(B25,4,2)),VALUE(MID(B25,1,2))),"mmm-yy")</f>
        <v>Sep-25</v>
      </c>
    </row>
    <row r="26" customFormat="false" ht="15" hidden="false" customHeight="false" outlineLevel="0" collapsed="false">
      <c r="A26" s="35" t="s">
        <v>206</v>
      </c>
      <c r="B26" s="35" t="s">
        <v>207</v>
      </c>
      <c r="C26" s="48"/>
      <c r="D26" s="49"/>
      <c r="E26" s="28"/>
      <c r="M26" s="38" t="n">
        <f aca="false">VALUE(SUBSTITUTE(SUBSTITUTE(A26,",",""),"₹",""))</f>
        <v>596795.8</v>
      </c>
      <c r="N26" s="51" t="n">
        <f aca="false">DATE(VALUE(MID(B26,7,4)),VALUE(MID(B26,4,2)),VALUE(MID(B26,1,2)))</f>
        <v>45987</v>
      </c>
      <c r="O26" s="0" t="str">
        <f aca="false">TEXT(DATE(VALUE(MID(B26,7,4)),VALUE(MID(B26,4,2)),VALUE(MID(B26,1,2))),"mmm-yy")</f>
        <v>Nov-25</v>
      </c>
    </row>
    <row r="27" customFormat="false" ht="15" hidden="false" customHeight="false" outlineLevel="0" collapsed="false">
      <c r="A27" s="27" t="s">
        <v>208</v>
      </c>
      <c r="B27" s="27" t="s">
        <v>209</v>
      </c>
      <c r="C27" s="48"/>
      <c r="D27" s="49"/>
      <c r="E27" s="28"/>
      <c r="M27" s="38" t="n">
        <f aca="false">VALUE(SUBSTITUTE(SUBSTITUTE(A27,",",""),"₹",""))</f>
        <v>495747.26</v>
      </c>
      <c r="N27" s="51" t="n">
        <f aca="false">DATE(VALUE(MID(B27,7,4)),VALUE(MID(B27,4,2)),VALUE(MID(B27,1,2)))</f>
        <v>45948</v>
      </c>
      <c r="O27" s="0" t="str">
        <f aca="false">TEXT(DATE(VALUE(MID(B27,7,4)),VALUE(MID(B27,4,2)),VALUE(MID(B27,1,2))),"mmm-yy")</f>
        <v>Oct-25</v>
      </c>
    </row>
    <row r="28" customFormat="false" ht="15" hidden="false" customHeight="false" outlineLevel="0" collapsed="false">
      <c r="A28" s="35" t="s">
        <v>210</v>
      </c>
      <c r="B28" s="35" t="s">
        <v>211</v>
      </c>
      <c r="C28" s="48"/>
      <c r="D28" s="49"/>
      <c r="E28" s="28"/>
      <c r="M28" s="38" t="n">
        <f aca="false">VALUE(SUBSTITUTE(SUBSTITUTE(A28,",",""),"₹",""))</f>
        <v>23135.29</v>
      </c>
      <c r="N28" s="51" t="n">
        <f aca="false">DATE(VALUE(MID(B28,7,4)),VALUE(MID(B28,4,2)),VALUE(MID(B28,1,2)))</f>
        <v>46034</v>
      </c>
      <c r="O28" s="0" t="str">
        <f aca="false">TEXT(DATE(VALUE(MID(B28,7,4)),VALUE(MID(B28,4,2)),VALUE(MID(B28,1,2))),"mmm-yy")</f>
        <v>Jan-26</v>
      </c>
    </row>
    <row r="29" customFormat="false" ht="15" hidden="false" customHeight="false" outlineLevel="0" collapsed="false">
      <c r="A29" s="27" t="s">
        <v>212</v>
      </c>
      <c r="B29" s="27" t="s">
        <v>213</v>
      </c>
      <c r="C29" s="48"/>
      <c r="D29" s="49"/>
      <c r="E29" s="28"/>
      <c r="M29" s="38" t="n">
        <f aca="false">VALUE(SUBSTITUTE(SUBSTITUTE(A29,",",""),"₹",""))</f>
        <v>844573.88</v>
      </c>
      <c r="N29" s="51" t="n">
        <f aca="false">DATE(VALUE(MID(B29,7,4)),VALUE(MID(B29,4,2)),VALUE(MID(B29,1,2)))</f>
        <v>45983</v>
      </c>
      <c r="O29" s="0" t="str">
        <f aca="false">TEXT(DATE(VALUE(MID(B29,7,4)),VALUE(MID(B29,4,2)),VALUE(MID(B29,1,2))),"mmm-yy")</f>
        <v>Nov-25</v>
      </c>
    </row>
    <row r="30" customFormat="false" ht="15" hidden="false" customHeight="false" outlineLevel="0" collapsed="false">
      <c r="A30" s="35" t="s">
        <v>214</v>
      </c>
      <c r="B30" s="35" t="s">
        <v>215</v>
      </c>
      <c r="C30" s="48"/>
      <c r="D30" s="49"/>
      <c r="E30" s="28"/>
      <c r="M30" s="38" t="n">
        <f aca="false">VALUE(SUBSTITUTE(SUBSTITUTE(A30,",",""),"₹",""))</f>
        <v>449638.13</v>
      </c>
      <c r="N30" s="51" t="n">
        <f aca="false">DATE(VALUE(MID(B30,7,4)),VALUE(MID(B30,4,2)),VALUE(MID(B30,1,2)))</f>
        <v>45940</v>
      </c>
      <c r="O30" s="0" t="str">
        <f aca="false">TEXT(DATE(VALUE(MID(B30,7,4)),VALUE(MID(B30,4,2)),VALUE(MID(B30,1,2))),"mmm-yy")</f>
        <v>Oct-25</v>
      </c>
    </row>
    <row r="31" customFormat="false" ht="15" hidden="false" customHeight="false" outlineLevel="0" collapsed="false">
      <c r="A31" s="27" t="s">
        <v>216</v>
      </c>
      <c r="B31" s="27" t="s">
        <v>217</v>
      </c>
      <c r="C31" s="48"/>
      <c r="D31" s="49"/>
      <c r="E31" s="28"/>
      <c r="M31" s="38" t="n">
        <f aca="false">VALUE(SUBSTITUTE(SUBSTITUTE(A31,",",""),"₹",""))</f>
        <v>719564.74</v>
      </c>
      <c r="N31" s="51" t="n">
        <f aca="false">DATE(VALUE(MID(B31,7,4)),VALUE(MID(B31,4,2)),VALUE(MID(B31,1,2)))</f>
        <v>45875</v>
      </c>
      <c r="O31" s="0" t="str">
        <f aca="false">TEXT(DATE(VALUE(MID(B31,7,4)),VALUE(MID(B31,4,2)),VALUE(MID(B31,1,2))),"mmm-yy")</f>
        <v>Aug-25</v>
      </c>
    </row>
    <row r="32" customFormat="false" ht="15" hidden="false" customHeight="false" outlineLevel="0" collapsed="false">
      <c r="A32" s="35" t="s">
        <v>218</v>
      </c>
      <c r="B32" s="35" t="s">
        <v>219</v>
      </c>
      <c r="C32" s="48"/>
      <c r="D32" s="49"/>
      <c r="E32" s="28"/>
      <c r="M32" s="38" t="n">
        <f aca="false">VALUE(SUBSTITUTE(SUBSTITUTE(A32,",",""),"₹",""))</f>
        <v>586832.13</v>
      </c>
      <c r="N32" s="51" t="n">
        <f aca="false">DATE(VALUE(MID(B32,7,4)),VALUE(MID(B32,4,2)),VALUE(MID(B32,1,2)))</f>
        <v>45961</v>
      </c>
      <c r="O32" s="0" t="str">
        <f aca="false">TEXT(DATE(VALUE(MID(B32,7,4)),VALUE(MID(B32,4,2)),VALUE(MID(B32,1,2))),"mmm-yy")</f>
        <v>Oct-25</v>
      </c>
    </row>
  </sheetData>
  <mergeCells count="3">
    <mergeCell ref="A1:K1"/>
    <mergeCell ref="A2:K2"/>
    <mergeCell ref="A3:K5"/>
  </mergeCells>
  <conditionalFormatting sqref="J9:J14">
    <cfRule type="expression" priority="2" aboveAverage="0" equalAverage="0" bottom="0" percent="0" rank="0" text="" dxfId="0">
      <formula>LEFT(J9,1)="✓"</formula>
    </cfRule>
    <cfRule type="expression" priority="3" aboveAverage="0" equalAverage="0" bottom="0" percent="0" rank="0" text="" dxfId="1">
      <formula>LEFT(J9,1)="✗"</formula>
    </cfRule>
    <cfRule type="expression" priority="4" aboveAverage="0" equalAverage="0" bottom="0" percent="0" rank="0" text="" dxfId="2">
      <formula>LEFT(J9,1)="✎"</formula>
    </cfRule>
    <cfRule type="expression" priority="5" aboveAverage="0" equalAverage="0" bottom="0" percent="0" rank="0" text="" dxfId="3">
      <formula>LEFT(J9,1)="◯"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38"/>
    <col collapsed="false" customWidth="true" hidden="true" outlineLevel="0" max="15" min="12" style="0" width="13"/>
  </cols>
  <sheetData>
    <row r="1" customFormat="false" ht="31.5" hidden="false" customHeight="true" outlineLevel="0" collapsed="false">
      <c r="A1" s="44" t="s">
        <v>220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customFormat="false" ht="19.5" hidden="false" customHeight="true" outlineLevel="0" collapsed="false">
      <c r="A2" s="45" t="s">
        <v>221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customFormat="false" ht="18.75" hidden="false" customHeight="true" outlineLevel="0" collapsed="false">
      <c r="A3" s="46" t="s">
        <v>222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customFormat="false" ht="18.75" hidden="false" customHeight="tru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</row>
    <row r="5" customFormat="false" ht="18.75" hidden="false" customHeight="tru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223</v>
      </c>
      <c r="B8" s="24" t="s">
        <v>224</v>
      </c>
      <c r="C8" s="24" t="s">
        <v>158</v>
      </c>
      <c r="D8" s="25" t="s">
        <v>225</v>
      </c>
      <c r="E8" s="25" t="s">
        <v>226</v>
      </c>
      <c r="G8" s="47" t="s">
        <v>14</v>
      </c>
      <c r="H8" s="47" t="s">
        <v>39</v>
      </c>
      <c r="I8" s="47" t="s">
        <v>40</v>
      </c>
      <c r="J8" s="47" t="s">
        <v>41</v>
      </c>
      <c r="K8" s="47" t="s">
        <v>42</v>
      </c>
    </row>
    <row r="9" customFormat="false" ht="33.75" hidden="false" customHeight="true" outlineLevel="0" collapsed="false">
      <c r="A9" s="27" t="s">
        <v>227</v>
      </c>
      <c r="B9" s="27" t="s">
        <v>228</v>
      </c>
      <c r="C9" s="54" t="n">
        <v>22000</v>
      </c>
      <c r="D9" s="29"/>
      <c r="E9" s="28"/>
      <c r="G9" s="50" t="n">
        <v>1</v>
      </c>
      <c r="H9" s="31" t="s">
        <v>229</v>
      </c>
      <c r="I9" s="32" t="s">
        <v>97</v>
      </c>
      <c r="J9" s="33" t="str">
        <f aca="false">IF(COUNTA($D$9:$D$33)=0,"◯ Not attempted",IF(NOT(_xlfn.ISFORMULA(D9)),"✎ Use a formula",IFERROR(IF(SUMPRODUCT(--(ABS($D$9:$D$33-$M$9:$M$33)&lt;0.01))=ROWS($D$9:$D$33),"✓ Correct","✗ "&amp;(ROWS($D$9:$D$33)-SUMPRODUCT(--(ABS($D$9:$D$33-$M$9:$M$33)&lt;0.01)))&amp;" rows differ"),"✗ Check the column")))</f>
        <v>◯ Not attempted</v>
      </c>
      <c r="K9" s="34" t="s">
        <v>230</v>
      </c>
      <c r="M9" s="0" t="n">
        <f aca="false">COUNTIF($A$9:$A$33,A9)</f>
        <v>1</v>
      </c>
      <c r="N9" s="0" t="str">
        <f aca="false">IF(COUNTIF($A$9:A9,A9)=1,"Keep","Duplicate")</f>
        <v>Keep</v>
      </c>
    </row>
    <row r="10" customFormat="false" ht="33.75" hidden="false" customHeight="true" outlineLevel="0" collapsed="false">
      <c r="A10" s="35" t="s">
        <v>231</v>
      </c>
      <c r="B10" s="35" t="s">
        <v>232</v>
      </c>
      <c r="C10" s="55" t="n">
        <v>277500</v>
      </c>
      <c r="D10" s="29"/>
      <c r="E10" s="28"/>
      <c r="G10" s="50" t="n">
        <v>2</v>
      </c>
      <c r="H10" s="31" t="s">
        <v>233</v>
      </c>
      <c r="I10" s="32" t="s">
        <v>102</v>
      </c>
      <c r="J10" s="33" t="str">
        <f aca="false">IF(COUNTA($E$9:$E$33)=0,"◯ Not attempted",IF(NOT(_xlfn.ISFORMULA(E9)),"✎ Use a formula",IFERROR(IF(SUMPRODUCT(--(UPPER(TRIM($E$9:$E$33&amp;""))=UPPER(TRIM($N$9:$N$33&amp;""))))=ROWS($E$9:$E$33),"✓ Correct","✗ "&amp;(ROWS($E$9:$E$33)-SUMPRODUCT(--(UPPER(TRIM($E$9:$E$33&amp;""))=UPPER(TRIM($N$9:$N$33&amp;"")))))&amp;" rows differ"),"✗ Check the column")))</f>
        <v>◯ Not attempted</v>
      </c>
      <c r="K10" s="34" t="s">
        <v>234</v>
      </c>
      <c r="M10" s="0" t="n">
        <f aca="false">COUNTIF($A$9:$A$33,A10)</f>
        <v>2</v>
      </c>
      <c r="N10" s="0" t="str">
        <f aca="false">IF(COUNTIF($A$9:A10,A10)=1,"Keep","Duplicate")</f>
        <v>Keep</v>
      </c>
    </row>
    <row r="11" customFormat="false" ht="33.75" hidden="false" customHeight="true" outlineLevel="0" collapsed="false">
      <c r="A11" s="27" t="s">
        <v>235</v>
      </c>
      <c r="B11" s="27" t="s">
        <v>236</v>
      </c>
      <c r="C11" s="54" t="n">
        <v>190500</v>
      </c>
      <c r="D11" s="29"/>
      <c r="E11" s="28"/>
      <c r="G11" s="50" t="n">
        <v>3</v>
      </c>
      <c r="H11" s="31" t="s">
        <v>237</v>
      </c>
      <c r="I11" s="36"/>
      <c r="J11" s="33" t="str">
        <f aca="false">IF(ISBLANK(I11),"◯ Not attempted",IF(NOT(_xlfn.ISFORMULA(I11)),"✎ Use a formula",IF(ISNUMBER(I11),IF(ABS(I11-$L$11)&lt;0.005,"✓ Correct","✗ Check again"),"✗ Not a number")))</f>
        <v>◯ Not attempted</v>
      </c>
      <c r="K11" s="34" t="s">
        <v>238</v>
      </c>
      <c r="L11" s="37" t="n">
        <f aca="false">20</f>
        <v>20</v>
      </c>
      <c r="M11" s="38" t="n">
        <f aca="false">COUNTIF($A$9:$A$33,A11)</f>
        <v>2</v>
      </c>
      <c r="N11" s="0" t="str">
        <f aca="false">IF(COUNTIF($A$9:A11,A11)=1,"Keep","Duplicate")</f>
        <v>Keep</v>
      </c>
    </row>
    <row r="12" customFormat="false" ht="33.75" hidden="false" customHeight="true" outlineLevel="0" collapsed="false">
      <c r="A12" s="35" t="s">
        <v>239</v>
      </c>
      <c r="B12" s="35" t="s">
        <v>240</v>
      </c>
      <c r="C12" s="55" t="n">
        <v>109000</v>
      </c>
      <c r="D12" s="29"/>
      <c r="E12" s="28"/>
      <c r="G12" s="50" t="n">
        <v>4</v>
      </c>
      <c r="H12" s="31" t="s">
        <v>241</v>
      </c>
      <c r="I12" s="36"/>
      <c r="J12" s="33" t="str">
        <f aca="false">IF(ISBLANK(I12),"◯ Not attempted",IF(NOT(_xlfn.ISFORMULA(I12)),"✎ Use a formula",IF(ISNUMBER(I12),IF(ABS(I12-$L$12)&lt;0.005,"✓ Correct","✗ Check again"),"✗ Not a number")))</f>
        <v>◯ Not attempted</v>
      </c>
      <c r="K12" s="34" t="s">
        <v>242</v>
      </c>
      <c r="L12" s="37" t="n">
        <f aca="false">5</f>
        <v>5</v>
      </c>
      <c r="M12" s="38" t="n">
        <f aca="false">COUNTIF($A$9:$A$33,A12)</f>
        <v>2</v>
      </c>
      <c r="N12" s="0" t="str">
        <f aca="false">IF(COUNTIF($A$9:A12,A12)=1,"Keep","Duplicate")</f>
        <v>Keep</v>
      </c>
    </row>
    <row r="13" customFormat="false" ht="33.75" hidden="false" customHeight="true" outlineLevel="0" collapsed="false">
      <c r="A13" s="27" t="s">
        <v>243</v>
      </c>
      <c r="B13" s="27" t="s">
        <v>240</v>
      </c>
      <c r="C13" s="54" t="n">
        <v>45000</v>
      </c>
      <c r="D13" s="29"/>
      <c r="E13" s="28"/>
      <c r="G13" s="50" t="n">
        <v>5</v>
      </c>
      <c r="H13" s="31" t="s">
        <v>244</v>
      </c>
      <c r="I13" s="56"/>
      <c r="J13" s="33" t="str">
        <f aca="false">IF(ISBLANK(I13),"◯ Not attempted",IF(NOT(_xlfn.ISFORMULA(I13)),"✎ Use a formula",IF(ISNUMBER(I13),IF(ABS(I13-$L$13)&lt;0.005,"✓ Correct","✗ Check again"),"✗ Not a number")))</f>
        <v>◯ Not attempted</v>
      </c>
      <c r="K13" s="34" t="s">
        <v>245</v>
      </c>
      <c r="L13" s="0" t="n">
        <f aca="false">2991000</f>
        <v>2991000</v>
      </c>
      <c r="M13" s="0" t="n">
        <f aca="false">COUNTIF($A$9:$A$33,A13)</f>
        <v>1</v>
      </c>
      <c r="N13" s="0" t="str">
        <f aca="false">IF(COUNTIF($A$9:A13,A13)=1,"Keep","Duplicate")</f>
        <v>Keep</v>
      </c>
    </row>
    <row r="14" customFormat="false" ht="15" hidden="false" customHeight="false" outlineLevel="0" collapsed="false">
      <c r="A14" s="35" t="s">
        <v>246</v>
      </c>
      <c r="B14" s="35" t="s">
        <v>247</v>
      </c>
      <c r="C14" s="55" t="n">
        <v>181500</v>
      </c>
      <c r="D14" s="29"/>
      <c r="E14" s="28"/>
      <c r="M14" s="38" t="n">
        <f aca="false">COUNTIF($A$9:$A$33,A14)</f>
        <v>3</v>
      </c>
      <c r="N14" s="0" t="str">
        <f aca="false">IF(COUNTIF($A$9:A14,A14)=1,"Keep","Duplicate")</f>
        <v>Keep</v>
      </c>
    </row>
    <row r="15" customFormat="false" ht="15" hidden="false" customHeight="false" outlineLevel="0" collapsed="false">
      <c r="A15" s="27" t="s">
        <v>246</v>
      </c>
      <c r="B15" s="27" t="s">
        <v>247</v>
      </c>
      <c r="C15" s="54" t="n">
        <v>181500</v>
      </c>
      <c r="D15" s="29"/>
      <c r="E15" s="28"/>
      <c r="M15" s="38" t="n">
        <f aca="false">COUNTIF($A$9:$A$33,A15)</f>
        <v>3</v>
      </c>
      <c r="N15" s="0" t="str">
        <f aca="false">IF(COUNTIF($A$9:A15,A15)=1,"Keep","Duplicate")</f>
        <v>Duplicate</v>
      </c>
    </row>
    <row r="16" customFormat="false" ht="15" hidden="false" customHeight="false" outlineLevel="0" collapsed="false">
      <c r="A16" s="35" t="s">
        <v>248</v>
      </c>
      <c r="B16" s="35" t="s">
        <v>240</v>
      </c>
      <c r="C16" s="55" t="n">
        <v>40500</v>
      </c>
      <c r="D16" s="29"/>
      <c r="E16" s="28"/>
      <c r="M16" s="38" t="n">
        <f aca="false">COUNTIF($A$9:$A$33,A16)</f>
        <v>1</v>
      </c>
      <c r="N16" s="0" t="str">
        <f aca="false">IF(COUNTIF($A$9:A16,A16)=1,"Keep","Duplicate")</f>
        <v>Keep</v>
      </c>
    </row>
    <row r="17" customFormat="false" ht="15" hidden="false" customHeight="false" outlineLevel="0" collapsed="false">
      <c r="A17" s="27" t="s">
        <v>249</v>
      </c>
      <c r="B17" s="27" t="s">
        <v>236</v>
      </c>
      <c r="C17" s="54" t="n">
        <v>87500</v>
      </c>
      <c r="D17" s="29"/>
      <c r="E17" s="28"/>
      <c r="M17" s="38" t="n">
        <f aca="false">COUNTIF($A$9:$A$33,A17)</f>
        <v>1</v>
      </c>
      <c r="N17" s="0" t="str">
        <f aca="false">IF(COUNTIF($A$9:A17,A17)=1,"Keep","Duplicate")</f>
        <v>Keep</v>
      </c>
    </row>
    <row r="18" customFormat="false" ht="15" hidden="false" customHeight="false" outlineLevel="0" collapsed="false">
      <c r="A18" s="35" t="s">
        <v>250</v>
      </c>
      <c r="B18" s="35" t="s">
        <v>247</v>
      </c>
      <c r="C18" s="55" t="n">
        <v>275000</v>
      </c>
      <c r="D18" s="29"/>
      <c r="E18" s="28"/>
      <c r="M18" s="38" t="n">
        <f aca="false">COUNTIF($A$9:$A$33,A18)</f>
        <v>1</v>
      </c>
      <c r="N18" s="0" t="str">
        <f aca="false">IF(COUNTIF($A$9:A18,A18)=1,"Keep","Duplicate")</f>
        <v>Keep</v>
      </c>
    </row>
    <row r="19" customFormat="false" ht="15" hidden="false" customHeight="false" outlineLevel="0" collapsed="false">
      <c r="A19" s="27" t="s">
        <v>251</v>
      </c>
      <c r="B19" s="27" t="s">
        <v>252</v>
      </c>
      <c r="C19" s="54" t="n">
        <v>173500</v>
      </c>
      <c r="D19" s="29"/>
      <c r="E19" s="28"/>
      <c r="M19" s="38" t="n">
        <f aca="false">COUNTIF($A$9:$A$33,A19)</f>
        <v>1</v>
      </c>
      <c r="N19" s="0" t="str">
        <f aca="false">IF(COUNTIF($A$9:A19,A19)=1,"Keep","Duplicate")</f>
        <v>Keep</v>
      </c>
    </row>
    <row r="20" customFormat="false" ht="15" hidden="false" customHeight="false" outlineLevel="0" collapsed="false">
      <c r="A20" s="35" t="s">
        <v>253</v>
      </c>
      <c r="B20" s="35" t="s">
        <v>228</v>
      </c>
      <c r="C20" s="55" t="n">
        <v>190500</v>
      </c>
      <c r="D20" s="29"/>
      <c r="E20" s="28"/>
      <c r="M20" s="38" t="n">
        <f aca="false">COUNTIF($A$9:$A$33,A20)</f>
        <v>1</v>
      </c>
      <c r="N20" s="0" t="str">
        <f aca="false">IF(COUNTIF($A$9:A20,A20)=1,"Keep","Duplicate")</f>
        <v>Keep</v>
      </c>
    </row>
    <row r="21" customFormat="false" ht="15" hidden="false" customHeight="false" outlineLevel="0" collapsed="false">
      <c r="A21" s="27" t="s">
        <v>254</v>
      </c>
      <c r="B21" s="27" t="s">
        <v>247</v>
      </c>
      <c r="C21" s="54" t="n">
        <v>19500</v>
      </c>
      <c r="D21" s="29"/>
      <c r="E21" s="28"/>
      <c r="M21" s="38" t="n">
        <f aca="false">COUNTIF($A$9:$A$33,A21)</f>
        <v>1</v>
      </c>
      <c r="N21" s="0" t="str">
        <f aca="false">IF(COUNTIF($A$9:A21,A21)=1,"Keep","Duplicate")</f>
        <v>Keep</v>
      </c>
    </row>
    <row r="22" customFormat="false" ht="15" hidden="false" customHeight="false" outlineLevel="0" collapsed="false">
      <c r="A22" s="35" t="s">
        <v>255</v>
      </c>
      <c r="B22" s="35" t="s">
        <v>256</v>
      </c>
      <c r="C22" s="55" t="n">
        <v>13000</v>
      </c>
      <c r="D22" s="29"/>
      <c r="E22" s="28"/>
      <c r="M22" s="38" t="n">
        <f aca="false">COUNTIF($A$9:$A$33,A22)</f>
        <v>1</v>
      </c>
      <c r="N22" s="0" t="str">
        <f aca="false">IF(COUNTIF($A$9:A22,A22)=1,"Keep","Duplicate")</f>
        <v>Keep</v>
      </c>
    </row>
    <row r="23" customFormat="false" ht="15" hidden="false" customHeight="false" outlineLevel="0" collapsed="false">
      <c r="A23" s="27" t="s">
        <v>257</v>
      </c>
      <c r="B23" s="27" t="s">
        <v>247</v>
      </c>
      <c r="C23" s="54" t="n">
        <v>107000</v>
      </c>
      <c r="D23" s="29"/>
      <c r="E23" s="28"/>
      <c r="M23" s="38" t="n">
        <f aca="false">COUNTIF($A$9:$A$33,A23)</f>
        <v>1</v>
      </c>
      <c r="N23" s="0" t="str">
        <f aca="false">IF(COUNTIF($A$9:A23,A23)=1,"Keep","Duplicate")</f>
        <v>Keep</v>
      </c>
    </row>
    <row r="24" customFormat="false" ht="15" hidden="false" customHeight="false" outlineLevel="0" collapsed="false">
      <c r="A24" s="35" t="s">
        <v>246</v>
      </c>
      <c r="B24" s="35" t="s">
        <v>247</v>
      </c>
      <c r="C24" s="55" t="n">
        <v>181500</v>
      </c>
      <c r="D24" s="29"/>
      <c r="E24" s="28"/>
      <c r="M24" s="38" t="n">
        <f aca="false">COUNTIF($A$9:$A$33,A24)</f>
        <v>3</v>
      </c>
      <c r="N24" s="0" t="str">
        <f aca="false">IF(COUNTIF($A$9:A24,A24)=1,"Keep","Duplicate")</f>
        <v>Duplicate</v>
      </c>
    </row>
    <row r="25" customFormat="false" ht="15" hidden="false" customHeight="false" outlineLevel="0" collapsed="false">
      <c r="A25" s="27" t="s">
        <v>258</v>
      </c>
      <c r="B25" s="27" t="s">
        <v>240</v>
      </c>
      <c r="C25" s="54" t="n">
        <v>101500</v>
      </c>
      <c r="D25" s="29"/>
      <c r="E25" s="28"/>
      <c r="M25" s="38" t="n">
        <f aca="false">COUNTIF($A$9:$A$33,A25)</f>
        <v>1</v>
      </c>
      <c r="N25" s="0" t="str">
        <f aca="false">IF(COUNTIF($A$9:A25,A25)=1,"Keep","Duplicate")</f>
        <v>Keep</v>
      </c>
    </row>
    <row r="26" customFormat="false" ht="15" hidden="false" customHeight="false" outlineLevel="0" collapsed="false">
      <c r="A26" s="35" t="s">
        <v>239</v>
      </c>
      <c r="B26" s="35" t="s">
        <v>240</v>
      </c>
      <c r="C26" s="55" t="n">
        <v>109000</v>
      </c>
      <c r="D26" s="29"/>
      <c r="E26" s="28"/>
      <c r="M26" s="38" t="n">
        <f aca="false">COUNTIF($A$9:$A$33,A26)</f>
        <v>2</v>
      </c>
      <c r="N26" s="0" t="str">
        <f aca="false">IF(COUNTIF($A$9:A26,A26)=1,"Keep","Duplicate")</f>
        <v>Duplicate</v>
      </c>
    </row>
    <row r="27" customFormat="false" ht="15" hidden="false" customHeight="false" outlineLevel="0" collapsed="false">
      <c r="A27" s="27" t="s">
        <v>259</v>
      </c>
      <c r="B27" s="27" t="s">
        <v>256</v>
      </c>
      <c r="C27" s="54" t="n">
        <v>244500</v>
      </c>
      <c r="D27" s="29"/>
      <c r="E27" s="28"/>
      <c r="M27" s="38" t="n">
        <f aca="false">COUNTIF($A$9:$A$33,A27)</f>
        <v>1</v>
      </c>
      <c r="N27" s="0" t="str">
        <f aca="false">IF(COUNTIF($A$9:A27,A27)=1,"Keep","Duplicate")</f>
        <v>Keep</v>
      </c>
    </row>
    <row r="28" customFormat="false" ht="15" hidden="false" customHeight="false" outlineLevel="0" collapsed="false">
      <c r="A28" s="35" t="s">
        <v>235</v>
      </c>
      <c r="B28" s="35" t="s">
        <v>236</v>
      </c>
      <c r="C28" s="55" t="n">
        <v>190500</v>
      </c>
      <c r="D28" s="29"/>
      <c r="E28" s="28"/>
      <c r="M28" s="38" t="n">
        <f aca="false">COUNTIF($A$9:$A$33,A28)</f>
        <v>2</v>
      </c>
      <c r="N28" s="0" t="str">
        <f aca="false">IF(COUNTIF($A$9:A28,A28)=1,"Keep","Duplicate")</f>
        <v>Duplicate</v>
      </c>
    </row>
    <row r="29" customFormat="false" ht="15" hidden="false" customHeight="false" outlineLevel="0" collapsed="false">
      <c r="A29" s="27" t="s">
        <v>231</v>
      </c>
      <c r="B29" s="27" t="s">
        <v>232</v>
      </c>
      <c r="C29" s="54" t="n">
        <v>277500</v>
      </c>
      <c r="D29" s="29"/>
      <c r="E29" s="28"/>
      <c r="M29" s="38" t="n">
        <f aca="false">COUNTIF($A$9:$A$33,A29)</f>
        <v>2</v>
      </c>
      <c r="N29" s="0" t="str">
        <f aca="false">IF(COUNTIF($A$9:A29,A29)=1,"Keep","Duplicate")</f>
        <v>Duplicate</v>
      </c>
    </row>
    <row r="30" customFormat="false" ht="15" hidden="false" customHeight="false" outlineLevel="0" collapsed="false">
      <c r="A30" s="35" t="s">
        <v>260</v>
      </c>
      <c r="B30" s="35" t="s">
        <v>261</v>
      </c>
      <c r="C30" s="55" t="n">
        <v>310500</v>
      </c>
      <c r="D30" s="29"/>
      <c r="E30" s="28"/>
      <c r="M30" s="38" t="n">
        <f aca="false">COUNTIF($A$9:$A$33,A30)</f>
        <v>1</v>
      </c>
      <c r="N30" s="0" t="str">
        <f aca="false">IF(COUNTIF($A$9:A30,A30)=1,"Keep","Duplicate")</f>
        <v>Keep</v>
      </c>
    </row>
    <row r="31" customFormat="false" ht="15" hidden="false" customHeight="false" outlineLevel="0" collapsed="false">
      <c r="A31" s="27" t="s">
        <v>262</v>
      </c>
      <c r="B31" s="27" t="s">
        <v>247</v>
      </c>
      <c r="C31" s="54" t="n">
        <v>261000</v>
      </c>
      <c r="D31" s="29"/>
      <c r="E31" s="28"/>
      <c r="M31" s="38" t="n">
        <f aca="false">COUNTIF($A$9:$A$33,A31)</f>
        <v>1</v>
      </c>
      <c r="N31" s="0" t="str">
        <f aca="false">IF(COUNTIF($A$9:A31,A31)=1,"Keep","Duplicate")</f>
        <v>Keep</v>
      </c>
    </row>
    <row r="32" customFormat="false" ht="15" hidden="false" customHeight="false" outlineLevel="0" collapsed="false">
      <c r="A32" s="35" t="s">
        <v>263</v>
      </c>
      <c r="B32" s="35" t="s">
        <v>261</v>
      </c>
      <c r="C32" s="55" t="n">
        <v>64000</v>
      </c>
      <c r="D32" s="29"/>
      <c r="E32" s="28"/>
      <c r="M32" s="38" t="n">
        <f aca="false">COUNTIF($A$9:$A$33,A32)</f>
        <v>1</v>
      </c>
      <c r="N32" s="0" t="str">
        <f aca="false">IF(COUNTIF($A$9:A32,A32)=1,"Keep","Duplicate")</f>
        <v>Keep</v>
      </c>
    </row>
    <row r="33" customFormat="false" ht="15" hidden="false" customHeight="false" outlineLevel="0" collapsed="false">
      <c r="A33" s="27" t="s">
        <v>264</v>
      </c>
      <c r="B33" s="27" t="s">
        <v>236</v>
      </c>
      <c r="C33" s="54" t="n">
        <v>277500</v>
      </c>
      <c r="D33" s="29"/>
      <c r="E33" s="28"/>
      <c r="M33" s="38" t="n">
        <f aca="false">COUNTIF($A$9:$A$33,A33)</f>
        <v>1</v>
      </c>
      <c r="N33" s="0" t="str">
        <f aca="false">IF(COUNTIF($A$9:A33,A33)=1,"Keep","Duplicate")</f>
        <v>Keep</v>
      </c>
    </row>
  </sheetData>
  <mergeCells count="3">
    <mergeCell ref="A1:K1"/>
    <mergeCell ref="A2:K2"/>
    <mergeCell ref="A3:K5"/>
  </mergeCells>
  <conditionalFormatting sqref="J9:J13">
    <cfRule type="expression" priority="2" aboveAverage="0" equalAverage="0" bottom="0" percent="0" rank="0" text="" dxfId="0">
      <formula>LEFT(J9,1)="✓"</formula>
    </cfRule>
    <cfRule type="expression" priority="3" aboveAverage="0" equalAverage="0" bottom="0" percent="0" rank="0" text="" dxfId="1">
      <formula>LEFT(J9,1)="✗"</formula>
    </cfRule>
    <cfRule type="expression" priority="4" aboveAverage="0" equalAverage="0" bottom="0" percent="0" rank="0" text="" dxfId="2">
      <formula>LEFT(J9,1)="✎"</formula>
    </cfRule>
    <cfRule type="expression" priority="5" aboveAverage="0" equalAverage="0" bottom="0" percent="0" rank="0" text="" dxfId="3">
      <formula>LEFT(J9,1)="◯"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38"/>
    <col collapsed="false" customWidth="true" hidden="true" outlineLevel="0" max="15" min="12" style="0" width="13"/>
  </cols>
  <sheetData>
    <row r="1" customFormat="false" ht="31.5" hidden="false" customHeight="true" outlineLevel="0" collapsed="false">
      <c r="A1" s="57" t="s">
        <v>265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customFormat="false" ht="19.5" hidden="false" customHeight="true" outlineLevel="0" collapsed="false">
      <c r="A2" s="58" t="s">
        <v>266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customFormat="false" ht="18.75" hidden="false" customHeight="true" outlineLevel="0" collapsed="false">
      <c r="A3" s="59" t="s">
        <v>267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customFormat="false" ht="18.75" hidden="false" customHeight="true" outlineLevel="0" collapsed="false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</row>
    <row r="5" customFormat="false" ht="18.75" hidden="false" customHeight="true" outlineLevel="0" collapsed="false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268</v>
      </c>
      <c r="B8" s="24" t="s">
        <v>269</v>
      </c>
      <c r="C8" s="24" t="s">
        <v>270</v>
      </c>
      <c r="D8" s="25" t="s">
        <v>271</v>
      </c>
      <c r="E8" s="25" t="s">
        <v>272</v>
      </c>
      <c r="G8" s="60" t="s">
        <v>14</v>
      </c>
      <c r="H8" s="60" t="s">
        <v>39</v>
      </c>
      <c r="I8" s="60" t="s">
        <v>40</v>
      </c>
      <c r="J8" s="60" t="s">
        <v>41</v>
      </c>
      <c r="K8" s="60" t="s">
        <v>42</v>
      </c>
    </row>
    <row r="9" customFormat="false" ht="33.75" hidden="false" customHeight="true" outlineLevel="0" collapsed="false">
      <c r="A9" s="27" t="s">
        <v>273</v>
      </c>
      <c r="B9" s="27" t="s">
        <v>274</v>
      </c>
      <c r="C9" s="27" t="s">
        <v>275</v>
      </c>
      <c r="D9" s="28"/>
      <c r="E9" s="28"/>
      <c r="G9" s="61" t="n">
        <v>1</v>
      </c>
      <c r="H9" s="31" t="s">
        <v>276</v>
      </c>
      <c r="I9" s="32" t="s">
        <v>97</v>
      </c>
      <c r="J9" s="33" t="str">
        <f aca="false">IF(COUNTA($D$9:$D$32)=0,"◯ Not attempted",IF(NOT(_xlfn.ISFORMULA(D9)),"✎ Use a formula",IFERROR(IF(SUMPRODUCT(--(UPPER(TRIM($D$9:$D$32&amp;""))=UPPER(TRIM($M$9:$M$32&amp;""))))=ROWS($D$9:$D$32),"✓ Correct","✗ "&amp;(ROWS($D$9:$D$32)-SUMPRODUCT(--(UPPER(TRIM($D$9:$D$32&amp;""))=UPPER(TRIM($M$9:$M$32&amp;"")))))&amp;" rows differ"),"✗ Check the column")))</f>
        <v>◯ Not attempted</v>
      </c>
      <c r="K9" s="34" t="s">
        <v>277</v>
      </c>
      <c r="M9" s="0" t="str">
        <f aca="false">PROPER(TRIM(A9))&amp;" "&amp;PROPER(TRIM(B9))</f>
        <v>Rahul Kulkarni</v>
      </c>
      <c r="N9" s="0" t="str">
        <f aca="false">UPPER(LEFT(TRIM(A9),1)&amp;TRIM(B9)&amp;"|"&amp;TRIM(C9))</f>
        <v>RKULKARNI|MUMBAI</v>
      </c>
    </row>
    <row r="10" customFormat="false" ht="33.75" hidden="false" customHeight="true" outlineLevel="0" collapsed="false">
      <c r="A10" s="35" t="s">
        <v>278</v>
      </c>
      <c r="B10" s="35" t="s">
        <v>279</v>
      </c>
      <c r="C10" s="35" t="s">
        <v>280</v>
      </c>
      <c r="D10" s="28"/>
      <c r="E10" s="28"/>
      <c r="G10" s="61" t="n">
        <v>2</v>
      </c>
      <c r="H10" s="31" t="s">
        <v>281</v>
      </c>
      <c r="I10" s="32" t="s">
        <v>102</v>
      </c>
      <c r="J10" s="33" t="str">
        <f aca="false">IF(COUNTA($E$9:$E$32)=0,"◯ Not attempted",IF(NOT(_xlfn.ISFORMULA(E9)),"✎ Use a formula",IFERROR(IF(SUMPRODUCT(--(UPPER(TRIM($E$9:$E$32&amp;""))=UPPER(TRIM($N$9:$N$32&amp;""))))=ROWS($E$9:$E$32),"✓ Correct","✗ "&amp;(ROWS($E$9:$E$32)-SUMPRODUCT(--(UPPER(TRIM($E$9:$E$32&amp;""))=UPPER(TRIM($N$9:$N$32&amp;"")))))&amp;" rows differ"),"✗ Check the column")))</f>
        <v>◯ Not attempted</v>
      </c>
      <c r="K10" s="34" t="s">
        <v>282</v>
      </c>
      <c r="M10" s="0" t="str">
        <f aca="false">PROPER(TRIM(A10))&amp;" "&amp;PROPER(TRIM(B10))</f>
        <v>Priya Gupta</v>
      </c>
      <c r="N10" s="0" t="str">
        <f aca="false">UPPER(LEFT(TRIM(A10),1)&amp;TRIM(B10)&amp;"|"&amp;TRIM(C10))</f>
        <v>PGUPTA|AHMEDABAD</v>
      </c>
    </row>
    <row r="11" customFormat="false" ht="33.75" hidden="false" customHeight="true" outlineLevel="0" collapsed="false">
      <c r="A11" s="27" t="s">
        <v>283</v>
      </c>
      <c r="B11" s="27" t="s">
        <v>284</v>
      </c>
      <c r="C11" s="27" t="s">
        <v>285</v>
      </c>
      <c r="D11" s="28"/>
      <c r="E11" s="28"/>
      <c r="G11" s="61" t="n">
        <v>3</v>
      </c>
      <c r="H11" s="31" t="s">
        <v>286</v>
      </c>
      <c r="I11" s="36"/>
      <c r="J11" s="33" t="str">
        <f aca="false">IF(ISBLANK(I11),"◯ Not attempted",IF(NOT(_xlfn.ISFORMULA(I11)),"✎ Use a formula",IF(ISNUMBER(I11),IF(ABS(I11-$L$11)&lt;0.005,"✓ Correct","✗ Check again"),"✗ Not a number")))</f>
        <v>◯ Not attempted</v>
      </c>
      <c r="K11" s="34" t="s">
        <v>287</v>
      </c>
      <c r="L11" s="37" t="n">
        <f aca="false">16</f>
        <v>16</v>
      </c>
      <c r="M11" s="0" t="str">
        <f aca="false">PROPER(TRIM(A11))&amp;" "&amp;PROPER(TRIM(B11))</f>
        <v>Amit Naik</v>
      </c>
      <c r="N11" s="0" t="str">
        <f aca="false">UPPER(LEFT(TRIM(A11),1)&amp;TRIM(B11)&amp;"|"&amp;TRIM(C11))</f>
        <v>ANAIK|DELHI</v>
      </c>
    </row>
    <row r="12" customFormat="false" ht="33.75" hidden="false" customHeight="true" outlineLevel="0" collapsed="false">
      <c r="A12" s="35" t="s">
        <v>288</v>
      </c>
      <c r="B12" s="35" t="s">
        <v>289</v>
      </c>
      <c r="C12" s="35" t="s">
        <v>290</v>
      </c>
      <c r="D12" s="28"/>
      <c r="E12" s="28"/>
      <c r="G12" s="61" t="n">
        <v>4</v>
      </c>
      <c r="H12" s="31" t="s">
        <v>291</v>
      </c>
      <c r="I12" s="62"/>
      <c r="J12" s="33" t="str">
        <f aca="false">IF(ISBLANK(I12),"◯ Not attempted",IF(NOT(_xlfn.ISFORMULA(I12)),"✎ Use a formula",IF(UPPER(TRIM(I12&amp;""))=UPPER(TRIM($L$12&amp;"")),"✓ Correct","✗ Check again")))</f>
        <v>◯ Not attempted</v>
      </c>
      <c r="K12" s="34" t="s">
        <v>292</v>
      </c>
      <c r="L12" s="0" t="str">
        <f aca="false">"Rahul Kulkarni, Priya Gupta, Amit Naik"</f>
        <v>Rahul Kulkarni, Priya Gupta, Amit Naik</v>
      </c>
      <c r="M12" s="0" t="str">
        <f aca="false">PROPER(TRIM(A12))&amp;" "&amp;PROPER(TRIM(B12))</f>
        <v>Sneha Rao</v>
      </c>
      <c r="N12" s="0" t="str">
        <f aca="false">UPPER(LEFT(TRIM(A12),1)&amp;TRIM(B12)&amp;"|"&amp;TRIM(C12))</f>
        <v>SRAO|PUNE</v>
      </c>
    </row>
    <row r="13" customFormat="false" ht="33.75" hidden="false" customHeight="true" outlineLevel="0" collapsed="false">
      <c r="A13" s="27" t="s">
        <v>293</v>
      </c>
      <c r="B13" s="27" t="s">
        <v>294</v>
      </c>
      <c r="C13" s="27" t="s">
        <v>295</v>
      </c>
      <c r="D13" s="28"/>
      <c r="E13" s="28"/>
      <c r="G13" s="61" t="n">
        <v>5</v>
      </c>
      <c r="H13" s="31" t="s">
        <v>296</v>
      </c>
      <c r="I13" s="36"/>
      <c r="J13" s="33" t="str">
        <f aca="false">IF(ISBLANK(I13),"◯ Not attempted",IF(NOT(_xlfn.ISFORMULA(I13)),"✎ Use a formula",IF(ISNUMBER(I13),IF(ABS(I13-$L$13)&lt;0.005,"✓ Correct","✗ Check again"),"✗ Not a number")))</f>
        <v>◯ Not attempted</v>
      </c>
      <c r="K13" s="34" t="s">
        <v>297</v>
      </c>
      <c r="L13" s="37" t="n">
        <f aca="false">3</f>
        <v>3</v>
      </c>
      <c r="M13" s="0" t="str">
        <f aca="false">PROPER(TRIM(A13))&amp;" "&amp;PROPER(TRIM(B13))</f>
        <v>Vikram Reddy</v>
      </c>
      <c r="N13" s="0" t="str">
        <f aca="false">UPPER(LEFT(TRIM(A13),1)&amp;TRIM(B13)&amp;"|"&amp;TRIM(C13))</f>
        <v>VREDDY|SURAT</v>
      </c>
    </row>
    <row r="14" customFormat="false" ht="15" hidden="false" customHeight="false" outlineLevel="0" collapsed="false">
      <c r="A14" s="35" t="s">
        <v>298</v>
      </c>
      <c r="B14" s="35" t="s">
        <v>299</v>
      </c>
      <c r="C14" s="35" t="s">
        <v>300</v>
      </c>
      <c r="D14" s="28"/>
      <c r="E14" s="28"/>
      <c r="M14" s="0" t="str">
        <f aca="false">PROPER(TRIM(A14))&amp;" "&amp;PROPER(TRIM(B14))</f>
        <v>Neha Verma</v>
      </c>
      <c r="N14" s="0" t="str">
        <f aca="false">UPPER(LEFT(TRIM(A14),1)&amp;TRIM(B14)&amp;"|"&amp;TRIM(C14))</f>
        <v>NVERMA|CHENNAI</v>
      </c>
    </row>
    <row r="15" customFormat="false" ht="15" hidden="false" customHeight="false" outlineLevel="0" collapsed="false">
      <c r="A15" s="27" t="s">
        <v>301</v>
      </c>
      <c r="B15" s="27" t="s">
        <v>302</v>
      </c>
      <c r="C15" s="27" t="s">
        <v>303</v>
      </c>
      <c r="D15" s="28"/>
      <c r="E15" s="28"/>
      <c r="M15" s="0" t="str">
        <f aca="false">PROPER(TRIM(A15))&amp;" "&amp;PROPER(TRIM(B15))</f>
        <v>Arjun Joshi</v>
      </c>
      <c r="N15" s="0" t="str">
        <f aca="false">UPPER(LEFT(TRIM(A15),1)&amp;TRIM(B15)&amp;"|"&amp;TRIM(C15))</f>
        <v>AJOSHI|KOCHI</v>
      </c>
    </row>
    <row r="16" customFormat="false" ht="15" hidden="false" customHeight="false" outlineLevel="0" collapsed="false">
      <c r="A16" s="35" t="s">
        <v>304</v>
      </c>
      <c r="B16" s="35" t="s">
        <v>305</v>
      </c>
      <c r="C16" s="35" t="s">
        <v>306</v>
      </c>
      <c r="D16" s="28"/>
      <c r="E16" s="28"/>
      <c r="M16" s="0" t="str">
        <f aca="false">PROPER(TRIM(A16))&amp;" "&amp;PROPER(TRIM(B16))</f>
        <v>Kavya Chopra</v>
      </c>
      <c r="N16" s="0" t="str">
        <f aca="false">UPPER(LEFT(TRIM(A16),1)&amp;TRIM(B16)&amp;"|"&amp;TRIM(C16))</f>
        <v>KCHOPRA|NAGPUR</v>
      </c>
    </row>
    <row r="17" customFormat="false" ht="15" hidden="false" customHeight="false" outlineLevel="0" collapsed="false">
      <c r="A17" s="27" t="s">
        <v>307</v>
      </c>
      <c r="B17" s="27" t="s">
        <v>308</v>
      </c>
      <c r="C17" s="27" t="s">
        <v>309</v>
      </c>
      <c r="D17" s="28"/>
      <c r="E17" s="28"/>
      <c r="M17" s="0" t="str">
        <f aca="false">PROPER(TRIM(A17))&amp;" "&amp;PROPER(TRIM(B17))</f>
        <v>Rohit Ghosh</v>
      </c>
      <c r="N17" s="0" t="str">
        <f aca="false">UPPER(LEFT(TRIM(A17),1)&amp;TRIM(B17)&amp;"|"&amp;TRIM(C17))</f>
        <v>RGHOSH|BENGALURU</v>
      </c>
    </row>
    <row r="18" customFormat="false" ht="15" hidden="false" customHeight="false" outlineLevel="0" collapsed="false">
      <c r="A18" s="35" t="s">
        <v>310</v>
      </c>
      <c r="B18" s="35" t="s">
        <v>311</v>
      </c>
      <c r="C18" s="35" t="s">
        <v>312</v>
      </c>
      <c r="D18" s="28"/>
      <c r="E18" s="28"/>
      <c r="M18" s="0" t="str">
        <f aca="false">PROPER(TRIM(A18))&amp;" "&amp;PROPER(TRIM(B18))</f>
        <v>Ananya Nair</v>
      </c>
      <c r="N18" s="0" t="str">
        <f aca="false">UPPER(LEFT(TRIM(A18),1)&amp;TRIM(B18)&amp;"|"&amp;TRIM(C18))</f>
        <v>ANAIR|INDORE</v>
      </c>
    </row>
    <row r="19" customFormat="false" ht="15" hidden="false" customHeight="false" outlineLevel="0" collapsed="false">
      <c r="A19" s="27" t="s">
        <v>313</v>
      </c>
      <c r="B19" s="27" t="s">
        <v>314</v>
      </c>
      <c r="C19" s="27" t="s">
        <v>275</v>
      </c>
      <c r="D19" s="28"/>
      <c r="E19" s="28"/>
      <c r="M19" s="0" t="str">
        <f aca="false">PROPER(TRIM(A19))&amp;" "&amp;PROPER(TRIM(B19))</f>
        <v>Siddharth Pillai</v>
      </c>
      <c r="N19" s="0" t="str">
        <f aca="false">UPPER(LEFT(TRIM(A19),1)&amp;TRIM(B19)&amp;"|"&amp;TRIM(C19))</f>
        <v>SPILLAI|MUMBAI</v>
      </c>
    </row>
    <row r="20" customFormat="false" ht="15" hidden="false" customHeight="false" outlineLevel="0" collapsed="false">
      <c r="A20" s="35" t="s">
        <v>315</v>
      </c>
      <c r="B20" s="35" t="s">
        <v>316</v>
      </c>
      <c r="C20" s="35" t="s">
        <v>280</v>
      </c>
      <c r="D20" s="28"/>
      <c r="E20" s="28"/>
      <c r="M20" s="0" t="str">
        <f aca="false">PROPER(TRIM(A20))&amp;" "&amp;PROPER(TRIM(B20))</f>
        <v>Ishita Sharma</v>
      </c>
      <c r="N20" s="0" t="str">
        <f aca="false">UPPER(LEFT(TRIM(A20),1)&amp;TRIM(B20)&amp;"|"&amp;TRIM(C20))</f>
        <v>ISHARMA|AHMEDABAD</v>
      </c>
    </row>
    <row r="21" customFormat="false" ht="15" hidden="false" customHeight="false" outlineLevel="0" collapsed="false">
      <c r="A21" s="27" t="s">
        <v>317</v>
      </c>
      <c r="B21" s="27" t="s">
        <v>318</v>
      </c>
      <c r="C21" s="27" t="s">
        <v>285</v>
      </c>
      <c r="D21" s="28"/>
      <c r="E21" s="28"/>
      <c r="M21" s="0" t="str">
        <f aca="false">PROPER(TRIM(A21))&amp;" "&amp;PROPER(TRIM(B21))</f>
        <v>Manish Desai</v>
      </c>
      <c r="N21" s="0" t="str">
        <f aca="false">UPPER(LEFT(TRIM(A21),1)&amp;TRIM(B21)&amp;"|"&amp;TRIM(C21))</f>
        <v>MDESAI|DELHI</v>
      </c>
    </row>
    <row r="22" customFormat="false" ht="15" hidden="false" customHeight="false" outlineLevel="0" collapsed="false">
      <c r="A22" s="35" t="s">
        <v>319</v>
      </c>
      <c r="B22" s="35" t="s">
        <v>320</v>
      </c>
      <c r="C22" s="35" t="s">
        <v>290</v>
      </c>
      <c r="D22" s="28"/>
      <c r="E22" s="28"/>
      <c r="M22" s="0" t="str">
        <f aca="false">PROPER(TRIM(A22))&amp;" "&amp;PROPER(TRIM(B22))</f>
        <v>Pooja Shetty</v>
      </c>
      <c r="N22" s="0" t="str">
        <f aca="false">UPPER(LEFT(TRIM(A22),1)&amp;TRIM(B22)&amp;"|"&amp;TRIM(C22))</f>
        <v>PSHETTY|PUNE</v>
      </c>
    </row>
    <row r="23" customFormat="false" ht="15" hidden="false" customHeight="false" outlineLevel="0" collapsed="false">
      <c r="A23" s="27" t="s">
        <v>321</v>
      </c>
      <c r="B23" s="27" t="s">
        <v>322</v>
      </c>
      <c r="C23" s="27" t="s">
        <v>295</v>
      </c>
      <c r="D23" s="28"/>
      <c r="E23" s="28"/>
      <c r="M23" s="0" t="str">
        <f aca="false">PROPER(TRIM(A23))&amp;" "&amp;PROPER(TRIM(B23))</f>
        <v>Karan Iyer</v>
      </c>
      <c r="N23" s="0" t="str">
        <f aca="false">UPPER(LEFT(TRIM(A23),1)&amp;TRIM(B23)&amp;"|"&amp;TRIM(C23))</f>
        <v>KIYER|SURAT</v>
      </c>
    </row>
    <row r="24" customFormat="false" ht="15" hidden="false" customHeight="false" outlineLevel="0" collapsed="false">
      <c r="A24" s="35" t="s">
        <v>323</v>
      </c>
      <c r="B24" s="35" t="s">
        <v>324</v>
      </c>
      <c r="C24" s="35" t="s">
        <v>300</v>
      </c>
      <c r="D24" s="28"/>
      <c r="E24" s="28"/>
      <c r="M24" s="0" t="str">
        <f aca="false">PROPER(TRIM(A24))&amp;" "&amp;PROPER(TRIM(B24))</f>
        <v>Divya Mehta</v>
      </c>
      <c r="N24" s="0" t="str">
        <f aca="false">UPPER(LEFT(TRIM(A24),1)&amp;TRIM(B24)&amp;"|"&amp;TRIM(C24))</f>
        <v>DMEHTA|CHENNAI</v>
      </c>
    </row>
    <row r="25" customFormat="false" ht="15" hidden="false" customHeight="false" outlineLevel="0" collapsed="false">
      <c r="A25" s="27" t="s">
        <v>325</v>
      </c>
      <c r="B25" s="27" t="s">
        <v>326</v>
      </c>
      <c r="C25" s="27" t="s">
        <v>303</v>
      </c>
      <c r="D25" s="28"/>
      <c r="E25" s="28"/>
      <c r="M25" s="0" t="str">
        <f aca="false">PROPER(TRIM(A25))&amp;" "&amp;PROPER(TRIM(B25))</f>
        <v>Nikhil Malhotra</v>
      </c>
      <c r="N25" s="0" t="str">
        <f aca="false">UPPER(LEFT(TRIM(A25),1)&amp;TRIM(B25)&amp;"|"&amp;TRIM(C25))</f>
        <v>NMALHOTRA|KOCHI</v>
      </c>
    </row>
    <row r="26" customFormat="false" ht="15" hidden="false" customHeight="false" outlineLevel="0" collapsed="false">
      <c r="A26" s="35" t="s">
        <v>327</v>
      </c>
      <c r="B26" s="35" t="s">
        <v>328</v>
      </c>
      <c r="C26" s="35" t="s">
        <v>306</v>
      </c>
      <c r="D26" s="28"/>
      <c r="E26" s="28"/>
      <c r="M26" s="0" t="str">
        <f aca="false">PROPER(TRIM(A26))&amp;" "&amp;PROPER(TRIM(B26))</f>
        <v>Meghna Patel</v>
      </c>
      <c r="N26" s="0" t="str">
        <f aca="false">UPPER(LEFT(TRIM(A26),1)&amp;TRIM(B26)&amp;"|"&amp;TRIM(C26))</f>
        <v>MPATEL|NAGPUR</v>
      </c>
    </row>
    <row r="27" customFormat="false" ht="15" hidden="false" customHeight="false" outlineLevel="0" collapsed="false">
      <c r="A27" s="27" t="s">
        <v>329</v>
      </c>
      <c r="B27" s="27" t="s">
        <v>330</v>
      </c>
      <c r="C27" s="27" t="s">
        <v>309</v>
      </c>
      <c r="D27" s="28"/>
      <c r="E27" s="28"/>
      <c r="M27" s="0" t="str">
        <f aca="false">PROPER(TRIM(A27))&amp;" "&amp;PROPER(TRIM(B27))</f>
        <v>Aditya Banerjee</v>
      </c>
      <c r="N27" s="0" t="str">
        <f aca="false">UPPER(LEFT(TRIM(A27),1)&amp;TRIM(B27)&amp;"|"&amp;TRIM(C27))</f>
        <v>ABANERJEE|BENGALURU</v>
      </c>
    </row>
    <row r="28" customFormat="false" ht="15" hidden="false" customHeight="false" outlineLevel="0" collapsed="false">
      <c r="A28" s="35" t="s">
        <v>331</v>
      </c>
      <c r="B28" s="35" t="s">
        <v>332</v>
      </c>
      <c r="C28" s="35" t="s">
        <v>312</v>
      </c>
      <c r="D28" s="28"/>
      <c r="E28" s="28"/>
      <c r="M28" s="0" t="str">
        <f aca="false">PROPER(TRIM(A28))&amp;" "&amp;PROPER(TRIM(B28))</f>
        <v>Shreya Bose</v>
      </c>
      <c r="N28" s="0" t="str">
        <f aca="false">UPPER(LEFT(TRIM(A28),1)&amp;TRIM(B28)&amp;"|"&amp;TRIM(C28))</f>
        <v>SBOSE|INDORE</v>
      </c>
    </row>
    <row r="29" customFormat="false" ht="15" hidden="false" customHeight="false" outlineLevel="0" collapsed="false">
      <c r="A29" s="27" t="s">
        <v>333</v>
      </c>
      <c r="B29" s="27" t="s">
        <v>334</v>
      </c>
      <c r="C29" s="27" t="s">
        <v>275</v>
      </c>
      <c r="D29" s="28"/>
      <c r="E29" s="28"/>
      <c r="M29" s="0" t="str">
        <f aca="false">PROPER(TRIM(A29))&amp;" "&amp;PROPER(TRIM(B29))</f>
        <v>Rahul Kulkarni</v>
      </c>
      <c r="N29" s="0" t="str">
        <f aca="false">UPPER(LEFT(TRIM(A29),1)&amp;TRIM(B29)&amp;"|"&amp;TRIM(C29))</f>
        <v>RKULKARNI|MUMBAI</v>
      </c>
    </row>
    <row r="30" customFormat="false" ht="15" hidden="false" customHeight="false" outlineLevel="0" collapsed="false">
      <c r="A30" s="35" t="s">
        <v>335</v>
      </c>
      <c r="B30" s="35" t="s">
        <v>336</v>
      </c>
      <c r="C30" s="35" t="s">
        <v>280</v>
      </c>
      <c r="D30" s="28"/>
      <c r="E30" s="28"/>
      <c r="M30" s="0" t="str">
        <f aca="false">PROPER(TRIM(A30))&amp;" "&amp;PROPER(TRIM(B30))</f>
        <v>Priya Gupta</v>
      </c>
      <c r="N30" s="0" t="str">
        <f aca="false">UPPER(LEFT(TRIM(A30),1)&amp;TRIM(B30)&amp;"|"&amp;TRIM(C30))</f>
        <v>PGUPTA|AHMEDABAD</v>
      </c>
    </row>
    <row r="31" customFormat="false" ht="15" hidden="false" customHeight="false" outlineLevel="0" collapsed="false">
      <c r="A31" s="27" t="s">
        <v>337</v>
      </c>
      <c r="B31" s="27" t="s">
        <v>338</v>
      </c>
      <c r="C31" s="27" t="s">
        <v>285</v>
      </c>
      <c r="D31" s="28"/>
      <c r="E31" s="28"/>
      <c r="M31" s="0" t="str">
        <f aca="false">PROPER(TRIM(A31))&amp;" "&amp;PROPER(TRIM(B31))</f>
        <v>Amit Naik</v>
      </c>
      <c r="N31" s="0" t="str">
        <f aca="false">UPPER(LEFT(TRIM(A31),1)&amp;TRIM(B31)&amp;"|"&amp;TRIM(C31))</f>
        <v>ANAIK|DELHI</v>
      </c>
    </row>
    <row r="32" customFormat="false" ht="15" hidden="false" customHeight="false" outlineLevel="0" collapsed="false">
      <c r="A32" s="35" t="s">
        <v>339</v>
      </c>
      <c r="B32" s="35" t="s">
        <v>340</v>
      </c>
      <c r="C32" s="35" t="s">
        <v>290</v>
      </c>
      <c r="D32" s="28"/>
      <c r="E32" s="28"/>
      <c r="M32" s="0" t="str">
        <f aca="false">PROPER(TRIM(A32))&amp;" "&amp;PROPER(TRIM(B32))</f>
        <v>Sneha Rao</v>
      </c>
      <c r="N32" s="0" t="str">
        <f aca="false">UPPER(LEFT(TRIM(A32),1)&amp;TRIM(B32)&amp;"|"&amp;TRIM(C32))</f>
        <v>SRAO|PUNE</v>
      </c>
    </row>
  </sheetData>
  <mergeCells count="3">
    <mergeCell ref="A1:K1"/>
    <mergeCell ref="A2:K2"/>
    <mergeCell ref="A3:K5"/>
  </mergeCells>
  <conditionalFormatting sqref="J9:J13">
    <cfRule type="expression" priority="2" aboveAverage="0" equalAverage="0" bottom="0" percent="0" rank="0" text="" dxfId="0">
      <formula>LEFT(J9,1)="✓"</formula>
    </cfRule>
    <cfRule type="expression" priority="3" aboveAverage="0" equalAverage="0" bottom="0" percent="0" rank="0" text="" dxfId="1">
      <formula>LEFT(J9,1)="✗"</formula>
    </cfRule>
    <cfRule type="expression" priority="4" aboveAverage="0" equalAverage="0" bottom="0" percent="0" rank="0" text="" dxfId="2">
      <formula>LEFT(J9,1)="✎"</formula>
    </cfRule>
    <cfRule type="expression" priority="5" aboveAverage="0" equalAverage="0" bottom="0" percent="0" rank="0" text="" dxfId="3">
      <formula>LEFT(J9,1)="◯"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1D48"/>
    <pageSetUpPr fitToPage="tru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38"/>
    <col collapsed="false" customWidth="true" hidden="true" outlineLevel="0" max="14" min="12" style="0" width="13"/>
  </cols>
  <sheetData>
    <row r="1" customFormat="false" ht="31.5" hidden="false" customHeight="true" outlineLevel="0" collapsed="false">
      <c r="A1" s="63" t="s">
        <v>341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customFormat="false" ht="19.5" hidden="false" customHeight="true" outlineLevel="0" collapsed="false">
      <c r="A2" s="64" t="s">
        <v>342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customFormat="false" ht="18.75" hidden="false" customHeight="true" outlineLevel="0" collapsed="false">
      <c r="A3" s="65" t="s">
        <v>343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4" customFormat="false" ht="18.75" hidden="false" customHeight="true" outlineLevel="0" collapsed="false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</row>
    <row r="5" customFormat="false" ht="18.75" hidden="false" customHeight="true" outlineLevel="0" collapsed="false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344</v>
      </c>
      <c r="B8" s="24" t="s">
        <v>86</v>
      </c>
      <c r="C8" s="24" t="s">
        <v>345</v>
      </c>
      <c r="D8" s="24" t="s">
        <v>346</v>
      </c>
      <c r="E8" s="25" t="s">
        <v>347</v>
      </c>
      <c r="G8" s="66" t="s">
        <v>14</v>
      </c>
      <c r="H8" s="66" t="s">
        <v>39</v>
      </c>
      <c r="I8" s="66" t="s">
        <v>40</v>
      </c>
      <c r="J8" s="66" t="s">
        <v>41</v>
      </c>
      <c r="K8" s="66" t="s">
        <v>42</v>
      </c>
    </row>
    <row r="9" customFormat="false" ht="75" hidden="false" customHeight="true" outlineLevel="0" collapsed="false">
      <c r="A9" s="27" t="s">
        <v>43</v>
      </c>
      <c r="B9" s="27" t="s">
        <v>91</v>
      </c>
      <c r="C9" s="27" t="s">
        <v>348</v>
      </c>
      <c r="D9" s="27" t="s">
        <v>349</v>
      </c>
      <c r="E9" s="28"/>
      <c r="G9" s="67" t="n">
        <v>1</v>
      </c>
      <c r="H9" s="31" t="s">
        <v>350</v>
      </c>
      <c r="I9" s="32" t="s">
        <v>102</v>
      </c>
      <c r="J9" s="33" t="str">
        <f aca="false">IF(COUNTA($E$9:$E$34)=0,"◯ Not attempted",IF(NOT(_xlfn.ISFORMULA(E9)),"✎ Use a formula",IFERROR(IF(SUMPRODUCT(--(UPPER(TRIM($E$9:$E$34&amp;""))=UPPER(TRIM($M$9:$M$34&amp;""))))=ROWS($E$9:$E$34),"✓ Correct","✗ "&amp;(ROWS($E$9:$E$34)-SUMPRODUCT(--(UPPER(TRIM($E$9:$E$34&amp;""))=UPPER(TRIM($M$9:$M$34&amp;"")))))&amp;" rows differ"),"✗ Check the column")))</f>
        <v>◯ Not attempted</v>
      </c>
      <c r="K9" s="34" t="s">
        <v>351</v>
      </c>
      <c r="M9" s="0" t="str">
        <f aca="false">_xlfn.IFS(LEN(TRIM(A9))=0,"Name missing",ISERROR(FIND("@",B9)),"Bad email",LEN(TRIM(C9))&lt;&gt;10,"Bad phone",LEN(TRIM(D9))&lt;&gt;15,"Bad GSTIN",TRUE(),"OK")</f>
        <v>OK</v>
      </c>
    </row>
    <row r="10" customFormat="false" ht="33.75" hidden="false" customHeight="true" outlineLevel="0" collapsed="false">
      <c r="A10" s="35" t="s">
        <v>352</v>
      </c>
      <c r="B10" s="35" t="s">
        <v>95</v>
      </c>
      <c r="C10" s="35" t="s">
        <v>353</v>
      </c>
      <c r="D10" s="35" t="s">
        <v>354</v>
      </c>
      <c r="E10" s="28"/>
      <c r="G10" s="67" t="n">
        <v>2</v>
      </c>
      <c r="H10" s="31" t="s">
        <v>355</v>
      </c>
      <c r="I10" s="36"/>
      <c r="J10" s="33" t="str">
        <f aca="false">IF(ISBLANK(I10),"◯ Not attempted",IF(NOT(_xlfn.ISFORMULA(I10)),"✎ Use a formula",IF(ISNUMBER(I10),IF(ABS(I10-$L$10)&lt;0.005,"✓ Correct","✗ Check again"),"✗ Not a number")))</f>
        <v>◯ Not attempted</v>
      </c>
      <c r="K10" s="34" t="s">
        <v>356</v>
      </c>
      <c r="L10" s="37" t="n">
        <f aca="false">15</f>
        <v>15</v>
      </c>
      <c r="M10" s="0" t="str">
        <f aca="false">_xlfn.IFS(LEN(TRIM(A10))=0,"Name missing",ISERROR(FIND("@",B10)),"Bad email",LEN(TRIM(C10))&lt;&gt;10,"Bad phone",LEN(TRIM(D10))&lt;&gt;15,"Bad GSTIN",TRUE(),"OK")</f>
        <v>OK</v>
      </c>
    </row>
    <row r="11" customFormat="false" ht="33.75" hidden="false" customHeight="true" outlineLevel="0" collapsed="false">
      <c r="A11" s="27" t="s">
        <v>357</v>
      </c>
      <c r="B11" s="27" t="s">
        <v>358</v>
      </c>
      <c r="C11" s="27" t="s">
        <v>359</v>
      </c>
      <c r="D11" s="27" t="s">
        <v>360</v>
      </c>
      <c r="E11" s="28"/>
      <c r="G11" s="67" t="n">
        <v>3</v>
      </c>
      <c r="H11" s="31" t="s">
        <v>361</v>
      </c>
      <c r="I11" s="36"/>
      <c r="J11" s="33" t="str">
        <f aca="false">IF(ISBLANK(I11),"◯ Not attempted",IF(NOT(_xlfn.ISFORMULA(I11)),"✎ Use a formula",IF(ISNUMBER(I11),IF(ABS(I11-$L$11)&lt;0.005,"✓ Correct","✗ Check again"),"✗ Not a number")))</f>
        <v>◯ Not attempted</v>
      </c>
      <c r="K11" s="34" t="s">
        <v>362</v>
      </c>
      <c r="L11" s="37" t="n">
        <f aca="false">3</f>
        <v>3</v>
      </c>
      <c r="M11" s="0" t="str">
        <f aca="false">_xlfn.IFS(LEN(TRIM(A11))=0,"Name missing",ISERROR(FIND("@",B11)),"Bad email",LEN(TRIM(C11))&lt;&gt;10,"Bad phone",LEN(TRIM(D11))&lt;&gt;15,"Bad GSTIN",TRUE(),"OK")</f>
        <v>Bad email</v>
      </c>
    </row>
    <row r="12" customFormat="false" ht="33.75" hidden="false" customHeight="true" outlineLevel="0" collapsed="false">
      <c r="A12" s="35" t="s">
        <v>363</v>
      </c>
      <c r="B12" s="35" t="s">
        <v>105</v>
      </c>
      <c r="C12" s="35" t="s">
        <v>364</v>
      </c>
      <c r="D12" s="35" t="s">
        <v>365</v>
      </c>
      <c r="E12" s="28"/>
      <c r="G12" s="67" t="n">
        <v>4</v>
      </c>
      <c r="H12" s="31" t="s">
        <v>366</v>
      </c>
      <c r="I12" s="36"/>
      <c r="J12" s="33" t="str">
        <f aca="false">IF(ISBLANK(I12),"◯ Not attempted",IF(NOT(_xlfn.ISFORMULA(I12)),"✎ Use a formula",IF(ISNUMBER(I12),IF(ABS(I12-$L$12)&lt;0.005,"✓ Correct","✗ Check again"),"✗ Not a number")))</f>
        <v>◯ Not attempted</v>
      </c>
      <c r="K12" s="34" t="s">
        <v>367</v>
      </c>
      <c r="L12" s="37" t="n">
        <f aca="false">11</f>
        <v>11</v>
      </c>
      <c r="M12" s="0" t="str">
        <f aca="false">_xlfn.IFS(LEN(TRIM(A12))=0,"Name missing",ISERROR(FIND("@",B12)),"Bad email",LEN(TRIM(C12))&lt;&gt;10,"Bad phone",LEN(TRIM(D12))&lt;&gt;15,"Bad GSTIN",TRUE(),"OK")</f>
        <v>OK</v>
      </c>
    </row>
    <row r="13" customFormat="false" ht="33.75" hidden="false" customHeight="true" outlineLevel="0" collapsed="false">
      <c r="A13" s="27" t="s">
        <v>78</v>
      </c>
      <c r="B13" s="27" t="s">
        <v>109</v>
      </c>
      <c r="C13" s="27" t="s">
        <v>368</v>
      </c>
      <c r="D13" s="27" t="s">
        <v>369</v>
      </c>
      <c r="E13" s="28"/>
      <c r="G13" s="67" t="n">
        <v>5</v>
      </c>
      <c r="H13" s="31" t="s">
        <v>370</v>
      </c>
      <c r="I13" s="62"/>
      <c r="J13" s="33" t="str">
        <f aca="false">IF(ISBLANK(I13),"◯ Not attempted",IF(NOT(_xlfn.ISFORMULA(I13)),"✎ Use a formula",IF(UPPER(TRIM(I13&amp;""))=UPPER(TRIM($L$13&amp;"")),"✓ Correct","✗ Check again")))</f>
        <v>◯ Not attempted</v>
      </c>
      <c r="K13" s="34" t="s">
        <v>371</v>
      </c>
      <c r="L13" s="0" t="str">
        <f aca="false">"amit.naik.gmail.com"</f>
        <v>amit.naik.gmail.com</v>
      </c>
      <c r="M13" s="0" t="str">
        <f aca="false">_xlfn.IFS(LEN(TRIM(A13))=0,"Name missing",ISERROR(FIND("@",B13)),"Bad email",LEN(TRIM(C13))&lt;&gt;10,"Bad phone",LEN(TRIM(D13))&lt;&gt;15,"Bad GSTIN",TRUE(),"OK")</f>
        <v>Bad phone</v>
      </c>
    </row>
    <row r="14" customFormat="false" ht="33.75" hidden="false" customHeight="true" outlineLevel="0" collapsed="false">
      <c r="A14" s="35" t="s">
        <v>372</v>
      </c>
      <c r="B14" s="35" t="s">
        <v>113</v>
      </c>
      <c r="C14" s="35" t="s">
        <v>373</v>
      </c>
      <c r="D14" s="35" t="s">
        <v>374</v>
      </c>
      <c r="E14" s="28"/>
      <c r="G14" s="67" t="n">
        <v>6</v>
      </c>
      <c r="H14" s="31" t="s">
        <v>375</v>
      </c>
      <c r="I14" s="68"/>
      <c r="J14" s="33" t="str">
        <f aca="false">IF(ISBLANK(I14),"◯ Not attempted",IF(NOT(_xlfn.ISFORMULA(I14)),"✎ Use a formula",IF(ISNUMBER(I14),IF(ABS(I14-$L$14)&lt;0.0005,"✓ Correct","✗ Check again"),"✗ Not a number")))</f>
        <v>◯ Not attempted</v>
      </c>
      <c r="K14" s="34" t="s">
        <v>376</v>
      </c>
      <c r="L14" s="69" t="n">
        <f aca="false">0.576923</f>
        <v>0.576923</v>
      </c>
      <c r="M14" s="0" t="str">
        <f aca="false">_xlfn.IFS(LEN(TRIM(A14))=0,"Name missing",ISERROR(FIND("@",B14)),"Bad email",LEN(TRIM(C14))&lt;&gt;10,"Bad phone",LEN(TRIM(D14))&lt;&gt;15,"Bad GSTIN",TRUE(),"OK")</f>
        <v>OK</v>
      </c>
    </row>
    <row r="15" customFormat="false" ht="15" hidden="false" customHeight="false" outlineLevel="0" collapsed="false">
      <c r="A15" s="27" t="s">
        <v>377</v>
      </c>
      <c r="B15" s="27" t="s">
        <v>117</v>
      </c>
      <c r="C15" s="27" t="s">
        <v>378</v>
      </c>
      <c r="D15" s="27" t="s">
        <v>379</v>
      </c>
      <c r="E15" s="28"/>
      <c r="M15" s="0" t="str">
        <f aca="false">_xlfn.IFS(LEN(TRIM(A15))=0,"Name missing",ISERROR(FIND("@",B15)),"Bad email",LEN(TRIM(C15))&lt;&gt;10,"Bad phone",LEN(TRIM(D15))&lt;&gt;15,"Bad GSTIN",TRUE(),"OK")</f>
        <v>Name missing</v>
      </c>
    </row>
    <row r="16" customFormat="false" ht="15" hidden="false" customHeight="false" outlineLevel="0" collapsed="false">
      <c r="A16" s="35" t="s">
        <v>62</v>
      </c>
      <c r="B16" s="35" t="s">
        <v>119</v>
      </c>
      <c r="C16" s="35" t="s">
        <v>380</v>
      </c>
      <c r="D16" s="35" t="s">
        <v>381</v>
      </c>
      <c r="E16" s="28"/>
      <c r="M16" s="0" t="str">
        <f aca="false">_xlfn.IFS(LEN(TRIM(A16))=0,"Name missing",ISERROR(FIND("@",B16)),"Bad email",LEN(TRIM(C16))&lt;&gt;10,"Bad phone",LEN(TRIM(D16))&lt;&gt;15,"Bad GSTIN",TRUE(),"OK")</f>
        <v>OK</v>
      </c>
    </row>
    <row r="17" customFormat="false" ht="15" hidden="false" customHeight="false" outlineLevel="0" collapsed="false">
      <c r="A17" s="27" t="s">
        <v>382</v>
      </c>
      <c r="B17" s="27" t="s">
        <v>121</v>
      </c>
      <c r="C17" s="27" t="s">
        <v>383</v>
      </c>
      <c r="D17" s="27" t="s">
        <v>384</v>
      </c>
      <c r="E17" s="28"/>
      <c r="M17" s="0" t="str">
        <f aca="false">_xlfn.IFS(LEN(TRIM(A17))=0,"Name missing",ISERROR(FIND("@",B17)),"Bad email",LEN(TRIM(C17))&lt;&gt;10,"Bad phone",LEN(TRIM(D17))&lt;&gt;15,"Bad GSTIN",TRUE(),"OK")</f>
        <v>Bad GSTIN</v>
      </c>
    </row>
    <row r="18" customFormat="false" ht="15" hidden="false" customHeight="false" outlineLevel="0" collapsed="false">
      <c r="A18" s="35" t="s">
        <v>385</v>
      </c>
      <c r="B18" s="35" t="s">
        <v>123</v>
      </c>
      <c r="C18" s="35" t="s">
        <v>386</v>
      </c>
      <c r="D18" s="35" t="s">
        <v>387</v>
      </c>
      <c r="E18" s="28"/>
      <c r="M18" s="0" t="str">
        <f aca="false">_xlfn.IFS(LEN(TRIM(A18))=0,"Name missing",ISERROR(FIND("@",B18)),"Bad email",LEN(TRIM(C18))&lt;&gt;10,"Bad phone",LEN(TRIM(D18))&lt;&gt;15,"Bad GSTIN",TRUE(),"OK")</f>
        <v>OK</v>
      </c>
    </row>
    <row r="19" customFormat="false" ht="15" hidden="false" customHeight="false" outlineLevel="0" collapsed="false">
      <c r="A19" s="27" t="s">
        <v>65</v>
      </c>
      <c r="B19" s="27" t="s">
        <v>125</v>
      </c>
      <c r="C19" s="27" t="s">
        <v>388</v>
      </c>
      <c r="D19" s="27" t="s">
        <v>389</v>
      </c>
      <c r="E19" s="28"/>
      <c r="M19" s="0" t="str">
        <f aca="false">_xlfn.IFS(LEN(TRIM(A19))=0,"Name missing",ISERROR(FIND("@",B19)),"Bad email",LEN(TRIM(C19))&lt;&gt;10,"Bad phone",LEN(TRIM(D19))&lt;&gt;15,"Bad GSTIN",TRUE(),"OK")</f>
        <v>OK</v>
      </c>
    </row>
    <row r="20" customFormat="false" ht="15" hidden="false" customHeight="false" outlineLevel="0" collapsed="false">
      <c r="A20" s="35" t="s">
        <v>390</v>
      </c>
      <c r="B20" s="35" t="s">
        <v>391</v>
      </c>
      <c r="C20" s="35" t="s">
        <v>392</v>
      </c>
      <c r="D20" s="35" t="s">
        <v>393</v>
      </c>
      <c r="E20" s="28"/>
      <c r="M20" s="0" t="str">
        <f aca="false">_xlfn.IFS(LEN(TRIM(A20))=0,"Name missing",ISERROR(FIND("@",B20)),"Bad email",LEN(TRIM(C20))&lt;&gt;10,"Bad phone",LEN(TRIM(D20))&lt;&gt;15,"Bad GSTIN",TRUE(),"OK")</f>
        <v>Bad email</v>
      </c>
    </row>
    <row r="21" customFormat="false" ht="15" hidden="false" customHeight="false" outlineLevel="0" collapsed="false">
      <c r="A21" s="27" t="s">
        <v>394</v>
      </c>
      <c r="B21" s="27" t="s">
        <v>129</v>
      </c>
      <c r="C21" s="27" t="s">
        <v>395</v>
      </c>
      <c r="D21" s="27" t="s">
        <v>396</v>
      </c>
      <c r="E21" s="28"/>
      <c r="M21" s="0" t="str">
        <f aca="false">_xlfn.IFS(LEN(TRIM(A21))=0,"Name missing",ISERROR(FIND("@",B21)),"Bad email",LEN(TRIM(C21))&lt;&gt;10,"Bad phone",LEN(TRIM(D21))&lt;&gt;15,"Bad GSTIN",TRUE(),"OK")</f>
        <v>OK</v>
      </c>
    </row>
    <row r="22" customFormat="false" ht="15" hidden="false" customHeight="false" outlineLevel="0" collapsed="false">
      <c r="A22" s="35" t="s">
        <v>397</v>
      </c>
      <c r="B22" s="35" t="s">
        <v>131</v>
      </c>
      <c r="C22" s="35" t="s">
        <v>398</v>
      </c>
      <c r="D22" s="35" t="s">
        <v>399</v>
      </c>
      <c r="E22" s="28"/>
      <c r="M22" s="0" t="str">
        <f aca="false">_xlfn.IFS(LEN(TRIM(A22))=0,"Name missing",ISERROR(FIND("@",B22)),"Bad email",LEN(TRIM(C22))&lt;&gt;10,"Bad phone",LEN(TRIM(D22))&lt;&gt;15,"Bad GSTIN",TRUE(),"OK")</f>
        <v>Bad phone</v>
      </c>
    </row>
    <row r="23" customFormat="false" ht="15" hidden="false" customHeight="false" outlineLevel="0" collapsed="false">
      <c r="A23" s="27" t="s">
        <v>400</v>
      </c>
      <c r="B23" s="27" t="s">
        <v>133</v>
      </c>
      <c r="C23" s="27" t="s">
        <v>401</v>
      </c>
      <c r="D23" s="27" t="s">
        <v>402</v>
      </c>
      <c r="E23" s="28"/>
      <c r="M23" s="0" t="str">
        <f aca="false">_xlfn.IFS(LEN(TRIM(A23))=0,"Name missing",ISERROR(FIND("@",B23)),"Bad email",LEN(TRIM(C23))&lt;&gt;10,"Bad phone",LEN(TRIM(D23))&lt;&gt;15,"Bad GSTIN",TRUE(),"OK")</f>
        <v>OK</v>
      </c>
    </row>
    <row r="24" customFormat="false" ht="15" hidden="false" customHeight="false" outlineLevel="0" collapsed="false">
      <c r="A24" s="35" t="s">
        <v>377</v>
      </c>
      <c r="B24" s="35" t="s">
        <v>135</v>
      </c>
      <c r="C24" s="35" t="s">
        <v>403</v>
      </c>
      <c r="D24" s="35" t="s">
        <v>404</v>
      </c>
      <c r="E24" s="28"/>
      <c r="M24" s="0" t="str">
        <f aca="false">_xlfn.IFS(LEN(TRIM(A24))=0,"Name missing",ISERROR(FIND("@",B24)),"Bad email",LEN(TRIM(C24))&lt;&gt;10,"Bad phone",LEN(TRIM(D24))&lt;&gt;15,"Bad GSTIN",TRUE(),"OK")</f>
        <v>Name missing</v>
      </c>
    </row>
    <row r="25" customFormat="false" ht="15" hidden="false" customHeight="false" outlineLevel="0" collapsed="false">
      <c r="A25" s="27" t="s">
        <v>405</v>
      </c>
      <c r="B25" s="27" t="s">
        <v>137</v>
      </c>
      <c r="C25" s="27" t="s">
        <v>406</v>
      </c>
      <c r="D25" s="27" t="s">
        <v>407</v>
      </c>
      <c r="E25" s="28"/>
      <c r="M25" s="0" t="str">
        <f aca="false">_xlfn.IFS(LEN(TRIM(A25))=0,"Name missing",ISERROR(FIND("@",B25)),"Bad email",LEN(TRIM(C25))&lt;&gt;10,"Bad phone",LEN(TRIM(D25))&lt;&gt;15,"Bad GSTIN",TRUE(),"OK")</f>
        <v>OK</v>
      </c>
    </row>
    <row r="26" customFormat="false" ht="15" hidden="false" customHeight="false" outlineLevel="0" collapsed="false">
      <c r="A26" s="35" t="s">
        <v>408</v>
      </c>
      <c r="B26" s="35" t="s">
        <v>139</v>
      </c>
      <c r="C26" s="35" t="s">
        <v>409</v>
      </c>
      <c r="D26" s="35" t="s">
        <v>410</v>
      </c>
      <c r="E26" s="28"/>
      <c r="M26" s="0" t="str">
        <f aca="false">_xlfn.IFS(LEN(TRIM(A26))=0,"Name missing",ISERROR(FIND("@",B26)),"Bad email",LEN(TRIM(C26))&lt;&gt;10,"Bad phone",LEN(TRIM(D26))&lt;&gt;15,"Bad GSTIN",TRUE(),"OK")</f>
        <v>Bad GSTIN</v>
      </c>
    </row>
    <row r="27" customFormat="false" ht="15" hidden="false" customHeight="false" outlineLevel="0" collapsed="false">
      <c r="A27" s="27" t="s">
        <v>73</v>
      </c>
      <c r="B27" s="27" t="s">
        <v>141</v>
      </c>
      <c r="C27" s="27" t="s">
        <v>411</v>
      </c>
      <c r="D27" s="27" t="s">
        <v>412</v>
      </c>
      <c r="E27" s="28"/>
      <c r="M27" s="0" t="str">
        <f aca="false">_xlfn.IFS(LEN(TRIM(A27))=0,"Name missing",ISERROR(FIND("@",B27)),"Bad email",LEN(TRIM(C27))&lt;&gt;10,"Bad phone",LEN(TRIM(D27))&lt;&gt;15,"Bad GSTIN",TRUE(),"OK")</f>
        <v>OK</v>
      </c>
    </row>
    <row r="28" customFormat="false" ht="15" hidden="false" customHeight="false" outlineLevel="0" collapsed="false">
      <c r="A28" s="35" t="s">
        <v>413</v>
      </c>
      <c r="B28" s="35" t="s">
        <v>143</v>
      </c>
      <c r="C28" s="35" t="s">
        <v>414</v>
      </c>
      <c r="D28" s="35" t="s">
        <v>415</v>
      </c>
      <c r="E28" s="28"/>
      <c r="M28" s="0" t="str">
        <f aca="false">_xlfn.IFS(LEN(TRIM(A28))=0,"Name missing",ISERROR(FIND("@",B28)),"Bad email",LEN(TRIM(C28))&lt;&gt;10,"Bad phone",LEN(TRIM(D28))&lt;&gt;15,"Bad GSTIN",TRUE(),"OK")</f>
        <v>OK</v>
      </c>
    </row>
    <row r="29" customFormat="false" ht="15" hidden="false" customHeight="false" outlineLevel="0" collapsed="false">
      <c r="A29" s="27" t="s">
        <v>43</v>
      </c>
      <c r="B29" s="27" t="s">
        <v>416</v>
      </c>
      <c r="C29" s="27" t="s">
        <v>417</v>
      </c>
      <c r="D29" s="27" t="s">
        <v>418</v>
      </c>
      <c r="E29" s="28"/>
      <c r="M29" s="0" t="str">
        <f aca="false">_xlfn.IFS(LEN(TRIM(A29))=0,"Name missing",ISERROR(FIND("@",B29)),"Bad email",LEN(TRIM(C29))&lt;&gt;10,"Bad phone",LEN(TRIM(D29))&lt;&gt;15,"Bad GSTIN",TRUE(),"OK")</f>
        <v>Bad email</v>
      </c>
    </row>
    <row r="30" customFormat="false" ht="15" hidden="false" customHeight="false" outlineLevel="0" collapsed="false">
      <c r="A30" s="35" t="s">
        <v>352</v>
      </c>
      <c r="B30" s="35" t="s">
        <v>146</v>
      </c>
      <c r="C30" s="35" t="s">
        <v>419</v>
      </c>
      <c r="D30" s="35" t="s">
        <v>420</v>
      </c>
      <c r="E30" s="28"/>
      <c r="M30" s="0" t="str">
        <f aca="false">_xlfn.IFS(LEN(TRIM(A30))=0,"Name missing",ISERROR(FIND("@",B30)),"Bad email",LEN(TRIM(C30))&lt;&gt;10,"Bad phone",LEN(TRIM(D30))&lt;&gt;15,"Bad GSTIN",TRUE(),"OK")</f>
        <v>OK</v>
      </c>
    </row>
    <row r="31" customFormat="false" ht="15" hidden="false" customHeight="false" outlineLevel="0" collapsed="false">
      <c r="A31" s="27" t="s">
        <v>357</v>
      </c>
      <c r="B31" s="27" t="s">
        <v>100</v>
      </c>
      <c r="C31" s="27" t="s">
        <v>421</v>
      </c>
      <c r="D31" s="27" t="s">
        <v>422</v>
      </c>
      <c r="E31" s="28"/>
      <c r="M31" s="0" t="str">
        <f aca="false">_xlfn.IFS(LEN(TRIM(A31))=0,"Name missing",ISERROR(FIND("@",B31)),"Bad email",LEN(TRIM(C31))&lt;&gt;10,"Bad phone",LEN(TRIM(D31))&lt;&gt;15,"Bad GSTIN",TRUE(),"OK")</f>
        <v>Bad phone</v>
      </c>
    </row>
    <row r="32" customFormat="false" ht="15" hidden="false" customHeight="false" outlineLevel="0" collapsed="false">
      <c r="A32" s="35" t="s">
        <v>363</v>
      </c>
      <c r="B32" s="35" t="s">
        <v>149</v>
      </c>
      <c r="C32" s="35" t="s">
        <v>423</v>
      </c>
      <c r="D32" s="35" t="s">
        <v>424</v>
      </c>
      <c r="E32" s="28"/>
      <c r="M32" s="0" t="str">
        <f aca="false">_xlfn.IFS(LEN(TRIM(A32))=0,"Name missing",ISERROR(FIND("@",B32)),"Bad email",LEN(TRIM(C32))&lt;&gt;10,"Bad phone",LEN(TRIM(D32))&lt;&gt;15,"Bad GSTIN",TRUE(),"OK")</f>
        <v>OK</v>
      </c>
    </row>
    <row r="33" customFormat="false" ht="15" hidden="false" customHeight="false" outlineLevel="0" collapsed="false">
      <c r="A33" s="27" t="s">
        <v>377</v>
      </c>
      <c r="B33" s="27" t="s">
        <v>109</v>
      </c>
      <c r="C33" s="27" t="s">
        <v>425</v>
      </c>
      <c r="D33" s="27" t="s">
        <v>426</v>
      </c>
      <c r="E33" s="28"/>
      <c r="M33" s="0" t="str">
        <f aca="false">_xlfn.IFS(LEN(TRIM(A33))=0,"Name missing",ISERROR(FIND("@",B33)),"Bad email",LEN(TRIM(C33))&lt;&gt;10,"Bad phone",LEN(TRIM(D33))&lt;&gt;15,"Bad GSTIN",TRUE(),"OK")</f>
        <v>Name missing</v>
      </c>
    </row>
    <row r="34" customFormat="false" ht="15" hidden="false" customHeight="false" outlineLevel="0" collapsed="false">
      <c r="A34" s="35" t="s">
        <v>372</v>
      </c>
      <c r="B34" s="35" t="s">
        <v>152</v>
      </c>
      <c r="C34" s="35" t="s">
        <v>427</v>
      </c>
      <c r="D34" s="35" t="s">
        <v>428</v>
      </c>
      <c r="E34" s="28"/>
      <c r="M34" s="0" t="str">
        <f aca="false">_xlfn.IFS(LEN(TRIM(A34))=0,"Name missing",ISERROR(FIND("@",B34)),"Bad email",LEN(TRIM(C34))&lt;&gt;10,"Bad phone",LEN(TRIM(D34))&lt;&gt;15,"Bad GSTIN",TRUE(),"OK")</f>
        <v>OK</v>
      </c>
    </row>
  </sheetData>
  <mergeCells count="3">
    <mergeCell ref="A1:K1"/>
    <mergeCell ref="A2:K2"/>
    <mergeCell ref="A3:K5"/>
  </mergeCells>
  <conditionalFormatting sqref="J9:J14">
    <cfRule type="expression" priority="2" aboveAverage="0" equalAverage="0" bottom="0" percent="0" rank="0" text="" dxfId="0">
      <formula>LEFT(J9,1)="✓"</formula>
    </cfRule>
    <cfRule type="expression" priority="3" aboveAverage="0" equalAverage="0" bottom="0" percent="0" rank="0" text="" dxfId="1">
      <formula>LEFT(J9,1)="✗"</formula>
    </cfRule>
    <cfRule type="expression" priority="4" aboveAverage="0" equalAverage="0" bottom="0" percent="0" rank="0" text="" dxfId="2">
      <formula>LEFT(J9,1)="✎"</formula>
    </cfRule>
    <cfRule type="expression" priority="5" aboveAverage="0" equalAverage="0" bottom="0" percent="0" rank="0" text="" dxfId="3">
      <formula>LEFT(J9,1)="◯"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44"/>
    <col collapsed="false" customWidth="true" hidden="false" outlineLevel="0" max="6" min="6" style="0" width="46"/>
  </cols>
  <sheetData>
    <row r="1" customFormat="false" ht="30" hidden="false" customHeight="true" outlineLevel="0" collapsed="false">
      <c r="A1" s="70" t="s">
        <v>429</v>
      </c>
      <c r="B1" s="70"/>
      <c r="C1" s="70"/>
      <c r="D1" s="70"/>
      <c r="E1" s="70"/>
      <c r="F1" s="70"/>
    </row>
    <row r="2" customFormat="false" ht="15" hidden="false" customHeight="false" outlineLevel="0" collapsed="false">
      <c r="A2" s="71" t="s">
        <v>430</v>
      </c>
    </row>
    <row r="4" customFormat="false" ht="21.75" hidden="false" customHeight="true" outlineLevel="0" collapsed="false">
      <c r="A4" s="72" t="s">
        <v>431</v>
      </c>
      <c r="B4" s="72"/>
      <c r="C4" s="72"/>
      <c r="D4" s="72"/>
      <c r="E4" s="72"/>
      <c r="F4" s="72"/>
    </row>
    <row r="5" customFormat="false" ht="15" hidden="false" customHeight="false" outlineLevel="0" collapsed="false">
      <c r="A5" s="73" t="s">
        <v>14</v>
      </c>
      <c r="B5" s="73" t="s">
        <v>39</v>
      </c>
      <c r="C5" s="73" t="s">
        <v>432</v>
      </c>
      <c r="D5" s="73" t="s">
        <v>433</v>
      </c>
      <c r="E5" s="73" t="s">
        <v>434</v>
      </c>
      <c r="F5" s="73" t="s">
        <v>435</v>
      </c>
    </row>
    <row r="6" customFormat="false" ht="42" hidden="false" customHeight="true" outlineLevel="0" collapsed="false">
      <c r="A6" s="74" t="n">
        <v>1</v>
      </c>
      <c r="B6" s="74" t="s">
        <v>44</v>
      </c>
      <c r="C6" s="74" t="s">
        <v>436</v>
      </c>
      <c r="D6" s="75" t="s">
        <v>437</v>
      </c>
      <c r="E6" s="76" t="s">
        <v>438</v>
      </c>
      <c r="F6" s="74" t="s">
        <v>439</v>
      </c>
    </row>
    <row r="7" customFormat="false" ht="30" hidden="false" customHeight="true" outlineLevel="0" collapsed="false">
      <c r="A7" s="74" t="n">
        <v>2</v>
      </c>
      <c r="B7" s="74" t="s">
        <v>48</v>
      </c>
      <c r="C7" s="74" t="s">
        <v>440</v>
      </c>
      <c r="D7" s="75" t="s">
        <v>441</v>
      </c>
      <c r="E7" s="76"/>
      <c r="F7" s="74"/>
    </row>
    <row r="8" customFormat="false" ht="30" hidden="false" customHeight="true" outlineLevel="0" collapsed="false">
      <c r="A8" s="74" t="n">
        <v>3</v>
      </c>
      <c r="B8" s="74" t="s">
        <v>52</v>
      </c>
      <c r="C8" s="74" t="s">
        <v>442</v>
      </c>
      <c r="D8" s="75" t="s">
        <v>443</v>
      </c>
      <c r="E8" s="76" t="s">
        <v>444</v>
      </c>
      <c r="F8" s="74"/>
    </row>
    <row r="9" customFormat="false" ht="30" hidden="false" customHeight="true" outlineLevel="0" collapsed="false">
      <c r="A9" s="74" t="n">
        <v>4</v>
      </c>
      <c r="B9" s="74" t="s">
        <v>55</v>
      </c>
      <c r="C9" s="74" t="s">
        <v>445</v>
      </c>
      <c r="D9" s="75" t="s">
        <v>446</v>
      </c>
      <c r="E9" s="76" t="s">
        <v>447</v>
      </c>
      <c r="F9" s="74"/>
    </row>
    <row r="10" customFormat="false" ht="30" hidden="false" customHeight="true" outlineLevel="0" collapsed="false">
      <c r="A10" s="74" t="n">
        <v>5</v>
      </c>
      <c r="B10" s="74" t="s">
        <v>58</v>
      </c>
      <c r="C10" s="74" t="s">
        <v>448</v>
      </c>
      <c r="D10" s="75" t="s">
        <v>449</v>
      </c>
      <c r="E10" s="76"/>
      <c r="F10" s="74" t="s">
        <v>450</v>
      </c>
    </row>
    <row r="12" customFormat="false" ht="21.75" hidden="false" customHeight="true" outlineLevel="0" collapsed="false">
      <c r="A12" s="77" t="s">
        <v>451</v>
      </c>
      <c r="B12" s="77"/>
      <c r="C12" s="77"/>
      <c r="D12" s="77"/>
      <c r="E12" s="77"/>
      <c r="F12" s="77"/>
    </row>
    <row r="13" customFormat="false" ht="15" hidden="false" customHeight="false" outlineLevel="0" collapsed="false">
      <c r="A13" s="73" t="s">
        <v>14</v>
      </c>
      <c r="B13" s="73" t="s">
        <v>39</v>
      </c>
      <c r="C13" s="73" t="s">
        <v>432</v>
      </c>
      <c r="D13" s="73" t="s">
        <v>433</v>
      </c>
      <c r="E13" s="73" t="s">
        <v>434</v>
      </c>
      <c r="F13" s="73" t="s">
        <v>435</v>
      </c>
    </row>
    <row r="14" customFormat="false" ht="42" hidden="false" customHeight="true" outlineLevel="0" collapsed="false">
      <c r="A14" s="74" t="n">
        <v>1</v>
      </c>
      <c r="B14" s="74" t="s">
        <v>92</v>
      </c>
      <c r="C14" s="74" t="s">
        <v>440</v>
      </c>
      <c r="D14" s="75" t="s">
        <v>452</v>
      </c>
      <c r="E14" s="76" t="s">
        <v>453</v>
      </c>
      <c r="F14" s="74" t="s">
        <v>454</v>
      </c>
    </row>
    <row r="15" customFormat="false" ht="42" hidden="false" customHeight="true" outlineLevel="0" collapsed="false">
      <c r="A15" s="74" t="n">
        <v>2</v>
      </c>
      <c r="B15" s="74" t="s">
        <v>96</v>
      </c>
      <c r="C15" s="74" t="s">
        <v>455</v>
      </c>
      <c r="D15" s="75" t="s">
        <v>456</v>
      </c>
      <c r="E15" s="76" t="s">
        <v>457</v>
      </c>
      <c r="F15" s="74" t="s">
        <v>458</v>
      </c>
    </row>
    <row r="16" customFormat="false" ht="42" hidden="false" customHeight="true" outlineLevel="0" collapsed="false">
      <c r="A16" s="74" t="n">
        <v>3</v>
      </c>
      <c r="B16" s="74" t="s">
        <v>101</v>
      </c>
      <c r="C16" s="74" t="s">
        <v>459</v>
      </c>
      <c r="D16" s="75" t="s">
        <v>460</v>
      </c>
      <c r="E16" s="76" t="s">
        <v>461</v>
      </c>
      <c r="F16" s="74"/>
    </row>
    <row r="17" customFormat="false" ht="30" hidden="false" customHeight="true" outlineLevel="0" collapsed="false">
      <c r="A17" s="74" t="n">
        <v>4</v>
      </c>
      <c r="B17" s="74" t="s">
        <v>106</v>
      </c>
      <c r="C17" s="74" t="s">
        <v>462</v>
      </c>
      <c r="D17" s="75" t="s">
        <v>463</v>
      </c>
      <c r="E17" s="76" t="s">
        <v>464</v>
      </c>
      <c r="F17" s="74"/>
    </row>
    <row r="18" customFormat="false" ht="30" hidden="false" customHeight="true" outlineLevel="0" collapsed="false">
      <c r="A18" s="74" t="n">
        <v>5</v>
      </c>
      <c r="B18" s="74" t="s">
        <v>110</v>
      </c>
      <c r="C18" s="74" t="s">
        <v>465</v>
      </c>
      <c r="D18" s="75" t="s">
        <v>466</v>
      </c>
      <c r="E18" s="76"/>
      <c r="F18" s="74"/>
    </row>
    <row r="19" customFormat="false" ht="30" hidden="false" customHeight="true" outlineLevel="0" collapsed="false">
      <c r="A19" s="74" t="n">
        <v>6</v>
      </c>
      <c r="B19" s="74" t="s">
        <v>114</v>
      </c>
      <c r="C19" s="74" t="s">
        <v>467</v>
      </c>
      <c r="D19" s="75" t="s">
        <v>468</v>
      </c>
      <c r="E19" s="76"/>
      <c r="F19" s="74"/>
    </row>
    <row r="21" customFormat="false" ht="21.75" hidden="false" customHeight="true" outlineLevel="0" collapsed="false">
      <c r="A21" s="78" t="s">
        <v>469</v>
      </c>
      <c r="B21" s="78"/>
      <c r="C21" s="78"/>
      <c r="D21" s="78"/>
      <c r="E21" s="78"/>
      <c r="F21" s="78"/>
    </row>
    <row r="22" customFormat="false" ht="15" hidden="false" customHeight="false" outlineLevel="0" collapsed="false">
      <c r="A22" s="73" t="s">
        <v>14</v>
      </c>
      <c r="B22" s="73" t="s">
        <v>39</v>
      </c>
      <c r="C22" s="73" t="s">
        <v>432</v>
      </c>
      <c r="D22" s="73" t="s">
        <v>433</v>
      </c>
      <c r="E22" s="73" t="s">
        <v>434</v>
      </c>
      <c r="F22" s="73" t="s">
        <v>435</v>
      </c>
    </row>
    <row r="23" customFormat="false" ht="42" hidden="false" customHeight="true" outlineLevel="0" collapsed="false">
      <c r="A23" s="74" t="n">
        <v>1</v>
      </c>
      <c r="B23" s="74" t="s">
        <v>163</v>
      </c>
      <c r="C23" s="74" t="s">
        <v>440</v>
      </c>
      <c r="D23" s="75" t="s">
        <v>470</v>
      </c>
      <c r="E23" s="76" t="s">
        <v>471</v>
      </c>
      <c r="F23" s="74" t="s">
        <v>472</v>
      </c>
    </row>
    <row r="24" customFormat="false" ht="42" hidden="false" customHeight="true" outlineLevel="0" collapsed="false">
      <c r="A24" s="74" t="n">
        <v>2</v>
      </c>
      <c r="B24" s="74" t="s">
        <v>167</v>
      </c>
      <c r="C24" s="74" t="s">
        <v>455</v>
      </c>
      <c r="D24" s="75" t="s">
        <v>473</v>
      </c>
      <c r="E24" s="76" t="s">
        <v>474</v>
      </c>
      <c r="F24" s="74" t="s">
        <v>475</v>
      </c>
    </row>
    <row r="25" customFormat="false" ht="42" hidden="false" customHeight="true" outlineLevel="0" collapsed="false">
      <c r="A25" s="74" t="n">
        <v>3</v>
      </c>
      <c r="B25" s="74" t="s">
        <v>171</v>
      </c>
      <c r="C25" s="74" t="s">
        <v>459</v>
      </c>
      <c r="D25" s="75" t="s">
        <v>476</v>
      </c>
      <c r="E25" s="76" t="s">
        <v>477</v>
      </c>
      <c r="F25" s="74" t="s">
        <v>478</v>
      </c>
    </row>
    <row r="26" customFormat="false" ht="30" hidden="false" customHeight="true" outlineLevel="0" collapsed="false">
      <c r="A26" s="74" t="n">
        <v>4</v>
      </c>
      <c r="B26" s="74" t="s">
        <v>175</v>
      </c>
      <c r="C26" s="74" t="s">
        <v>462</v>
      </c>
      <c r="D26" s="75" t="s">
        <v>479</v>
      </c>
      <c r="E26" s="76"/>
      <c r="F26" s="74"/>
    </row>
    <row r="27" customFormat="false" ht="42" hidden="false" customHeight="true" outlineLevel="0" collapsed="false">
      <c r="A27" s="74" t="n">
        <v>5</v>
      </c>
      <c r="B27" s="74" t="s">
        <v>179</v>
      </c>
      <c r="C27" s="74" t="s">
        <v>465</v>
      </c>
      <c r="D27" s="75" t="s">
        <v>480</v>
      </c>
      <c r="E27" s="76" t="s">
        <v>481</v>
      </c>
      <c r="F27" s="74"/>
    </row>
    <row r="28" customFormat="false" ht="30" hidden="false" customHeight="true" outlineLevel="0" collapsed="false">
      <c r="A28" s="74" t="n">
        <v>6</v>
      </c>
      <c r="B28" s="74" t="s">
        <v>183</v>
      </c>
      <c r="C28" s="74" t="s">
        <v>467</v>
      </c>
      <c r="D28" s="75" t="s">
        <v>482</v>
      </c>
      <c r="E28" s="76"/>
      <c r="F28" s="74"/>
    </row>
    <row r="30" customFormat="false" ht="21.75" hidden="false" customHeight="true" outlineLevel="0" collapsed="false">
      <c r="A30" s="78" t="s">
        <v>483</v>
      </c>
      <c r="B30" s="78"/>
      <c r="C30" s="78"/>
      <c r="D30" s="78"/>
      <c r="E30" s="78"/>
      <c r="F30" s="78"/>
    </row>
    <row r="31" customFormat="false" ht="15" hidden="false" customHeight="false" outlineLevel="0" collapsed="false">
      <c r="A31" s="73" t="s">
        <v>14</v>
      </c>
      <c r="B31" s="73" t="s">
        <v>39</v>
      </c>
      <c r="C31" s="73" t="s">
        <v>432</v>
      </c>
      <c r="D31" s="73" t="s">
        <v>433</v>
      </c>
      <c r="E31" s="73" t="s">
        <v>434</v>
      </c>
      <c r="F31" s="73" t="s">
        <v>435</v>
      </c>
    </row>
    <row r="32" customFormat="false" ht="30" hidden="false" customHeight="true" outlineLevel="0" collapsed="false">
      <c r="A32" s="74" t="n">
        <v>1</v>
      </c>
      <c r="B32" s="74" t="s">
        <v>229</v>
      </c>
      <c r="C32" s="74" t="s">
        <v>455</v>
      </c>
      <c r="D32" s="75" t="s">
        <v>484</v>
      </c>
      <c r="E32" s="76"/>
      <c r="F32" s="74"/>
    </row>
    <row r="33" customFormat="false" ht="42" hidden="false" customHeight="true" outlineLevel="0" collapsed="false">
      <c r="A33" s="74" t="n">
        <v>2</v>
      </c>
      <c r="B33" s="74" t="s">
        <v>233</v>
      </c>
      <c r="C33" s="74" t="s">
        <v>459</v>
      </c>
      <c r="D33" s="75" t="s">
        <v>485</v>
      </c>
      <c r="E33" s="76" t="s">
        <v>486</v>
      </c>
      <c r="F33" s="74" t="s">
        <v>487</v>
      </c>
    </row>
    <row r="34" customFormat="false" ht="42" hidden="false" customHeight="true" outlineLevel="0" collapsed="false">
      <c r="A34" s="74" t="n">
        <v>3</v>
      </c>
      <c r="B34" s="74" t="s">
        <v>237</v>
      </c>
      <c r="C34" s="74" t="s">
        <v>488</v>
      </c>
      <c r="D34" s="75" t="s">
        <v>489</v>
      </c>
      <c r="E34" s="76" t="s">
        <v>490</v>
      </c>
      <c r="F34" s="74" t="s">
        <v>491</v>
      </c>
    </row>
    <row r="35" customFormat="false" ht="30" hidden="false" customHeight="true" outlineLevel="0" collapsed="false">
      <c r="A35" s="74" t="n">
        <v>4</v>
      </c>
      <c r="B35" s="74" t="s">
        <v>241</v>
      </c>
      <c r="C35" s="74" t="s">
        <v>462</v>
      </c>
      <c r="D35" s="75" t="s">
        <v>492</v>
      </c>
      <c r="E35" s="76" t="s">
        <v>493</v>
      </c>
      <c r="F35" s="74"/>
    </row>
    <row r="36" customFormat="false" ht="30" hidden="false" customHeight="true" outlineLevel="0" collapsed="false">
      <c r="A36" s="74" t="n">
        <v>5</v>
      </c>
      <c r="B36" s="74" t="s">
        <v>244</v>
      </c>
      <c r="C36" s="74" t="s">
        <v>465</v>
      </c>
      <c r="D36" s="75" t="s">
        <v>494</v>
      </c>
      <c r="E36" s="76" t="s">
        <v>495</v>
      </c>
      <c r="F36" s="74" t="s">
        <v>496</v>
      </c>
    </row>
    <row r="38" customFormat="false" ht="21.75" hidden="false" customHeight="true" outlineLevel="0" collapsed="false">
      <c r="A38" s="79" t="s">
        <v>497</v>
      </c>
      <c r="B38" s="79"/>
      <c r="C38" s="79"/>
      <c r="D38" s="79"/>
      <c r="E38" s="79"/>
      <c r="F38" s="79"/>
    </row>
    <row r="39" customFormat="false" ht="15" hidden="false" customHeight="false" outlineLevel="0" collapsed="false">
      <c r="A39" s="73" t="s">
        <v>14</v>
      </c>
      <c r="B39" s="73" t="s">
        <v>39</v>
      </c>
      <c r="C39" s="73" t="s">
        <v>432</v>
      </c>
      <c r="D39" s="73" t="s">
        <v>433</v>
      </c>
      <c r="E39" s="73" t="s">
        <v>434</v>
      </c>
      <c r="F39" s="73" t="s">
        <v>435</v>
      </c>
    </row>
    <row r="40" customFormat="false" ht="42" hidden="false" customHeight="true" outlineLevel="0" collapsed="false">
      <c r="A40" s="74" t="n">
        <v>1</v>
      </c>
      <c r="B40" s="74" t="s">
        <v>276</v>
      </c>
      <c r="C40" s="74" t="s">
        <v>455</v>
      </c>
      <c r="D40" s="75" t="s">
        <v>498</v>
      </c>
      <c r="E40" s="76" t="s">
        <v>499</v>
      </c>
      <c r="F40" s="74"/>
    </row>
    <row r="41" customFormat="false" ht="42" hidden="false" customHeight="true" outlineLevel="0" collapsed="false">
      <c r="A41" s="74" t="n">
        <v>2</v>
      </c>
      <c r="B41" s="74" t="s">
        <v>281</v>
      </c>
      <c r="C41" s="74" t="s">
        <v>459</v>
      </c>
      <c r="D41" s="75" t="s">
        <v>500</v>
      </c>
      <c r="E41" s="76" t="s">
        <v>501</v>
      </c>
      <c r="F41" s="74" t="s">
        <v>502</v>
      </c>
    </row>
    <row r="42" customFormat="false" ht="30" hidden="false" customHeight="true" outlineLevel="0" collapsed="false">
      <c r="A42" s="74" t="n">
        <v>3</v>
      </c>
      <c r="B42" s="74" t="s">
        <v>286</v>
      </c>
      <c r="C42" s="74" t="s">
        <v>488</v>
      </c>
      <c r="D42" s="75" t="s">
        <v>503</v>
      </c>
      <c r="E42" s="76"/>
      <c r="F42" s="74" t="s">
        <v>504</v>
      </c>
    </row>
    <row r="43" customFormat="false" ht="42" hidden="false" customHeight="true" outlineLevel="0" collapsed="false">
      <c r="A43" s="74" t="n">
        <v>4</v>
      </c>
      <c r="B43" s="74" t="s">
        <v>291</v>
      </c>
      <c r="C43" s="74" t="s">
        <v>462</v>
      </c>
      <c r="D43" s="75" t="s">
        <v>292</v>
      </c>
      <c r="E43" s="76" t="s">
        <v>505</v>
      </c>
      <c r="F43" s="74" t="s">
        <v>506</v>
      </c>
    </row>
    <row r="44" customFormat="false" ht="30" hidden="false" customHeight="true" outlineLevel="0" collapsed="false">
      <c r="A44" s="74" t="n">
        <v>5</v>
      </c>
      <c r="B44" s="74" t="s">
        <v>296</v>
      </c>
      <c r="C44" s="74" t="s">
        <v>465</v>
      </c>
      <c r="D44" s="75" t="s">
        <v>507</v>
      </c>
      <c r="E44" s="76"/>
      <c r="F44" s="74"/>
    </row>
    <row r="46" customFormat="false" ht="21.75" hidden="false" customHeight="true" outlineLevel="0" collapsed="false">
      <c r="A46" s="80" t="s">
        <v>508</v>
      </c>
      <c r="B46" s="80"/>
      <c r="C46" s="80"/>
      <c r="D46" s="80"/>
      <c r="E46" s="80"/>
      <c r="F46" s="80"/>
    </row>
    <row r="47" customFormat="false" ht="15" hidden="false" customHeight="false" outlineLevel="0" collapsed="false">
      <c r="A47" s="73" t="s">
        <v>14</v>
      </c>
      <c r="B47" s="73" t="s">
        <v>39</v>
      </c>
      <c r="C47" s="73" t="s">
        <v>432</v>
      </c>
      <c r="D47" s="73" t="s">
        <v>433</v>
      </c>
      <c r="E47" s="73" t="s">
        <v>434</v>
      </c>
      <c r="F47" s="73" t="s">
        <v>435</v>
      </c>
    </row>
    <row r="48" customFormat="false" ht="84" hidden="false" customHeight="true" outlineLevel="0" collapsed="false">
      <c r="A48" s="74" t="n">
        <v>1</v>
      </c>
      <c r="B48" s="74" t="s">
        <v>350</v>
      </c>
      <c r="C48" s="74" t="s">
        <v>459</v>
      </c>
      <c r="D48" s="75" t="s">
        <v>509</v>
      </c>
      <c r="E48" s="76" t="s">
        <v>510</v>
      </c>
      <c r="F48" s="74" t="s">
        <v>511</v>
      </c>
    </row>
    <row r="49" customFormat="false" ht="30" hidden="false" customHeight="true" outlineLevel="0" collapsed="false">
      <c r="A49" s="74" t="n">
        <v>2</v>
      </c>
      <c r="B49" s="74" t="s">
        <v>355</v>
      </c>
      <c r="C49" s="74" t="s">
        <v>512</v>
      </c>
      <c r="D49" s="75" t="s">
        <v>513</v>
      </c>
      <c r="E49" s="76"/>
      <c r="F49" s="74"/>
    </row>
    <row r="50" customFormat="false" ht="30" hidden="false" customHeight="true" outlineLevel="0" collapsed="false">
      <c r="A50" s="74" t="n">
        <v>3</v>
      </c>
      <c r="B50" s="74" t="s">
        <v>361</v>
      </c>
      <c r="C50" s="74" t="s">
        <v>488</v>
      </c>
      <c r="D50" s="75" t="s">
        <v>514</v>
      </c>
      <c r="E50" s="76"/>
      <c r="F50" s="74"/>
    </row>
    <row r="51" customFormat="false" ht="30" hidden="false" customHeight="true" outlineLevel="0" collapsed="false">
      <c r="A51" s="74" t="n">
        <v>4</v>
      </c>
      <c r="B51" s="74" t="s">
        <v>366</v>
      </c>
      <c r="C51" s="74" t="s">
        <v>462</v>
      </c>
      <c r="D51" s="75" t="s">
        <v>515</v>
      </c>
      <c r="E51" s="76" t="s">
        <v>516</v>
      </c>
      <c r="F51" s="74"/>
    </row>
    <row r="52" customFormat="false" ht="42" hidden="false" customHeight="true" outlineLevel="0" collapsed="false">
      <c r="A52" s="74" t="n">
        <v>5</v>
      </c>
      <c r="B52" s="74" t="s">
        <v>370</v>
      </c>
      <c r="C52" s="74" t="s">
        <v>465</v>
      </c>
      <c r="D52" s="75" t="s">
        <v>517</v>
      </c>
      <c r="E52" s="76" t="s">
        <v>518</v>
      </c>
      <c r="F52" s="74" t="s">
        <v>519</v>
      </c>
    </row>
    <row r="53" customFormat="false" ht="30" hidden="false" customHeight="true" outlineLevel="0" collapsed="false">
      <c r="A53" s="74" t="n">
        <v>6</v>
      </c>
      <c r="B53" s="74" t="s">
        <v>375</v>
      </c>
      <c r="C53" s="74" t="s">
        <v>467</v>
      </c>
      <c r="D53" s="75" t="s">
        <v>520</v>
      </c>
      <c r="E53" s="76"/>
      <c r="F53" s="74" t="s">
        <v>521</v>
      </c>
    </row>
  </sheetData>
  <mergeCells count="7">
    <mergeCell ref="A1:F1"/>
    <mergeCell ref="A4:F4"/>
    <mergeCell ref="A12:F12"/>
    <mergeCell ref="A21:F21"/>
    <mergeCell ref="A30:F30"/>
    <mergeCell ref="A38:F38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2026-09-25T07:00:53Z</dcterms:created>
  <dc:creator>openpyxl</dc:creator>
  <dc:description/>
  <dc:language>en-US</dc:language>
  <cp:lastModifiedBy/>
  <dcterms:modified xsi:type="dcterms:W3CDTF">2026-09-25T07:00:53Z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