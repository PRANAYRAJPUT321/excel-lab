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L1 Date parts" sheetId="2" state="visible" r:id="rId4"/>
    <sheet name="L2 Days outstanding" sheetId="3" state="visible" r:id="rId5"/>
    <sheet name="L3 Due dates and overdue days" sheetId="4" state="visible" r:id="rId6"/>
    <sheet name="L4 Ageing buckets" sheetId="5" state="visible" r:id="rId7"/>
    <sheet name="L5 Provision matrix" sheetId="6" state="visible" r:id="rId8"/>
    <sheet name="L6 Boss round — ageing summary" sheetId="7" state="visible" r:id="rId9"/>
    <sheet name="Solu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<sst xmlns="http://schemas.openxmlformats.org/spreadsheetml/2006/main" count="1002" uniqueCount="241">
  <si>
    <t xml:space="preserve">EXCEL LAB  ·  04 DATES &amp; DEBTORS AGEING</t>
  </si>
  <si>
    <t xml:space="preserve">Date arithmetic for receivables: FY logic, days outstanding against a fixed as-of date, due dates, IFS ageing buckets, an ECL-style provision matrix and a summary boss round.</t>
  </si>
  <si>
    <t xml:space="preserve">HOW TO USE THIS WORKBOOK</t>
  </si>
  <si>
    <t xml:space="preserve">Work through the lessons in order — each one is harder than the last (★ to ★★★★★).</t>
  </si>
  <si>
    <t xml:space="preserve">Read the Concept box at the top of each lesson, then look at the data.</t>
  </si>
  <si>
    <t xml:space="preserve">Type a FORMULA in each yellow cell. The Check column marks it ✓ or ✗ instantly.</t>
  </si>
  <si>
    <t xml:space="preserve">Blue cells are inputs. Change them and watch every answer update — that is how you know your formula is really right.</t>
  </si>
  <si>
    <t xml:space="preserve">Stuck? Read the Hint. Still stuck? The Solutions sheet shows the model answer and other ways to do it.</t>
  </si>
  <si>
    <t xml:space="preserve">COLOUR CODE</t>
  </si>
  <si>
    <t xml:space="preserve">Yellow — your answer goes here (always a formula)</t>
  </si>
  <si>
    <t xml:space="preserve">Blue — an input you can change</t>
  </si>
  <si>
    <t xml:space="preserve">✓ Correct — marked automatically</t>
  </si>
  <si>
    <t xml:space="preserve">✗ Check again — the result does not match</t>
  </si>
  <si>
    <t xml:space="preserve">✎ You typed a value — replace it with a formula</t>
  </si>
  <si>
    <t xml:space="preserve">#</t>
  </si>
  <si>
    <t xml:space="preserve">Lesson</t>
  </si>
  <si>
    <t xml:space="preserve">Difficulty</t>
  </si>
  <si>
    <t xml:space="preserve">Tasks</t>
  </si>
  <si>
    <t xml:space="preserve">Solved</t>
  </si>
  <si>
    <t xml:space="preserve">Progress</t>
  </si>
  <si>
    <t xml:space="preserve">L1 Date parts</t>
  </si>
  <si>
    <t xml:space="preserve">★★☆☆☆</t>
  </si>
  <si>
    <t xml:space="preserve">L2 Days outstanding</t>
  </si>
  <si>
    <t xml:space="preserve">★★★☆☆</t>
  </si>
  <si>
    <t xml:space="preserve">L3 Due dates and overdue days</t>
  </si>
  <si>
    <t xml:space="preserve">L4 Ageing buckets</t>
  </si>
  <si>
    <t xml:space="preserve">★★★★☆</t>
  </si>
  <si>
    <t xml:space="preserve">L5 Provision matrix</t>
  </si>
  <si>
    <t xml:space="preserve">L6 Boss round — ageing summary</t>
  </si>
  <si>
    <t xml:space="preserve">★★★★★</t>
  </si>
  <si>
    <t xml:space="preserve">OVERALL</t>
  </si>
  <si>
    <t xml:space="preserve">Excel Lab — created by Pranay  ·  excel-lab-by-pranay.vercel.app  ·  free for every student</t>
  </si>
  <si>
    <t xml:space="preserve">LESSON 1  ·  DATE PARTS</t>
  </si>
  <si>
    <t xml:space="preserve">★★☆☆☆   Dates are numbers — pull out months, financial years and ranges.</t>
  </si>
  <si>
    <t xml:space="preserve">CONCEPT  ·  A date is a serial number (1 = 1-Jan-1900), so you can subtract and compare dates. YEAR, MONTH and DAY pull out parts; TEXT(date,"mmm") gives "Mar". Indian FY: April–March. FY-end year = YEAR(date) + (MONTH(date)&gt;3), because TRUE counts as 1.</t>
  </si>
  <si>
    <t xml:space="preserve">Invoice</t>
  </si>
  <si>
    <t xml:space="preserve">Party</t>
  </si>
  <si>
    <t xml:space="preserve">Date</t>
  </si>
  <si>
    <t xml:space="preserve">Credit</t>
  </si>
  <si>
    <t xml:space="preserve">Amount</t>
  </si>
  <si>
    <t xml:space="preserve">Month</t>
  </si>
  <si>
    <t xml:space="preserve">FY End</t>
  </si>
  <si>
    <t xml:space="preserve">Task</t>
  </si>
  <si>
    <t xml:space="preserve">Your answer</t>
  </si>
  <si>
    <t xml:space="preserve">Check</t>
  </si>
  <si>
    <t xml:space="preserve">Hint</t>
  </si>
  <si>
    <t xml:space="preserve">INV-3001</t>
  </si>
  <si>
    <t xml:space="preserve">Vaibhav Textiles</t>
  </si>
  <si>
    <t xml:space="preserve">Fill Month with the short month name (e.g. "Mar").</t>
  </si>
  <si>
    <t xml:space="preserve">→ fill column F</t>
  </si>
  <si>
    <t xml:space="preserve">=TEXT(C9,"mmm")</t>
  </si>
  <si>
    <t xml:space="preserve">INV-3002</t>
  </si>
  <si>
    <t xml:space="preserve">Deccan Supplies</t>
  </si>
  <si>
    <t xml:space="preserve">Fill FY End: the year the Indian financial year ends in.</t>
  </si>
  <si>
    <t xml:space="preserve">→ fill column G</t>
  </si>
  <si>
    <t xml:space="preserve">=YEAR(C9)+(MONTH(C9)&gt;3)</t>
  </si>
  <si>
    <t xml:space="preserve">INV-3003</t>
  </si>
  <si>
    <t xml:space="preserve">ABC Traders</t>
  </si>
  <si>
    <t xml:space="preserve">How many invoices are dated in February 2026?</t>
  </si>
  <si>
    <t xml:space="preserve">Two date criteria on one column.</t>
  </si>
  <si>
    <t xml:space="preserve">INV-3004</t>
  </si>
  <si>
    <t xml:space="preserve">The earliest invoice date.</t>
  </si>
  <si>
    <t xml:space="preserve">MIN works on dates. Format the answer as a date.</t>
  </si>
  <si>
    <t xml:space="preserve">INV-3005</t>
  </si>
  <si>
    <t xml:space="preserve">Nova Industries</t>
  </si>
  <si>
    <t xml:space="preserve">INV-3006</t>
  </si>
  <si>
    <t xml:space="preserve">INV-3007</t>
  </si>
  <si>
    <t xml:space="preserve">INV-3008</t>
  </si>
  <si>
    <t xml:space="preserve">INV-3009</t>
  </si>
  <si>
    <t xml:space="preserve">Orbit Systems</t>
  </si>
  <si>
    <t xml:space="preserve">INV-3010</t>
  </si>
  <si>
    <t xml:space="preserve">Shree Enterprises</t>
  </si>
  <si>
    <t xml:space="preserve">INV-3011</t>
  </si>
  <si>
    <t xml:space="preserve">INV-3012</t>
  </si>
  <si>
    <t xml:space="preserve">Bharat Electricals</t>
  </si>
  <si>
    <t xml:space="preserve">INV-3013</t>
  </si>
  <si>
    <t xml:space="preserve">Patel &amp; Co</t>
  </si>
  <si>
    <t xml:space="preserve">INV-3014</t>
  </si>
  <si>
    <t xml:space="preserve">Kiran Agencies</t>
  </si>
  <si>
    <t xml:space="preserve">INV-3015</t>
  </si>
  <si>
    <t xml:space="preserve">Sagar Metals</t>
  </si>
  <si>
    <t xml:space="preserve">INV-3016</t>
  </si>
  <si>
    <t xml:space="preserve">INV-3017</t>
  </si>
  <si>
    <t xml:space="preserve">INV-3018</t>
  </si>
  <si>
    <t xml:space="preserve">INV-3019</t>
  </si>
  <si>
    <t xml:space="preserve">INV-3020</t>
  </si>
  <si>
    <t xml:space="preserve">INV-3021</t>
  </si>
  <si>
    <t xml:space="preserve">Meera Pharma</t>
  </si>
  <si>
    <t xml:space="preserve">INV-3022</t>
  </si>
  <si>
    <t xml:space="preserve">INV-3023</t>
  </si>
  <si>
    <t xml:space="preserve">INV-3024</t>
  </si>
  <si>
    <t xml:space="preserve">INV-3025</t>
  </si>
  <si>
    <t xml:space="preserve">INV-3026</t>
  </si>
  <si>
    <t xml:space="preserve">INV-3027</t>
  </si>
  <si>
    <t xml:space="preserve">INV-3028</t>
  </si>
  <si>
    <t xml:space="preserve">INV-3029</t>
  </si>
  <si>
    <t xml:space="preserve">INV-3030</t>
  </si>
  <si>
    <t xml:space="preserve">INV-3031</t>
  </si>
  <si>
    <t xml:space="preserve">INV-3032</t>
  </si>
  <si>
    <t xml:space="preserve">INV-3033</t>
  </si>
  <si>
    <t xml:space="preserve">INV-3034</t>
  </si>
  <si>
    <t xml:space="preserve">INV-3035</t>
  </si>
  <si>
    <t xml:space="preserve">INV-3036</t>
  </si>
  <si>
    <t xml:space="preserve">INV-3037</t>
  </si>
  <si>
    <t xml:space="preserve">INV-3038</t>
  </si>
  <si>
    <t xml:space="preserve">INV-3039</t>
  </si>
  <si>
    <t xml:space="preserve">INV-3040</t>
  </si>
  <si>
    <t xml:space="preserve">INV-3041</t>
  </si>
  <si>
    <t xml:space="preserve">INV-3042</t>
  </si>
  <si>
    <t xml:space="preserve">Nandini Foods</t>
  </si>
  <si>
    <t xml:space="preserve">INV-3043</t>
  </si>
  <si>
    <t xml:space="preserve">INV-3044</t>
  </si>
  <si>
    <t xml:space="preserve">INV-3045</t>
  </si>
  <si>
    <t xml:space="preserve">INV-3046</t>
  </si>
  <si>
    <t xml:space="preserve">INV-3047</t>
  </si>
  <si>
    <t xml:space="preserve">INV-3048</t>
  </si>
  <si>
    <t xml:space="preserve">INV-3049</t>
  </si>
  <si>
    <t xml:space="preserve">INV-3050</t>
  </si>
  <si>
    <t xml:space="preserve">LESSON 2  ·  DAYS OUTSTANDING</t>
  </si>
  <si>
    <t xml:space="preserve">★★★☆☆   Measure how long each invoice has been unpaid, as of a fixed date.</t>
  </si>
  <si>
    <t xml:space="preserve">CONCEPT  ·  Days outstanding = as-of date − invoice date. Use a fixed as-of date in an input cell (B6) rather than TODAY(), so your working paper gives the same answer tomorrow.</t>
  </si>
  <si>
    <t xml:space="preserve">As of</t>
  </si>
  <si>
    <t xml:space="preserve">Days Out</t>
  </si>
  <si>
    <t xml:space="preserve">Fill Days Out: as-of date (B6) minus invoice date.</t>
  </si>
  <si>
    <t xml:space="preserve">=$B$6-C9 — lock B6.</t>
  </si>
  <si>
    <t xml:space="preserve">Average days outstanding.</t>
  </si>
  <si>
    <t xml:space="preserve">AVERAGE your column.</t>
  </si>
  <si>
    <t xml:space="preserve">The oldest invoice, in days.</t>
  </si>
  <si>
    <t xml:space="preserve">MAX of your column.</t>
  </si>
  <si>
    <t xml:space="preserve">How many invoices are more than 120 days old?</t>
  </si>
  <si>
    <t xml:space="preserve">COUNTIF(…,"&gt;120")</t>
  </si>
  <si>
    <t xml:space="preserve">LESSON 3  ·  DUE DATES AND OVERDUE DAYS</t>
  </si>
  <si>
    <t xml:space="preserve">★★★☆☆   Credit terms matter: an old invoice isn't overdue until its credit period ends.</t>
  </si>
  <si>
    <t xml:space="preserve">CONCEPT  ·  Due date = invoice date + credit days. Days overdue = as-of − due date, but never negative: MAX(0, …) turns 'not due yet' into 0.</t>
  </si>
  <si>
    <t xml:space="preserve">Due Date</t>
  </si>
  <si>
    <t xml:space="preserve">Overdue</t>
  </si>
  <si>
    <t xml:space="preserve">Fill Due Date = invoice date + credit days.</t>
  </si>
  <si>
    <t xml:space="preserve">=C9+D9, formatted as a date.</t>
  </si>
  <si>
    <t xml:space="preserve">Fill Overdue: days past the due date (0 if not yet due).</t>
  </si>
  <si>
    <t xml:space="preserve">=MAX(0,$B$6-F9)</t>
  </si>
  <si>
    <t xml:space="preserve">How many invoices are actually overdue?</t>
  </si>
  <si>
    <t xml:space="preserve">COUNTIF(…,"&gt;0")</t>
  </si>
  <si>
    <t xml:space="preserve">Total amount that is overdue.</t>
  </si>
  <si>
    <t xml:space="preserve">SUMIF on your Overdue column.</t>
  </si>
  <si>
    <t xml:space="preserve">LESSON 4  ·  AGEING BUCKETS</t>
  </si>
  <si>
    <t xml:space="preserve">★★★★☆   Classify every invoice into an ageing band — the core of a debtors ageing schedule.</t>
  </si>
  <si>
    <t xml:space="preserve">CONCEPT  ·  Test the bands in order. IFS(test1,result1,test2,result2,…,TRUE,default) returns the first match. LOOKUP(D9,{0,1,31,61,91},{"Not due","1-30","31-60","61-90","90+"}) does the same in one short formula.</t>
  </si>
  <si>
    <t xml:space="preserve">Bucket</t>
  </si>
  <si>
    <t xml:space="preserve">Fill Bucket: "Not due", "1-30", "31-60", "61-90" or "90+" from the Overdue days.</t>
  </si>
  <si>
    <t xml:space="preserve">→ fill column E</t>
  </si>
  <si>
    <t xml:space="preserve">IFS, nested IF or LOOKUP with two lists in {braces}.</t>
  </si>
  <si>
    <t xml:space="preserve">Total amount in the 90+ bucket.</t>
  </si>
  <si>
    <t xml:space="preserve">SUMIF on your Bucket column.</t>
  </si>
  <si>
    <t xml:space="preserve">How many invoices are not yet due?</t>
  </si>
  <si>
    <t xml:space="preserve">COUNTIF on the bucket label.</t>
  </si>
  <si>
    <t xml:space="preserve">LESSON 5  ·  PROVISION MATRIX</t>
  </si>
  <si>
    <t xml:space="preserve">★★★★☆   Apply an expected-loss rate to each bucket — a simplified expected credit loss provision.</t>
  </si>
  <si>
    <t xml:space="preserve">CONCEPT  ·  Look up the bucket's rate in the provision table (exact match), multiply by the amount, round to rupees. Then summarise.</t>
  </si>
  <si>
    <t xml:space="preserve">Provision</t>
  </si>
  <si>
    <t xml:space="preserve">90+</t>
  </si>
  <si>
    <t xml:space="preserve">Fill Provision = Amount × the bucket's rate, rounded to whole rupees.</t>
  </si>
  <si>
    <t xml:space="preserve">=ROUND(C9*VLOOKUP(D9,rate table,2,0),0)</t>
  </si>
  <si>
    <t xml:space="preserve">Total provision required.</t>
  </si>
  <si>
    <t xml:space="preserve">SUM your column.</t>
  </si>
  <si>
    <t xml:space="preserve">Provision as a % of total receivables.</t>
  </si>
  <si>
    <t xml:space="preserve">Provision ÷ receivables.</t>
  </si>
  <si>
    <t xml:space="preserve">Not due</t>
  </si>
  <si>
    <t xml:space="preserve">61-90</t>
  </si>
  <si>
    <t xml:space="preserve">Provision rates by bucket</t>
  </si>
  <si>
    <t xml:space="preserve">Rate</t>
  </si>
  <si>
    <t xml:space="preserve">31-60</t>
  </si>
  <si>
    <t xml:space="preserve">1-30</t>
  </si>
  <si>
    <t xml:space="preserve">LESSON 6  ·  BOSS ROUND — AGEING SUMMARY</t>
  </si>
  <si>
    <t xml:space="preserve">★★★★★   Build the summary table a finance manager actually reads.</t>
  </si>
  <si>
    <t xml:space="preserve">CONCEPT  ·  Count and total by bucket in the grid, then compute concentration. The Count column needs COUNTIF; the Amount column needs SUMIF — both keyed on the bucket label at the left of each grid row.</t>
  </si>
  <si>
    <t xml:space="preserve">Fill the ageing summary grid (Count and Amount per bucket).</t>
  </si>
  <si>
    <t xml:space="preserve">→ fill the grid below</t>
  </si>
  <si>
    <t xml:space="preserve">Count: =COUNTIF($D$9:$D$58,$G15). Amount: =SUMIF($D$9:$D$58,$G15,$C$9:$C$58).</t>
  </si>
  <si>
    <t xml:space="preserve">Share of receivables that is more than 60 days overdue.</t>
  </si>
  <si>
    <t xml:space="preserve">(61-90 + 90+) ÷ total.</t>
  </si>
  <si>
    <t xml:space="preserve">Check: grid Amount column total minus total receivables. Must be zero.</t>
  </si>
  <si>
    <t xml:space="preserve">SUM the Amount column of the grid, minus the register total.</t>
  </si>
  <si>
    <t xml:space="preserve">Ageing summary</t>
  </si>
  <si>
    <t xml:space="preserve">Count</t>
  </si>
  <si>
    <t xml:space="preserve">SOLUTIONS &amp; OTHER WAYS — open only after you have tried</t>
  </si>
  <si>
    <t xml:space="preserve">Model answers are shapes, not the only answer. If your formula gives the same result, it is right — compare the logic.</t>
  </si>
  <si>
    <t xml:space="preserve">L1 Date parts   ★★</t>
  </si>
  <si>
    <t xml:space="preserve">Answer cell</t>
  </si>
  <si>
    <t xml:space="preserve">Model formula</t>
  </si>
  <si>
    <t xml:space="preserve">Other ways</t>
  </si>
  <si>
    <t xml:space="preserve">Why it works</t>
  </si>
  <si>
    <t xml:space="preserve">column F</t>
  </si>
  <si>
    <t xml:space="preserve">=TEXT(C9,"mmm")   (row 9, then fill down)</t>
  </si>
  <si>
    <t xml:space="preserve">=CHOOSE(MONTH(C9),"Jan","Feb",…)</t>
  </si>
  <si>
    <t xml:space="preserve">column G</t>
  </si>
  <si>
    <t xml:space="preserve">=YEAR(C9)+(MONTH(C9)&gt;3)   (row 9, then fill down)</t>
  </si>
  <si>
    <t xml:space="preserve">=IF(MONTH(C9)&gt;3,YEAR(C9)+1,YEAR(C9))</t>
  </si>
  <si>
    <t xml:space="preserve">A comparison inside arithmetic counts as 1 or 0.</t>
  </si>
  <si>
    <t xml:space="preserve">K11</t>
  </si>
  <si>
    <t xml:space="preserve">=COUNTIFS($C$9:$C$58,"&gt;="&amp;DATE(2026,2,1),$C$9:$C$58,"&lt;="&amp;DATE(2026,2,28))</t>
  </si>
  <si>
    <t xml:space="preserve">=SUMPRODUCT((MONTH(C9:C58)=2)*(YEAR(C9:C58)=2026))</t>
  </si>
  <si>
    <t xml:space="preserve">K12</t>
  </si>
  <si>
    <t xml:space="preserve">=MIN($C$9:$C$58)</t>
  </si>
  <si>
    <t xml:space="preserve">L2 Days outstanding   ★★★</t>
  </si>
  <si>
    <t xml:space="preserve">=$B$6-C9   (row 9, then fill down)</t>
  </si>
  <si>
    <t xml:space="preserve">=DATEDIF(C9,$B$6,"d")
=DAYS($B$6,C9)</t>
  </si>
  <si>
    <t xml:space="preserve">TODAY() changes every day; an audit working paper must not.</t>
  </si>
  <si>
    <t xml:space="preserve">J10</t>
  </si>
  <si>
    <t xml:space="preserve">=AVERAGE($F$9:$F$58)</t>
  </si>
  <si>
    <t xml:space="preserve">J11</t>
  </si>
  <si>
    <t xml:space="preserve">=MAX($F$9:$F$58)</t>
  </si>
  <si>
    <t xml:space="preserve">J12</t>
  </si>
  <si>
    <t xml:space="preserve">=COUNTIF($F$9:$F$58,"&gt;120")</t>
  </si>
  <si>
    <t xml:space="preserve">L3 Due dates and overdue days   ★★★</t>
  </si>
  <si>
    <t xml:space="preserve">=C9+D9   (row 9, then fill down)</t>
  </si>
  <si>
    <t xml:space="preserve">=MAX(0,$B$6-F9)   (row 9, then fill down)</t>
  </si>
  <si>
    <t xml:space="preserve">=IF($B$6&gt;F9,$B$6-F9,0)</t>
  </si>
  <si>
    <t xml:space="preserve">=COUNTIF($G$9:$G$58,"&gt;0")</t>
  </si>
  <si>
    <t xml:space="preserve">=SUMIF($G$9:$G$58,"&gt;0",$E$9:$E$58)</t>
  </si>
  <si>
    <t xml:space="preserve">L4 Ageing buckets   ★★★★</t>
  </si>
  <si>
    <t xml:space="preserve">column E</t>
  </si>
  <si>
    <t xml:space="preserve">=IFS(D9&lt;=0,"Not due",D9&lt;=30,"1-30",D9&lt;=60,"31-60",D9&lt;=90,"61-90",TRUE,"90+")</t>
  </si>
  <si>
    <t xml:space="preserve">=LOOKUP(D9,{0,1,31,61,91},{"Not due","1-30","31-60","61-90","90+"})
=IF(D9&lt;=0,"Not due",IF(D9&lt;=30,"1-30",IF(D9&lt;=60,"31-60",IF(D9&lt;=90,"61-90","90+"))))</t>
  </si>
  <si>
    <t xml:space="preserve">Order matters: the first TRUE wins, so test the smallest band first.</t>
  </si>
  <si>
    <t xml:space="preserve">I10</t>
  </si>
  <si>
    <t xml:space="preserve">=SUMIF($E$9:$E$58,"90+",$C$9:$C$58)</t>
  </si>
  <si>
    <t xml:space="preserve">I11</t>
  </si>
  <si>
    <t xml:space="preserve">=COUNTIF($E$9:$E$58,"Not due")</t>
  </si>
  <si>
    <t xml:space="preserve">L5 Provision matrix   ★★★★</t>
  </si>
  <si>
    <t xml:space="preserve">=ROUND(C9*VLOOKUP(D9,$H$15:$I$19,2,0),0)   (row 9, then fill down)</t>
  </si>
  <si>
    <t xml:space="preserve">=ROUND(C9*INDEX(rates,MATCH(D9,buckets,0)),0)</t>
  </si>
  <si>
    <t xml:space="preserve">=SUM($E$9:$E$58)</t>
  </si>
  <si>
    <t xml:space="preserve">=SUM($E$9:$E$58)/SUM($C$9:$C$58)</t>
  </si>
  <si>
    <t xml:space="preserve">L6 Boss round — ageing summary   ★★★★★</t>
  </si>
  <si>
    <t xml:space="preserve">the grid</t>
  </si>
  <si>
    <t xml:space="preserve">=COUNTIF($D$9:$D$58,$G15)   (first cell, then fill right and down)</t>
  </si>
  <si>
    <t xml:space="preserve">H10</t>
  </si>
  <si>
    <t xml:space="preserve">=(SUMIF($D$9:$D$58,"61-90",$C$9:$C$58)+SUMIF($D$9:$D$58,"90+",$C$9:$C$58))/SUM($C$9:$C$58)</t>
  </si>
  <si>
    <t xml:space="preserve">=SUM(SUMIF(D9:D58,{"61-90","90+"},C9:C58))/SUM(C9:C58)</t>
  </si>
  <si>
    <t xml:space="preserve">H11</t>
  </si>
  <si>
    <t xml:space="preserve">=SUM(I15:I19)-SUM($C$9:$C$58)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</si>
</sst>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%"/>
    <numFmt numFmtId="167" formatCode="dd\-mmm\-yyyy"/>
    <numFmt numFmtId="168" formatCode="#,##0"/>
    <numFmt numFmtId="169" formatCode="General"/>
    <numFmt numFmtId="170" formatCode="0.00"/>
    <numFmt numFmtId="171" formatCode="0.0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1"/>
      <color rgb="FFB07107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0E8477"/>
      <name val="Arial"/>
      <family val="0"/>
      <charset val="1"/>
    </font>
    <font>
      <b val="true"/>
      <sz val="9"/>
      <color rgb="FF92400E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b val="true"/>
      <sz val="10"/>
      <color rgb="FF2A5DB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6442B1"/>
      <name val="Arial"/>
      <family val="0"/>
      <charset val="1"/>
    </font>
    <font>
      <b val="true"/>
      <sz val="10"/>
      <color rgb="FFA214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293B"/>
      <name val="Consolas"/>
      <family val="0"/>
      <charset val="1"/>
    </font>
    <font>
      <sz val="10"/>
      <color rgb="FF1E293B"/>
      <name val="Consola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59E0B"/>
        <bgColor rgb="FFD97706"/>
      </patternFill>
    </fill>
    <fill>
      <patternFill patternType="solid">
        <fgColor rgb="FFFFF3B0"/>
        <bgColor rgb="FFFEF3C7"/>
      </patternFill>
    </fill>
    <fill>
      <patternFill patternType="solid">
        <fgColor rgb="FFDBEAFE"/>
        <bgColor rgb="FFE2E8F0"/>
      </patternFill>
    </fill>
    <fill>
      <patternFill patternType="solid">
        <fgColor rgb="FFD1FAE5"/>
        <bgColor rgb="FFE7F7F6"/>
      </patternFill>
    </fill>
    <fill>
      <patternFill patternType="solid">
        <fgColor rgb="FFFEE2E2"/>
        <bgColor rgb="FFFCE8EC"/>
      </patternFill>
    </fill>
    <fill>
      <patternFill patternType="solid">
        <fgColor rgb="FFFEF3C7"/>
        <bgColor rgb="FFFFF3B0"/>
      </patternFill>
    </fill>
    <fill>
      <patternFill patternType="solid">
        <fgColor rgb="FFB07107"/>
        <bgColor rgb="FFD97706"/>
      </patternFill>
    </fill>
    <fill>
      <patternFill patternType="solid">
        <fgColor rgb="FF14B8A6"/>
        <bgColor rgb="FF00CCFF"/>
      </patternFill>
    </fill>
    <fill>
      <patternFill patternType="solid">
        <fgColor rgb="FFE7F7F6"/>
        <bgColor rgb="FFEBF2FE"/>
      </patternFill>
    </fill>
    <fill>
      <patternFill patternType="solid">
        <fgColor rgb="FF0F172A"/>
        <bgColor rgb="FF1E293B"/>
      </patternFill>
    </fill>
    <fill>
      <patternFill patternType="solid">
        <fgColor rgb="FF0E8477"/>
        <bgColor rgb="FF339966"/>
      </patternFill>
    </fill>
    <fill>
      <patternFill patternType="solid">
        <fgColor rgb="FFF8FAFC"/>
        <bgColor rgb="FFFFFFFF"/>
      </patternFill>
    </fill>
    <fill>
      <patternFill patternType="solid">
        <fgColor rgb="FF3B82F6"/>
        <bgColor rgb="FF2A5DB1"/>
      </patternFill>
    </fill>
    <fill>
      <patternFill patternType="solid">
        <fgColor rgb="FFEBF2FE"/>
        <bgColor rgb="FFF1F5F9"/>
      </patternFill>
    </fill>
    <fill>
      <patternFill patternType="solid">
        <fgColor rgb="FF2A5DB1"/>
        <bgColor rgb="FF1D4ED8"/>
      </patternFill>
    </fill>
    <fill>
      <patternFill patternType="solid">
        <fgColor rgb="FF8B5CF6"/>
        <bgColor rgb="FF6442B1"/>
      </patternFill>
    </fill>
    <fill>
      <patternFill patternType="solid">
        <fgColor rgb="FFF3EEFE"/>
        <bgColor rgb="FFEBF2FE"/>
      </patternFill>
    </fill>
    <fill>
      <patternFill patternType="solid">
        <fgColor rgb="FF6442B1"/>
        <bgColor rgb="FF475569"/>
      </patternFill>
    </fill>
    <fill>
      <patternFill patternType="solid">
        <fgColor rgb="FF475569"/>
        <bgColor rgb="FF334155"/>
      </patternFill>
    </fill>
    <fill>
      <patternFill patternType="solid">
        <fgColor rgb="FFF1F5F9"/>
        <bgColor rgb="FFEBF2FE"/>
      </patternFill>
    </fill>
    <fill>
      <patternFill patternType="solid">
        <fgColor rgb="FFE11D48"/>
        <bgColor rgb="FFA21433"/>
      </patternFill>
    </fill>
    <fill>
      <patternFill patternType="solid">
        <fgColor rgb="FFFCE8EC"/>
        <bgColor rgb="FFFEE2E2"/>
      </patternFill>
    </fill>
    <fill>
      <patternFill patternType="solid">
        <fgColor rgb="FFA21433"/>
        <bgColor rgb="FF991B1B"/>
      </patternFill>
    </fill>
    <fill>
      <patternFill patternType="solid">
        <fgColor rgb="FFE2E8F0"/>
        <bgColor rgb="FFDBEAFE"/>
      </patternFill>
    </fill>
    <fill>
      <patternFill patternType="solid">
        <fgColor rgb="FF334155"/>
        <bgColor rgb="FF47556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5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8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3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3" fillId="1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3" fillId="2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65F46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64748B"/>
      </font>
      <fill>
        <patternFill>
          <bgColor rgb="FFF1F5F9"/>
        </patternFill>
      </fill>
    </dxf>
  </dxfs>
  <colors>
    <indexedColors>
      <rgbColor rgb="FF000000"/>
      <rgbColor rgb="FFFFFFFF"/>
      <rgbColor rgb="FFE11D48"/>
      <rgbColor rgb="FF00FF00"/>
      <rgbColor rgb="FF0000FF"/>
      <rgbColor rgb="FFF1F5F9"/>
      <rgbColor rgb="FFFF00FF"/>
      <rgbColor rgb="FF00FFFF"/>
      <rgbColor rgb="FF991B1B"/>
      <rgbColor rgb="FF008000"/>
      <rgbColor rgb="FF000080"/>
      <rgbColor rgb="FFB07107"/>
      <rgbColor rgb="FF800080"/>
      <rgbColor rgb="FF0E8477"/>
      <rgbColor rgb="FFE2E8F0"/>
      <rgbColor rgb="FF808080"/>
      <rgbColor rgb="FF8B5CF6"/>
      <rgbColor rgb="FF6442B1"/>
      <rgbColor rgb="FFFEF3C7"/>
      <rgbColor rgb="FFE7F7F6"/>
      <rgbColor rgb="FF660066"/>
      <rgbColor rgb="FFFF8080"/>
      <rgbColor rgb="FF1D4ED8"/>
      <rgbColor rgb="FFCBD5E1"/>
      <rgbColor rgb="FF000080"/>
      <rgbColor rgb="FFFF00FF"/>
      <rgbColor rgb="FFF8FAFC"/>
      <rgbColor rgb="FF00FFFF"/>
      <rgbColor rgb="FF800080"/>
      <rgbColor rgb="FFA21433"/>
      <rgbColor rgb="FF065F46"/>
      <rgbColor rgb="FF0000FF"/>
      <rgbColor rgb="FF00CCFF"/>
      <rgbColor rgb="FFDBEAFE"/>
      <rgbColor rgb="FFD1FAE5"/>
      <rgbColor rgb="FFFFF3B0"/>
      <rgbColor rgb="FFEBF2FE"/>
      <rgbColor rgb="FFFCE8EC"/>
      <rgbColor rgb="FFF3EEFE"/>
      <rgbColor rgb="FFFEE2E2"/>
      <rgbColor rgb="FF3B82F6"/>
      <rgbColor rgb="FF14B8A6"/>
      <rgbColor rgb="FF99CC00"/>
      <rgbColor rgb="FFFFCC00"/>
      <rgbColor rgb="FFF59E0B"/>
      <rgbColor rgb="FFD97706"/>
      <rgbColor rgb="FF64748B"/>
      <rgbColor rgb="FF969696"/>
      <rgbColor rgb="FF2A5DB1"/>
      <rgbColor rgb="FF339966"/>
      <rgbColor rgb="FF0F172A"/>
      <rgbColor rgb="FF475569"/>
      <rgbColor rgb="FF92400E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xcel-lab-04-dates-ageing.xlsx" TargetMode="External"/><Relationship Id="rId2" Type="http://schemas.openxmlformats.org/officeDocument/2006/relationships/hyperlink" Target="excel-lab-04-dates-ageing.xlsx" TargetMode="External"/><Relationship Id="rId3" Type="http://schemas.openxmlformats.org/officeDocument/2006/relationships/hyperlink" Target="excel-lab-04-dates-ageing.xlsx" TargetMode="External"/><Relationship Id="rId4" Type="http://schemas.openxmlformats.org/officeDocument/2006/relationships/hyperlink" Target="excel-lab-04-dates-ageing.xlsx" TargetMode="External"/><Relationship Id="rId5" Type="http://schemas.openxmlformats.org/officeDocument/2006/relationships/hyperlink" Target="excel-lab-04-dates-ageing.xlsx" TargetMode="External"/><Relationship Id="rId6" Type="http://schemas.openxmlformats.org/officeDocument/2006/relationships/hyperlink" Target="excel-lab-04-dates-ageing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8" min="7" style="0" width="4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n">
        <v>1</v>
      </c>
      <c r="B5" s="5" t="s">
        <v>3</v>
      </c>
      <c r="C5" s="5"/>
      <c r="D5" s="5"/>
      <c r="E5" s="5"/>
      <c r="F5" s="5"/>
    </row>
    <row r="6" customFormat="false" ht="27.75" hidden="false" customHeight="true" outlineLevel="0" collapsed="false">
      <c r="A6" s="4" t="n">
        <v>2</v>
      </c>
      <c r="B6" s="5" t="s">
        <v>4</v>
      </c>
      <c r="C6" s="5"/>
      <c r="D6" s="5"/>
      <c r="E6" s="5"/>
      <c r="F6" s="5"/>
    </row>
    <row r="7" customFormat="false" ht="27.75" hidden="false" customHeight="true" outlineLevel="0" collapsed="false">
      <c r="A7" s="4" t="n">
        <v>3</v>
      </c>
      <c r="B7" s="5" t="s">
        <v>5</v>
      </c>
      <c r="C7" s="5"/>
      <c r="D7" s="5"/>
      <c r="E7" s="5"/>
      <c r="F7" s="5"/>
    </row>
    <row r="8" customFormat="false" ht="27.75" hidden="false" customHeight="true" outlineLevel="0" collapsed="false">
      <c r="A8" s="4" t="n">
        <v>4</v>
      </c>
      <c r="B8" s="5" t="s">
        <v>6</v>
      </c>
      <c r="C8" s="5"/>
      <c r="D8" s="5"/>
      <c r="E8" s="5"/>
      <c r="F8" s="5"/>
    </row>
    <row r="9" customFormat="false" ht="27.75" hidden="false" customHeight="true" outlineLevel="0" collapsed="false">
      <c r="A9" s="4" t="n">
        <v>5</v>
      </c>
      <c r="B9" s="5" t="s">
        <v>7</v>
      </c>
      <c r="C9" s="5"/>
      <c r="D9" s="5"/>
      <c r="E9" s="5"/>
      <c r="F9" s="5"/>
    </row>
    <row r="11" customFormat="false" ht="15" hidden="false" customHeight="false" outlineLevel="0" collapsed="false">
      <c r="A11" s="3" t="s">
        <v>8</v>
      </c>
    </row>
    <row r="12" customFormat="false" ht="19.5" hidden="false" customHeight="true" outlineLevel="0" collapsed="false">
      <c r="A12" s="6"/>
      <c r="B12" s="7" t="s">
        <v>9</v>
      </c>
      <c r="C12" s="7"/>
      <c r="D12" s="7"/>
      <c r="E12" s="7"/>
      <c r="F12" s="7"/>
    </row>
    <row r="13" customFormat="false" ht="19.5" hidden="false" customHeight="true" outlineLevel="0" collapsed="false">
      <c r="A13" s="8"/>
      <c r="B13" s="7" t="s">
        <v>10</v>
      </c>
      <c r="C13" s="7"/>
      <c r="D13" s="7"/>
      <c r="E13" s="7"/>
      <c r="F13" s="7"/>
    </row>
    <row r="14" customFormat="false" ht="19.5" hidden="false" customHeight="true" outlineLevel="0" collapsed="false">
      <c r="A14" s="9"/>
      <c r="B14" s="7" t="s">
        <v>11</v>
      </c>
      <c r="C14" s="7"/>
      <c r="D14" s="7"/>
      <c r="E14" s="7"/>
      <c r="F14" s="7"/>
    </row>
    <row r="15" customFormat="false" ht="19.5" hidden="false" customHeight="true" outlineLevel="0" collapsed="false">
      <c r="A15" s="10"/>
      <c r="B15" s="7" t="s">
        <v>12</v>
      </c>
      <c r="C15" s="7"/>
      <c r="D15" s="7"/>
      <c r="E15" s="7"/>
      <c r="F15" s="7"/>
    </row>
    <row r="16" customFormat="false" ht="19.5" hidden="false" customHeight="true" outlineLevel="0" collapsed="false">
      <c r="A16" s="11"/>
      <c r="B16" s="7" t="s">
        <v>13</v>
      </c>
      <c r="C16" s="7"/>
      <c r="D16" s="7"/>
      <c r="E16" s="7"/>
      <c r="F16" s="7"/>
    </row>
    <row r="18" customFormat="false" ht="21.75" hidden="false" customHeight="true" outlineLevel="0" collapsed="false">
      <c r="A18" s="12" t="s">
        <v>14</v>
      </c>
      <c r="B18" s="12" t="s">
        <v>15</v>
      </c>
      <c r="C18" s="12" t="s">
        <v>16</v>
      </c>
      <c r="D18" s="12" t="s">
        <v>17</v>
      </c>
      <c r="E18" s="12" t="s">
        <v>18</v>
      </c>
      <c r="F18" s="12" t="s">
        <v>19</v>
      </c>
    </row>
    <row r="19" customFormat="false" ht="19.5" hidden="false" customHeight="true" outlineLevel="0" collapsed="false">
      <c r="A19" s="13" t="n">
        <v>1</v>
      </c>
      <c r="B19" s="14" t="s">
        <v>20</v>
      </c>
      <c r="C19" s="15" t="s">
        <v>21</v>
      </c>
      <c r="D19" s="16" t="n">
        <v>4</v>
      </c>
      <c r="E19" s="13" t="n">
        <f aca="false">COUNTIF('L1 Date parts'!L9:L12,"✓*")</f>
        <v>0</v>
      </c>
      <c r="F19" s="17" t="n">
        <f aca="false">IFERROR(E19/D19,0)</f>
        <v>0</v>
      </c>
    </row>
    <row r="20" customFormat="false" ht="19.5" hidden="false" customHeight="true" outlineLevel="0" collapsed="false">
      <c r="A20" s="13" t="n">
        <v>2</v>
      </c>
      <c r="B20" s="14" t="s">
        <v>22</v>
      </c>
      <c r="C20" s="15" t="s">
        <v>23</v>
      </c>
      <c r="D20" s="16" t="n">
        <v>4</v>
      </c>
      <c r="E20" s="13" t="n">
        <f aca="false">COUNTIF('L2 Days outstanding'!K9:K12,"✓*")</f>
        <v>0</v>
      </c>
      <c r="F20" s="17" t="n">
        <f aca="false">IFERROR(E20/D20,0)</f>
        <v>0</v>
      </c>
    </row>
    <row r="21" customFormat="false" ht="19.5" hidden="false" customHeight="true" outlineLevel="0" collapsed="false">
      <c r="A21" s="13" t="n">
        <v>3</v>
      </c>
      <c r="B21" s="14" t="s">
        <v>24</v>
      </c>
      <c r="C21" s="15" t="s">
        <v>23</v>
      </c>
      <c r="D21" s="16" t="n">
        <v>4</v>
      </c>
      <c r="E21" s="13" t="n">
        <f aca="false">COUNTIF('L3 Due dates and overdue days'!L9:L12,"✓*")</f>
        <v>0</v>
      </c>
      <c r="F21" s="17" t="n">
        <f aca="false">IFERROR(E21/D21,0)</f>
        <v>0</v>
      </c>
    </row>
    <row r="22" customFormat="false" ht="19.5" hidden="false" customHeight="true" outlineLevel="0" collapsed="false">
      <c r="A22" s="13" t="n">
        <v>4</v>
      </c>
      <c r="B22" s="14" t="s">
        <v>25</v>
      </c>
      <c r="C22" s="15" t="s">
        <v>26</v>
      </c>
      <c r="D22" s="16" t="n">
        <v>3</v>
      </c>
      <c r="E22" s="13" t="n">
        <f aca="false">COUNTIF('L4 Ageing buckets'!J9:J11,"✓*")</f>
        <v>0</v>
      </c>
      <c r="F22" s="17" t="n">
        <f aca="false">IFERROR(E22/D22,0)</f>
        <v>0</v>
      </c>
    </row>
    <row r="23" customFormat="false" ht="19.5" hidden="false" customHeight="true" outlineLevel="0" collapsed="false">
      <c r="A23" s="13" t="n">
        <v>5</v>
      </c>
      <c r="B23" s="14" t="s">
        <v>27</v>
      </c>
      <c r="C23" s="15" t="s">
        <v>26</v>
      </c>
      <c r="D23" s="16" t="n">
        <v>3</v>
      </c>
      <c r="E23" s="13" t="n">
        <f aca="false">COUNTIF('L5 Provision matrix'!J9:J11,"✓*")</f>
        <v>0</v>
      </c>
      <c r="F23" s="17" t="n">
        <f aca="false">IFERROR(E23/D23,0)</f>
        <v>0</v>
      </c>
    </row>
    <row r="24" customFormat="false" ht="19.5" hidden="false" customHeight="true" outlineLevel="0" collapsed="false">
      <c r="A24" s="13" t="n">
        <v>6</v>
      </c>
      <c r="B24" s="14" t="s">
        <v>28</v>
      </c>
      <c r="C24" s="15" t="s">
        <v>29</v>
      </c>
      <c r="D24" s="16" t="n">
        <v>3</v>
      </c>
      <c r="E24" s="13" t="n">
        <f aca="false">COUNTIF('L6 Boss round — ageing summary'!I9:I11,"✓*")</f>
        <v>0</v>
      </c>
      <c r="F24" s="17" t="n">
        <f aca="false">IFERROR(E24/D24,0)</f>
        <v>0</v>
      </c>
    </row>
    <row r="25" customFormat="false" ht="15" hidden="false" customHeight="false" outlineLevel="0" collapsed="false">
      <c r="B25" s="18" t="s">
        <v>30</v>
      </c>
      <c r="D25" s="13" t="n">
        <f aca="false">SUM(D19:D24)</f>
        <v>21</v>
      </c>
      <c r="E25" s="13" t="n">
        <f aca="false">SUM(E19:E24)</f>
        <v>0</v>
      </c>
      <c r="F25" s="19" t="n">
        <f aca="false">IFERROR(E25/D25,0)</f>
        <v>0</v>
      </c>
    </row>
    <row r="27" customFormat="false" ht="15" hidden="false" customHeight="false" outlineLevel="0" collapsed="false">
      <c r="A27" s="20" t="s">
        <v>31</v>
      </c>
      <c r="B27" s="20"/>
      <c r="C27" s="20"/>
      <c r="D27" s="20"/>
      <c r="E27" s="20"/>
      <c r="F27" s="20"/>
    </row>
  </sheetData>
  <mergeCells count="13">
    <mergeCell ref="A1:F1"/>
    <mergeCell ref="A2:F2"/>
    <mergeCell ref="B5:F5"/>
    <mergeCell ref="B6:F6"/>
    <mergeCell ref="B7:F7"/>
    <mergeCell ref="B8:F8"/>
    <mergeCell ref="B9:F9"/>
    <mergeCell ref="B12:F12"/>
    <mergeCell ref="B13:F13"/>
    <mergeCell ref="B14:F14"/>
    <mergeCell ref="B15:F15"/>
    <mergeCell ref="B16:F16"/>
    <mergeCell ref="A27:F27"/>
  </mergeCells>
  <conditionalFormatting sqref="F19:F25">
    <cfRule type="dataBar" priority="2">
      <dataBar showValue="1" minLength="10" maxLength="90">
        <cfvo type="num" val="0"/>
        <cfvo type="num" val="1"/>
        <color rgb="FFF59E0B"/>
      </dataBar>
      <extLst>
        <ext xmlns:x14="http://schemas.microsoft.com/office/spreadsheetml/2009/9/main" uri="{B025F937-C7B1-47D3-B67F-A62EFF666E3E}">
          <x14:id>{E940B258-51EE-4057-A9E0-50761C7ED2FC}</x14:id>
        </ext>
      </extLst>
    </cfRule>
  </conditionalFormatting>
  <hyperlinks>
    <hyperlink ref="B19" r:id="rId1" location="'L1%20Date%20parts'!A1" display="L1 Date parts"/>
    <hyperlink ref="B20" r:id="rId2" location="'L2%20Days%20outstanding'!A1" display="L2 Days outstanding"/>
    <hyperlink ref="B21" r:id="rId3" location="'L3%20Due%20dates%20and%20overdue%20days'!A1" display="L3 Due dates and overdue days"/>
    <hyperlink ref="B22" r:id="rId4" location="'L4%20Ageing%20buckets'!A1" display="L4 Ageing buckets"/>
    <hyperlink ref="B23" r:id="rId5" location="'L5%20Provision%20matrix'!A1" display="L5 Provision matrix"/>
    <hyperlink ref="B24" r:id="rId6" location="'L6%20Boss%20round%20—%20ageing%20summary'!A1" display="L6 Boss round — ageing summ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40B258-51EE-4057-A9E0-50761C7ED2F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59E0B"/>
              <x14:axisColor rgb="FF000000"/>
            </x14:dataBar>
          </x14:cfRule>
          <xm:sqref>F19:F25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7" min="4" style="0" width="9"/>
    <col collapsed="false" customWidth="true" hidden="false" outlineLevel="0" max="8" min="8" style="0" width="3"/>
    <col collapsed="false" customWidth="true" hidden="false" outlineLevel="0" max="9" min="9" style="0" width="5"/>
    <col collapsed="false" customWidth="true" hidden="false" outlineLevel="0" max="10" min="10" style="0" width="46"/>
    <col collapsed="false" customWidth="true" hidden="false" outlineLevel="0" max="11" min="11" style="0" width="18"/>
    <col collapsed="false" customWidth="true" hidden="false" outlineLevel="0" max="12" min="12" style="0" width="17"/>
    <col collapsed="false" customWidth="true" hidden="false" outlineLevel="0" max="13" min="13" style="0" width="38"/>
    <col collapsed="false" customWidth="true" hidden="true" outlineLevel="0" max="17" min="14" style="0" width="13"/>
  </cols>
  <sheetData>
    <row r="1" customFormat="false" ht="31.5" hidden="false" customHeight="true" outlineLevel="0" collapsed="false">
      <c r="A1" s="21" t="s">
        <v>32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19.5" hidden="false" customHeight="true" outlineLevel="0" collapsed="false">
      <c r="A2" s="22" t="s">
        <v>33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customFormat="false" ht="18.75" hidden="false" customHeight="true" outlineLevel="0" collapsed="false">
      <c r="A3" s="23" t="s">
        <v>34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customFormat="false" ht="18.75" hidden="false" customHeight="true" outlineLevel="0" collapsed="false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customFormat="false" ht="18.75" hidden="false" customHeight="true" outlineLevel="0" collapsed="false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35</v>
      </c>
      <c r="B8" s="24" t="s">
        <v>36</v>
      </c>
      <c r="C8" s="24" t="s">
        <v>37</v>
      </c>
      <c r="D8" s="24" t="s">
        <v>38</v>
      </c>
      <c r="E8" s="24" t="s">
        <v>39</v>
      </c>
      <c r="F8" s="25" t="s">
        <v>40</v>
      </c>
      <c r="G8" s="25" t="s">
        <v>41</v>
      </c>
      <c r="I8" s="26" t="s">
        <v>14</v>
      </c>
      <c r="J8" s="26" t="s">
        <v>42</v>
      </c>
      <c r="K8" s="26" t="s">
        <v>43</v>
      </c>
      <c r="L8" s="26" t="s">
        <v>44</v>
      </c>
      <c r="M8" s="26" t="s">
        <v>45</v>
      </c>
    </row>
    <row r="9" customFormat="false" ht="33.75" hidden="false" customHeight="true" outlineLevel="0" collapsed="false">
      <c r="A9" s="27" t="s">
        <v>46</v>
      </c>
      <c r="B9" s="27" t="s">
        <v>47</v>
      </c>
      <c r="C9" s="28" t="n">
        <v>45883</v>
      </c>
      <c r="D9" s="29" t="n">
        <v>15</v>
      </c>
      <c r="E9" s="30" t="n">
        <v>100500</v>
      </c>
      <c r="F9" s="31"/>
      <c r="G9" s="32"/>
      <c r="I9" s="33" t="n">
        <v>1</v>
      </c>
      <c r="J9" s="34" t="s">
        <v>48</v>
      </c>
      <c r="K9" s="35" t="s">
        <v>49</v>
      </c>
      <c r="L9" s="36" t="str">
        <f aca="false">IF(COUNTA($F$9:$F$58)=0,"◯ Not attempted",IF(NOT(_xlfn.ISFORMULA(F9)),"✎ Use a formula",IFERROR(IF(SUMPRODUCT(--(UPPER(TRIM($F$9:$F$58&amp;""))=UPPER(TRIM($O$9:$O$58&amp;""))))=ROWS($F$9:$F$58),"✓ Correct","✗ "&amp;(ROWS($F$9:$F$58)-SUMPRODUCT(--(UPPER(TRIM($F$9:$F$58&amp;""))=UPPER(TRIM($O$9:$O$58&amp;"")))))&amp;" rows differ"),"✗ Check the column")))</f>
        <v>◯ Not attempted</v>
      </c>
      <c r="M9" s="37" t="s">
        <v>50</v>
      </c>
      <c r="O9" s="0" t="str">
        <f aca="false">TEXT(C9,"mmm")</f>
        <v>Aug</v>
      </c>
      <c r="P9" s="0" t="n">
        <f aca="false">YEAR(C9)+(MONTH(C9)&gt;3)</f>
        <v>2026</v>
      </c>
    </row>
    <row r="10" customFormat="false" ht="33.75" hidden="false" customHeight="true" outlineLevel="0" collapsed="false">
      <c r="A10" s="38" t="s">
        <v>51</v>
      </c>
      <c r="B10" s="38" t="s">
        <v>52</v>
      </c>
      <c r="C10" s="39" t="n">
        <v>45887</v>
      </c>
      <c r="D10" s="40" t="n">
        <v>30</v>
      </c>
      <c r="E10" s="41" t="n">
        <v>410500</v>
      </c>
      <c r="F10" s="31"/>
      <c r="G10" s="32"/>
      <c r="I10" s="33" t="n">
        <v>2</v>
      </c>
      <c r="J10" s="34" t="s">
        <v>53</v>
      </c>
      <c r="K10" s="35" t="s">
        <v>54</v>
      </c>
      <c r="L10" s="36" t="str">
        <f aca="false">IF(COUNTA($G$9:$G$58)=0,"◯ Not attempted",IF(NOT(_xlfn.ISFORMULA(G9)),"✎ Use a formula",IFERROR(IF(SUMPRODUCT(--(ABS($G$9:$G$58-$P$9:$P$58)&lt;0.01))=ROWS($G$9:$G$58),"✓ Correct","✗ "&amp;(ROWS($G$9:$G$58)-SUMPRODUCT(--(ABS($G$9:$G$58-$P$9:$P$58)&lt;0.01)))&amp;" rows differ"),"✗ Check the column")))</f>
        <v>◯ Not attempted</v>
      </c>
      <c r="M10" s="37" t="s">
        <v>55</v>
      </c>
      <c r="O10" s="0" t="str">
        <f aca="false">TEXT(C10,"mmm")</f>
        <v>Aug</v>
      </c>
      <c r="P10" s="0" t="n">
        <f aca="false">YEAR(C10)+(MONTH(C10)&gt;3)</f>
        <v>2026</v>
      </c>
    </row>
    <row r="11" customFormat="false" ht="33.75" hidden="false" customHeight="true" outlineLevel="0" collapsed="false">
      <c r="A11" s="27" t="s">
        <v>56</v>
      </c>
      <c r="B11" s="27" t="s">
        <v>57</v>
      </c>
      <c r="C11" s="28" t="n">
        <v>45890</v>
      </c>
      <c r="D11" s="29" t="n">
        <v>60</v>
      </c>
      <c r="E11" s="30" t="n">
        <v>97500</v>
      </c>
      <c r="F11" s="31"/>
      <c r="G11" s="32"/>
      <c r="I11" s="33" t="n">
        <v>3</v>
      </c>
      <c r="J11" s="34" t="s">
        <v>58</v>
      </c>
      <c r="K11" s="42"/>
      <c r="L11" s="36" t="str">
        <f aca="false">IF(ISBLANK(K11),"◯ Not attempted",IF(NOT(_xlfn.ISFORMULA(K11)),"✎ Use a formula",IF(ISNUMBER(K11),IF(ABS(K11-$N$11)&lt;0.005,"✓ Correct","✗ Check again"),"✗ Not a number")))</f>
        <v>◯ Not attempted</v>
      </c>
      <c r="M11" s="37" t="s">
        <v>59</v>
      </c>
      <c r="N11" s="43" t="n">
        <f aca="false">COUNTIFS($C$9:$C$58,"&gt;="&amp;DATE(2026,2,1),$C$9:$C$58,"&lt;="&amp;DATE(2026,2,28))</f>
        <v>6</v>
      </c>
      <c r="O11" s="0" t="str">
        <f aca="false">TEXT(C11,"mmm")</f>
        <v>Aug</v>
      </c>
      <c r="P11" s="44" t="n">
        <f aca="false">YEAR(C11)+(MONTH(C11)&gt;3)</f>
        <v>2026</v>
      </c>
    </row>
    <row r="12" customFormat="false" ht="33.75" hidden="false" customHeight="true" outlineLevel="0" collapsed="false">
      <c r="A12" s="38" t="s">
        <v>60</v>
      </c>
      <c r="B12" s="38" t="s">
        <v>57</v>
      </c>
      <c r="C12" s="39" t="n">
        <v>46111</v>
      </c>
      <c r="D12" s="40" t="n">
        <v>30</v>
      </c>
      <c r="E12" s="41" t="n">
        <v>193000</v>
      </c>
      <c r="F12" s="31"/>
      <c r="G12" s="32"/>
      <c r="I12" s="33" t="n">
        <v>4</v>
      </c>
      <c r="J12" s="34" t="s">
        <v>61</v>
      </c>
      <c r="K12" s="45"/>
      <c r="L12" s="36" t="str">
        <f aca="false">IF(ISBLANK(K12),"◯ Not attempted",IF(NOT(_xlfn.ISFORMULA(K12)),"✎ Use a formula",IF(ISNUMBER(K12),IF(ABS(K12-$N$12)&lt;0.005,"✓ Correct","✗ Check again"),"✗ Not a number")))</f>
        <v>◯ Not attempted</v>
      </c>
      <c r="M12" s="37" t="s">
        <v>62</v>
      </c>
      <c r="N12" s="46" t="n">
        <f aca="false">MIN($C$9:$C$58)</f>
        <v>45841</v>
      </c>
      <c r="O12" s="0" t="str">
        <f aca="false">TEXT(C12,"mmm")</f>
        <v>Mar</v>
      </c>
      <c r="P12" s="44" t="n">
        <f aca="false">YEAR(C12)+(MONTH(C12)&gt;3)</f>
        <v>2026</v>
      </c>
    </row>
    <row r="13" customFormat="false" ht="15" hidden="false" customHeight="false" outlineLevel="0" collapsed="false">
      <c r="A13" s="27" t="s">
        <v>63</v>
      </c>
      <c r="B13" s="27" t="s">
        <v>64</v>
      </c>
      <c r="C13" s="28" t="n">
        <v>45936</v>
      </c>
      <c r="D13" s="29" t="n">
        <v>90</v>
      </c>
      <c r="E13" s="30" t="n">
        <v>140500</v>
      </c>
      <c r="F13" s="31"/>
      <c r="G13" s="32"/>
      <c r="O13" s="0" t="str">
        <f aca="false">TEXT(C13,"mmm")</f>
        <v>Oct</v>
      </c>
      <c r="P13" s="44" t="n">
        <f aca="false">YEAR(C13)+(MONTH(C13)&gt;3)</f>
        <v>2026</v>
      </c>
    </row>
    <row r="14" customFormat="false" ht="15" hidden="false" customHeight="false" outlineLevel="0" collapsed="false">
      <c r="A14" s="38" t="s">
        <v>65</v>
      </c>
      <c r="B14" s="38" t="s">
        <v>47</v>
      </c>
      <c r="C14" s="39" t="n">
        <v>45993</v>
      </c>
      <c r="D14" s="40" t="n">
        <v>45</v>
      </c>
      <c r="E14" s="41" t="n">
        <v>51500</v>
      </c>
      <c r="F14" s="31"/>
      <c r="G14" s="32"/>
      <c r="O14" s="0" t="str">
        <f aca="false">TEXT(C14,"mmm")</f>
        <v>Dec</v>
      </c>
      <c r="P14" s="44" t="n">
        <f aca="false">YEAR(C14)+(MONTH(C14)&gt;3)</f>
        <v>2026</v>
      </c>
    </row>
    <row r="15" customFormat="false" ht="15" hidden="false" customHeight="false" outlineLevel="0" collapsed="false">
      <c r="A15" s="27" t="s">
        <v>66</v>
      </c>
      <c r="B15" s="27" t="s">
        <v>52</v>
      </c>
      <c r="C15" s="28" t="n">
        <v>45980</v>
      </c>
      <c r="D15" s="29" t="n">
        <v>90</v>
      </c>
      <c r="E15" s="30" t="n">
        <v>218000</v>
      </c>
      <c r="F15" s="31"/>
      <c r="G15" s="32"/>
      <c r="O15" s="0" t="str">
        <f aca="false">TEXT(C15,"mmm")</f>
        <v>Nov</v>
      </c>
      <c r="P15" s="44" t="n">
        <f aca="false">YEAR(C15)+(MONTH(C15)&gt;3)</f>
        <v>2026</v>
      </c>
    </row>
    <row r="16" customFormat="false" ht="15" hidden="false" customHeight="false" outlineLevel="0" collapsed="false">
      <c r="A16" s="38" t="s">
        <v>67</v>
      </c>
      <c r="B16" s="38" t="s">
        <v>57</v>
      </c>
      <c r="C16" s="39" t="n">
        <v>45877</v>
      </c>
      <c r="D16" s="40" t="n">
        <v>45</v>
      </c>
      <c r="E16" s="41" t="n">
        <v>101000</v>
      </c>
      <c r="F16" s="31"/>
      <c r="G16" s="32"/>
      <c r="O16" s="0" t="str">
        <f aca="false">TEXT(C16,"mmm")</f>
        <v>Aug</v>
      </c>
      <c r="P16" s="44" t="n">
        <f aca="false">YEAR(C16)+(MONTH(C16)&gt;3)</f>
        <v>2026</v>
      </c>
    </row>
    <row r="17" customFormat="false" ht="15" hidden="false" customHeight="false" outlineLevel="0" collapsed="false">
      <c r="A17" s="27" t="s">
        <v>68</v>
      </c>
      <c r="B17" s="27" t="s">
        <v>69</v>
      </c>
      <c r="C17" s="28" t="n">
        <v>46056</v>
      </c>
      <c r="D17" s="29" t="n">
        <v>60</v>
      </c>
      <c r="E17" s="30" t="n">
        <v>171000</v>
      </c>
      <c r="F17" s="31"/>
      <c r="G17" s="32"/>
      <c r="O17" s="0" t="str">
        <f aca="false">TEXT(C17,"mmm")</f>
        <v>Feb</v>
      </c>
      <c r="P17" s="44" t="n">
        <f aca="false">YEAR(C17)+(MONTH(C17)&gt;3)</f>
        <v>2026</v>
      </c>
    </row>
    <row r="18" customFormat="false" ht="15" hidden="false" customHeight="false" outlineLevel="0" collapsed="false">
      <c r="A18" s="38" t="s">
        <v>70</v>
      </c>
      <c r="B18" s="38" t="s">
        <v>71</v>
      </c>
      <c r="C18" s="39" t="n">
        <v>46037</v>
      </c>
      <c r="D18" s="40" t="n">
        <v>90</v>
      </c>
      <c r="E18" s="41" t="n">
        <v>224500</v>
      </c>
      <c r="F18" s="31"/>
      <c r="G18" s="32"/>
      <c r="O18" s="0" t="str">
        <f aca="false">TEXT(C18,"mmm")</f>
        <v>Jan</v>
      </c>
      <c r="P18" s="44" t="n">
        <f aca="false">YEAR(C18)+(MONTH(C18)&gt;3)</f>
        <v>2026</v>
      </c>
    </row>
    <row r="19" customFormat="false" ht="15" hidden="false" customHeight="false" outlineLevel="0" collapsed="false">
      <c r="A19" s="27" t="s">
        <v>72</v>
      </c>
      <c r="B19" s="27" t="s">
        <v>57</v>
      </c>
      <c r="C19" s="28" t="n">
        <v>45990</v>
      </c>
      <c r="D19" s="29" t="n">
        <v>90</v>
      </c>
      <c r="E19" s="30" t="n">
        <v>333000</v>
      </c>
      <c r="F19" s="31"/>
      <c r="G19" s="32"/>
      <c r="O19" s="0" t="str">
        <f aca="false">TEXT(C19,"mmm")</f>
        <v>Nov</v>
      </c>
      <c r="P19" s="44" t="n">
        <f aca="false">YEAR(C19)+(MONTH(C19)&gt;3)</f>
        <v>2026</v>
      </c>
    </row>
    <row r="20" customFormat="false" ht="15" hidden="false" customHeight="false" outlineLevel="0" collapsed="false">
      <c r="A20" s="38" t="s">
        <v>73</v>
      </c>
      <c r="B20" s="38" t="s">
        <v>74</v>
      </c>
      <c r="C20" s="39" t="n">
        <v>46017</v>
      </c>
      <c r="D20" s="40" t="n">
        <v>45</v>
      </c>
      <c r="E20" s="41" t="n">
        <v>206500</v>
      </c>
      <c r="F20" s="31"/>
      <c r="G20" s="32"/>
      <c r="O20" s="0" t="str">
        <f aca="false">TEXT(C20,"mmm")</f>
        <v>Dec</v>
      </c>
      <c r="P20" s="44" t="n">
        <f aca="false">YEAR(C20)+(MONTH(C20)&gt;3)</f>
        <v>2026</v>
      </c>
    </row>
    <row r="21" customFormat="false" ht="15" hidden="false" customHeight="false" outlineLevel="0" collapsed="false">
      <c r="A21" s="27" t="s">
        <v>75</v>
      </c>
      <c r="B21" s="27" t="s">
        <v>76</v>
      </c>
      <c r="C21" s="28" t="n">
        <v>46053</v>
      </c>
      <c r="D21" s="29" t="n">
        <v>60</v>
      </c>
      <c r="E21" s="30" t="n">
        <v>250000</v>
      </c>
      <c r="F21" s="31"/>
      <c r="G21" s="32"/>
      <c r="O21" s="0" t="str">
        <f aca="false">TEXT(C21,"mmm")</f>
        <v>Jan</v>
      </c>
      <c r="P21" s="44" t="n">
        <f aca="false">YEAR(C21)+(MONTH(C21)&gt;3)</f>
        <v>2026</v>
      </c>
    </row>
    <row r="22" customFormat="false" ht="15" hidden="false" customHeight="false" outlineLevel="0" collapsed="false">
      <c r="A22" s="38" t="s">
        <v>77</v>
      </c>
      <c r="B22" s="38" t="s">
        <v>78</v>
      </c>
      <c r="C22" s="39" t="n">
        <v>46062</v>
      </c>
      <c r="D22" s="40" t="n">
        <v>45</v>
      </c>
      <c r="E22" s="41" t="n">
        <v>319500</v>
      </c>
      <c r="F22" s="31"/>
      <c r="G22" s="32"/>
      <c r="O22" s="0" t="str">
        <f aca="false">TEXT(C22,"mmm")</f>
        <v>Feb</v>
      </c>
      <c r="P22" s="44" t="n">
        <f aca="false">YEAR(C22)+(MONTH(C22)&gt;3)</f>
        <v>2026</v>
      </c>
    </row>
    <row r="23" customFormat="false" ht="15" hidden="false" customHeight="false" outlineLevel="0" collapsed="false">
      <c r="A23" s="27" t="s">
        <v>79</v>
      </c>
      <c r="B23" s="27" t="s">
        <v>80</v>
      </c>
      <c r="C23" s="28" t="n">
        <v>45939</v>
      </c>
      <c r="D23" s="29" t="n">
        <v>15</v>
      </c>
      <c r="E23" s="30" t="n">
        <v>151000</v>
      </c>
      <c r="F23" s="31"/>
      <c r="G23" s="32"/>
      <c r="O23" s="0" t="str">
        <f aca="false">TEXT(C23,"mmm")</f>
        <v>Oct</v>
      </c>
      <c r="P23" s="44" t="n">
        <f aca="false">YEAR(C23)+(MONTH(C23)&gt;3)</f>
        <v>2026</v>
      </c>
    </row>
    <row r="24" customFormat="false" ht="15" hidden="false" customHeight="false" outlineLevel="0" collapsed="false">
      <c r="A24" s="38" t="s">
        <v>81</v>
      </c>
      <c r="B24" s="38" t="s">
        <v>71</v>
      </c>
      <c r="C24" s="39" t="n">
        <v>46020</v>
      </c>
      <c r="D24" s="40" t="n">
        <v>60</v>
      </c>
      <c r="E24" s="41" t="n">
        <v>16000</v>
      </c>
      <c r="F24" s="31"/>
      <c r="G24" s="32"/>
      <c r="O24" s="0" t="str">
        <f aca="false">TEXT(C24,"mmm")</f>
        <v>Dec</v>
      </c>
      <c r="P24" s="44" t="n">
        <f aca="false">YEAR(C24)+(MONTH(C24)&gt;3)</f>
        <v>2026</v>
      </c>
    </row>
    <row r="25" customFormat="false" ht="15" hidden="false" customHeight="false" outlineLevel="0" collapsed="false">
      <c r="A25" s="27" t="s">
        <v>82</v>
      </c>
      <c r="B25" s="27" t="s">
        <v>47</v>
      </c>
      <c r="C25" s="28" t="n">
        <v>46086</v>
      </c>
      <c r="D25" s="29" t="n">
        <v>15</v>
      </c>
      <c r="E25" s="30" t="n">
        <v>110500</v>
      </c>
      <c r="F25" s="31"/>
      <c r="G25" s="32"/>
      <c r="O25" s="0" t="str">
        <f aca="false">TEXT(C25,"mmm")</f>
        <v>Mar</v>
      </c>
      <c r="P25" s="44" t="n">
        <f aca="false">YEAR(C25)+(MONTH(C25)&gt;3)</f>
        <v>2026</v>
      </c>
    </row>
    <row r="26" customFormat="false" ht="15" hidden="false" customHeight="false" outlineLevel="0" collapsed="false">
      <c r="A26" s="38" t="s">
        <v>83</v>
      </c>
      <c r="B26" s="38" t="s">
        <v>52</v>
      </c>
      <c r="C26" s="39" t="n">
        <v>46102</v>
      </c>
      <c r="D26" s="40" t="n">
        <v>90</v>
      </c>
      <c r="E26" s="41" t="n">
        <v>48000</v>
      </c>
      <c r="F26" s="31"/>
      <c r="G26" s="32"/>
      <c r="O26" s="0" t="str">
        <f aca="false">TEXT(C26,"mmm")</f>
        <v>Mar</v>
      </c>
      <c r="P26" s="44" t="n">
        <f aca="false">YEAR(C26)+(MONTH(C26)&gt;3)</f>
        <v>2026</v>
      </c>
    </row>
    <row r="27" customFormat="false" ht="15" hidden="false" customHeight="false" outlineLevel="0" collapsed="false">
      <c r="A27" s="27" t="s">
        <v>84</v>
      </c>
      <c r="B27" s="27" t="s">
        <v>80</v>
      </c>
      <c r="C27" s="28" t="n">
        <v>45978</v>
      </c>
      <c r="D27" s="29" t="n">
        <v>45</v>
      </c>
      <c r="E27" s="30" t="n">
        <v>452500</v>
      </c>
      <c r="F27" s="31"/>
      <c r="G27" s="32"/>
      <c r="O27" s="0" t="str">
        <f aca="false">TEXT(C27,"mmm")</f>
        <v>Nov</v>
      </c>
      <c r="P27" s="44" t="n">
        <f aca="false">YEAR(C27)+(MONTH(C27)&gt;3)</f>
        <v>2026</v>
      </c>
    </row>
    <row r="28" customFormat="false" ht="15" hidden="false" customHeight="false" outlineLevel="0" collapsed="false">
      <c r="A28" s="38" t="s">
        <v>85</v>
      </c>
      <c r="B28" s="38" t="s">
        <v>74</v>
      </c>
      <c r="C28" s="39" t="n">
        <v>45983</v>
      </c>
      <c r="D28" s="40" t="n">
        <v>30</v>
      </c>
      <c r="E28" s="41" t="n">
        <v>484000</v>
      </c>
      <c r="F28" s="31"/>
      <c r="G28" s="32"/>
      <c r="O28" s="0" t="str">
        <f aca="false">TEXT(C28,"mmm")</f>
        <v>Nov</v>
      </c>
      <c r="P28" s="44" t="n">
        <f aca="false">YEAR(C28)+(MONTH(C28)&gt;3)</f>
        <v>2026</v>
      </c>
    </row>
    <row r="29" customFormat="false" ht="15" hidden="false" customHeight="false" outlineLevel="0" collapsed="false">
      <c r="A29" s="27" t="s">
        <v>86</v>
      </c>
      <c r="B29" s="27" t="s">
        <v>87</v>
      </c>
      <c r="C29" s="28" t="n">
        <v>45847</v>
      </c>
      <c r="D29" s="29" t="n">
        <v>30</v>
      </c>
      <c r="E29" s="30" t="n">
        <v>92500</v>
      </c>
      <c r="F29" s="31"/>
      <c r="G29" s="32"/>
      <c r="O29" s="0" t="str">
        <f aca="false">TEXT(C29,"mmm")</f>
        <v>Jul</v>
      </c>
      <c r="P29" s="44" t="n">
        <f aca="false">YEAR(C29)+(MONTH(C29)&gt;3)</f>
        <v>2026</v>
      </c>
    </row>
    <row r="30" customFormat="false" ht="15" hidden="false" customHeight="false" outlineLevel="0" collapsed="false">
      <c r="A30" s="38" t="s">
        <v>88</v>
      </c>
      <c r="B30" s="38" t="s">
        <v>78</v>
      </c>
      <c r="C30" s="39" t="n">
        <v>45885</v>
      </c>
      <c r="D30" s="40" t="n">
        <v>60</v>
      </c>
      <c r="E30" s="41" t="n">
        <v>104000</v>
      </c>
      <c r="F30" s="31"/>
      <c r="G30" s="32"/>
      <c r="O30" s="0" t="str">
        <f aca="false">TEXT(C30,"mmm")</f>
        <v>Aug</v>
      </c>
      <c r="P30" s="44" t="n">
        <f aca="false">YEAR(C30)+(MONTH(C30)&gt;3)</f>
        <v>2026</v>
      </c>
    </row>
    <row r="31" customFormat="false" ht="15" hidden="false" customHeight="false" outlineLevel="0" collapsed="false">
      <c r="A31" s="27" t="s">
        <v>89</v>
      </c>
      <c r="B31" s="27" t="s">
        <v>71</v>
      </c>
      <c r="C31" s="28" t="n">
        <v>45968</v>
      </c>
      <c r="D31" s="29" t="n">
        <v>60</v>
      </c>
      <c r="E31" s="30" t="n">
        <v>133500</v>
      </c>
      <c r="F31" s="31"/>
      <c r="G31" s="32"/>
      <c r="O31" s="0" t="str">
        <f aca="false">TEXT(C31,"mmm")</f>
        <v>Nov</v>
      </c>
      <c r="P31" s="44" t="n">
        <f aca="false">YEAR(C31)+(MONTH(C31)&gt;3)</f>
        <v>2026</v>
      </c>
    </row>
    <row r="32" customFormat="false" ht="15" hidden="false" customHeight="false" outlineLevel="0" collapsed="false">
      <c r="A32" s="38" t="s">
        <v>90</v>
      </c>
      <c r="B32" s="38" t="s">
        <v>64</v>
      </c>
      <c r="C32" s="39" t="n">
        <v>45955</v>
      </c>
      <c r="D32" s="40" t="n">
        <v>60</v>
      </c>
      <c r="E32" s="41" t="n">
        <v>208000</v>
      </c>
      <c r="F32" s="31"/>
      <c r="G32" s="32"/>
      <c r="O32" s="0" t="str">
        <f aca="false">TEXT(C32,"mmm")</f>
        <v>Oct</v>
      </c>
      <c r="P32" s="44" t="n">
        <f aca="false">YEAR(C32)+(MONTH(C32)&gt;3)</f>
        <v>2026</v>
      </c>
    </row>
    <row r="33" customFormat="false" ht="15" hidden="false" customHeight="false" outlineLevel="0" collapsed="false">
      <c r="A33" s="27" t="s">
        <v>91</v>
      </c>
      <c r="B33" s="27" t="s">
        <v>69</v>
      </c>
      <c r="C33" s="28" t="n">
        <v>45967</v>
      </c>
      <c r="D33" s="29" t="n">
        <v>30</v>
      </c>
      <c r="E33" s="30" t="n">
        <v>429500</v>
      </c>
      <c r="F33" s="31"/>
      <c r="G33" s="32"/>
      <c r="O33" s="0" t="str">
        <f aca="false">TEXT(C33,"mmm")</f>
        <v>Nov</v>
      </c>
      <c r="P33" s="44" t="n">
        <f aca="false">YEAR(C33)+(MONTH(C33)&gt;3)</f>
        <v>2026</v>
      </c>
    </row>
    <row r="34" customFormat="false" ht="15" hidden="false" customHeight="false" outlineLevel="0" collapsed="false">
      <c r="A34" s="38" t="s">
        <v>92</v>
      </c>
      <c r="B34" s="38" t="s">
        <v>71</v>
      </c>
      <c r="C34" s="39" t="n">
        <v>45873</v>
      </c>
      <c r="D34" s="40" t="n">
        <v>15</v>
      </c>
      <c r="E34" s="41" t="n">
        <v>143500</v>
      </c>
      <c r="F34" s="31"/>
      <c r="G34" s="32"/>
      <c r="O34" s="0" t="str">
        <f aca="false">TEXT(C34,"mmm")</f>
        <v>Aug</v>
      </c>
      <c r="P34" s="44" t="n">
        <f aca="false">YEAR(C34)+(MONTH(C34)&gt;3)</f>
        <v>2026</v>
      </c>
    </row>
    <row r="35" customFormat="false" ht="15" hidden="false" customHeight="false" outlineLevel="0" collapsed="false">
      <c r="A35" s="27" t="s">
        <v>93</v>
      </c>
      <c r="B35" s="27" t="s">
        <v>64</v>
      </c>
      <c r="C35" s="28" t="n">
        <v>46047</v>
      </c>
      <c r="D35" s="29" t="n">
        <v>90</v>
      </c>
      <c r="E35" s="30" t="n">
        <v>446000</v>
      </c>
      <c r="F35" s="31"/>
      <c r="G35" s="32"/>
      <c r="O35" s="0" t="str">
        <f aca="false">TEXT(C35,"mmm")</f>
        <v>Jan</v>
      </c>
      <c r="P35" s="44" t="n">
        <f aca="false">YEAR(C35)+(MONTH(C35)&gt;3)</f>
        <v>2026</v>
      </c>
    </row>
    <row r="36" customFormat="false" ht="15" hidden="false" customHeight="false" outlineLevel="0" collapsed="false">
      <c r="A36" s="38" t="s">
        <v>94</v>
      </c>
      <c r="B36" s="38" t="s">
        <v>69</v>
      </c>
      <c r="C36" s="39" t="n">
        <v>45895</v>
      </c>
      <c r="D36" s="40" t="n">
        <v>90</v>
      </c>
      <c r="E36" s="41" t="n">
        <v>126500</v>
      </c>
      <c r="F36" s="31"/>
      <c r="G36" s="32"/>
      <c r="O36" s="0" t="str">
        <f aca="false">TEXT(C36,"mmm")</f>
        <v>Aug</v>
      </c>
      <c r="P36" s="44" t="n">
        <f aca="false">YEAR(C36)+(MONTH(C36)&gt;3)</f>
        <v>2026</v>
      </c>
    </row>
    <row r="37" customFormat="false" ht="15" hidden="false" customHeight="false" outlineLevel="0" collapsed="false">
      <c r="A37" s="27" t="s">
        <v>95</v>
      </c>
      <c r="B37" s="27" t="s">
        <v>74</v>
      </c>
      <c r="C37" s="28" t="n">
        <v>46077</v>
      </c>
      <c r="D37" s="29" t="n">
        <v>60</v>
      </c>
      <c r="E37" s="30" t="n">
        <v>493500</v>
      </c>
      <c r="F37" s="31"/>
      <c r="G37" s="32"/>
      <c r="O37" s="0" t="str">
        <f aca="false">TEXT(C37,"mmm")</f>
        <v>Feb</v>
      </c>
      <c r="P37" s="44" t="n">
        <f aca="false">YEAR(C37)+(MONTH(C37)&gt;3)</f>
        <v>2026</v>
      </c>
    </row>
    <row r="38" customFormat="false" ht="15" hidden="false" customHeight="false" outlineLevel="0" collapsed="false">
      <c r="A38" s="38" t="s">
        <v>96</v>
      </c>
      <c r="B38" s="38" t="s">
        <v>47</v>
      </c>
      <c r="C38" s="39" t="n">
        <v>46107</v>
      </c>
      <c r="D38" s="40" t="n">
        <v>30</v>
      </c>
      <c r="E38" s="41" t="n">
        <v>499000</v>
      </c>
      <c r="F38" s="31"/>
      <c r="G38" s="32"/>
      <c r="O38" s="0" t="str">
        <f aca="false">TEXT(C38,"mmm")</f>
        <v>Mar</v>
      </c>
      <c r="P38" s="44" t="n">
        <f aca="false">YEAR(C38)+(MONTH(C38)&gt;3)</f>
        <v>2026</v>
      </c>
    </row>
    <row r="39" customFormat="false" ht="15" hidden="false" customHeight="false" outlineLevel="0" collapsed="false">
      <c r="A39" s="27" t="s">
        <v>97</v>
      </c>
      <c r="B39" s="27" t="s">
        <v>78</v>
      </c>
      <c r="C39" s="28" t="n">
        <v>46055</v>
      </c>
      <c r="D39" s="29" t="n">
        <v>45</v>
      </c>
      <c r="E39" s="30" t="n">
        <v>88500</v>
      </c>
      <c r="F39" s="31"/>
      <c r="G39" s="32"/>
      <c r="O39" s="0" t="str">
        <f aca="false">TEXT(C39,"mmm")</f>
        <v>Feb</v>
      </c>
      <c r="P39" s="44" t="n">
        <f aca="false">YEAR(C39)+(MONTH(C39)&gt;3)</f>
        <v>2026</v>
      </c>
    </row>
    <row r="40" customFormat="false" ht="15" hidden="false" customHeight="false" outlineLevel="0" collapsed="false">
      <c r="A40" s="38" t="s">
        <v>98</v>
      </c>
      <c r="B40" s="38" t="s">
        <v>52</v>
      </c>
      <c r="C40" s="39" t="n">
        <v>46067</v>
      </c>
      <c r="D40" s="40" t="n">
        <v>45</v>
      </c>
      <c r="E40" s="41" t="n">
        <v>518500</v>
      </c>
      <c r="F40" s="31"/>
      <c r="G40" s="32"/>
      <c r="O40" s="0" t="str">
        <f aca="false">TEXT(C40,"mmm")</f>
        <v>Feb</v>
      </c>
      <c r="P40" s="44" t="n">
        <f aca="false">YEAR(C40)+(MONTH(C40)&gt;3)</f>
        <v>2026</v>
      </c>
    </row>
    <row r="41" customFormat="false" ht="15" hidden="false" customHeight="false" outlineLevel="0" collapsed="false">
      <c r="A41" s="27" t="s">
        <v>99</v>
      </c>
      <c r="B41" s="27" t="s">
        <v>57</v>
      </c>
      <c r="C41" s="28" t="n">
        <v>45894</v>
      </c>
      <c r="D41" s="29" t="n">
        <v>60</v>
      </c>
      <c r="E41" s="30" t="n">
        <v>376000</v>
      </c>
      <c r="F41" s="31"/>
      <c r="G41" s="32"/>
      <c r="O41" s="0" t="str">
        <f aca="false">TEXT(C41,"mmm")</f>
        <v>Aug</v>
      </c>
      <c r="P41" s="44" t="n">
        <f aca="false">YEAR(C41)+(MONTH(C41)&gt;3)</f>
        <v>2026</v>
      </c>
    </row>
    <row r="42" customFormat="false" ht="15" hidden="false" customHeight="false" outlineLevel="0" collapsed="false">
      <c r="A42" s="38" t="s">
        <v>100</v>
      </c>
      <c r="B42" s="38" t="s">
        <v>57</v>
      </c>
      <c r="C42" s="39" t="n">
        <v>46101</v>
      </c>
      <c r="D42" s="40" t="n">
        <v>30</v>
      </c>
      <c r="E42" s="41" t="n">
        <v>49000</v>
      </c>
      <c r="F42" s="31"/>
      <c r="G42" s="32"/>
      <c r="O42" s="0" t="str">
        <f aca="false">TEXT(C42,"mmm")</f>
        <v>Mar</v>
      </c>
      <c r="P42" s="44" t="n">
        <f aca="false">YEAR(C42)+(MONTH(C42)&gt;3)</f>
        <v>2026</v>
      </c>
    </row>
    <row r="43" customFormat="false" ht="15" hidden="false" customHeight="false" outlineLevel="0" collapsed="false">
      <c r="A43" s="27" t="s">
        <v>101</v>
      </c>
      <c r="B43" s="27" t="s">
        <v>57</v>
      </c>
      <c r="C43" s="28" t="n">
        <v>46090</v>
      </c>
      <c r="D43" s="29" t="n">
        <v>30</v>
      </c>
      <c r="E43" s="30" t="n">
        <v>317500</v>
      </c>
      <c r="F43" s="31"/>
      <c r="G43" s="32"/>
      <c r="O43" s="0" t="str">
        <f aca="false">TEXT(C43,"mmm")</f>
        <v>Mar</v>
      </c>
      <c r="P43" s="44" t="n">
        <f aca="false">YEAR(C43)+(MONTH(C43)&gt;3)</f>
        <v>2026</v>
      </c>
    </row>
    <row r="44" customFormat="false" ht="15" hidden="false" customHeight="false" outlineLevel="0" collapsed="false">
      <c r="A44" s="38" t="s">
        <v>102</v>
      </c>
      <c r="B44" s="38" t="s">
        <v>71</v>
      </c>
      <c r="C44" s="39" t="n">
        <v>45843</v>
      </c>
      <c r="D44" s="40" t="n">
        <v>90</v>
      </c>
      <c r="E44" s="41" t="n">
        <v>40000</v>
      </c>
      <c r="F44" s="31"/>
      <c r="G44" s="32"/>
      <c r="O44" s="0" t="str">
        <f aca="false">TEXT(C44,"mmm")</f>
        <v>Jul</v>
      </c>
      <c r="P44" s="44" t="n">
        <f aca="false">YEAR(C44)+(MONTH(C44)&gt;3)</f>
        <v>2026</v>
      </c>
    </row>
    <row r="45" customFormat="false" ht="15" hidden="false" customHeight="false" outlineLevel="0" collapsed="false">
      <c r="A45" s="27" t="s">
        <v>103</v>
      </c>
      <c r="B45" s="27" t="s">
        <v>57</v>
      </c>
      <c r="C45" s="28" t="n">
        <v>45911</v>
      </c>
      <c r="D45" s="29" t="n">
        <v>30</v>
      </c>
      <c r="E45" s="30" t="n">
        <v>115500</v>
      </c>
      <c r="F45" s="31"/>
      <c r="G45" s="32"/>
      <c r="O45" s="0" t="str">
        <f aca="false">TEXT(C45,"mmm")</f>
        <v>Sep</v>
      </c>
      <c r="P45" s="44" t="n">
        <f aca="false">YEAR(C45)+(MONTH(C45)&gt;3)</f>
        <v>2026</v>
      </c>
    </row>
    <row r="46" customFormat="false" ht="15" hidden="false" customHeight="false" outlineLevel="0" collapsed="false">
      <c r="A46" s="38" t="s">
        <v>104</v>
      </c>
      <c r="B46" s="38" t="s">
        <v>52</v>
      </c>
      <c r="C46" s="39" t="n">
        <v>45961</v>
      </c>
      <c r="D46" s="40" t="n">
        <v>15</v>
      </c>
      <c r="E46" s="41" t="n">
        <v>131000</v>
      </c>
      <c r="F46" s="31"/>
      <c r="G46" s="32"/>
      <c r="O46" s="0" t="str">
        <f aca="false">TEXT(C46,"mmm")</f>
        <v>Oct</v>
      </c>
      <c r="P46" s="44" t="n">
        <f aca="false">YEAR(C46)+(MONTH(C46)&gt;3)</f>
        <v>2026</v>
      </c>
    </row>
    <row r="47" customFormat="false" ht="15" hidden="false" customHeight="false" outlineLevel="0" collapsed="false">
      <c r="A47" s="27" t="s">
        <v>105</v>
      </c>
      <c r="B47" s="27" t="s">
        <v>47</v>
      </c>
      <c r="C47" s="28" t="n">
        <v>46089</v>
      </c>
      <c r="D47" s="29" t="n">
        <v>60</v>
      </c>
      <c r="E47" s="30" t="n">
        <v>256500</v>
      </c>
      <c r="F47" s="31"/>
      <c r="G47" s="32"/>
      <c r="O47" s="0" t="str">
        <f aca="false">TEXT(C47,"mmm")</f>
        <v>Mar</v>
      </c>
      <c r="P47" s="44" t="n">
        <f aca="false">YEAR(C47)+(MONTH(C47)&gt;3)</f>
        <v>2026</v>
      </c>
    </row>
    <row r="48" customFormat="false" ht="15" hidden="false" customHeight="false" outlineLevel="0" collapsed="false">
      <c r="A48" s="38" t="s">
        <v>106</v>
      </c>
      <c r="B48" s="38" t="s">
        <v>87</v>
      </c>
      <c r="C48" s="39" t="n">
        <v>45841</v>
      </c>
      <c r="D48" s="40" t="n">
        <v>15</v>
      </c>
      <c r="E48" s="41" t="n">
        <v>514500</v>
      </c>
      <c r="F48" s="31"/>
      <c r="G48" s="32"/>
      <c r="O48" s="0" t="str">
        <f aca="false">TEXT(C48,"mmm")</f>
        <v>Jul</v>
      </c>
      <c r="P48" s="44" t="n">
        <f aca="false">YEAR(C48)+(MONTH(C48)&gt;3)</f>
        <v>2026</v>
      </c>
    </row>
    <row r="49" customFormat="false" ht="15" hidden="false" customHeight="false" outlineLevel="0" collapsed="false">
      <c r="A49" s="27" t="s">
        <v>107</v>
      </c>
      <c r="B49" s="27" t="s">
        <v>69</v>
      </c>
      <c r="C49" s="28" t="n">
        <v>45846</v>
      </c>
      <c r="D49" s="29" t="n">
        <v>30</v>
      </c>
      <c r="E49" s="30" t="n">
        <v>236000</v>
      </c>
      <c r="F49" s="31"/>
      <c r="G49" s="32"/>
      <c r="O49" s="0" t="str">
        <f aca="false">TEXT(C49,"mmm")</f>
        <v>Jul</v>
      </c>
      <c r="P49" s="44" t="n">
        <f aca="false">YEAR(C49)+(MONTH(C49)&gt;3)</f>
        <v>2026</v>
      </c>
    </row>
    <row r="50" customFormat="false" ht="15" hidden="false" customHeight="false" outlineLevel="0" collapsed="false">
      <c r="A50" s="38" t="s">
        <v>108</v>
      </c>
      <c r="B50" s="38" t="s">
        <v>109</v>
      </c>
      <c r="C50" s="39" t="n">
        <v>46075</v>
      </c>
      <c r="D50" s="40" t="n">
        <v>60</v>
      </c>
      <c r="E50" s="41" t="n">
        <v>22000</v>
      </c>
      <c r="F50" s="31"/>
      <c r="G50" s="32"/>
      <c r="O50" s="0" t="str">
        <f aca="false">TEXT(C50,"mmm")</f>
        <v>Feb</v>
      </c>
      <c r="P50" s="44" t="n">
        <f aca="false">YEAR(C50)+(MONTH(C50)&gt;3)</f>
        <v>2026</v>
      </c>
    </row>
    <row r="51" customFormat="false" ht="15" hidden="false" customHeight="false" outlineLevel="0" collapsed="false">
      <c r="A51" s="27" t="s">
        <v>110</v>
      </c>
      <c r="B51" s="27" t="s">
        <v>64</v>
      </c>
      <c r="C51" s="28" t="n">
        <v>45973</v>
      </c>
      <c r="D51" s="29" t="n">
        <v>90</v>
      </c>
      <c r="E51" s="30" t="n">
        <v>500000</v>
      </c>
      <c r="F51" s="31"/>
      <c r="G51" s="32"/>
      <c r="O51" s="0" t="str">
        <f aca="false">TEXT(C51,"mmm")</f>
        <v>Nov</v>
      </c>
      <c r="P51" s="44" t="n">
        <f aca="false">YEAR(C51)+(MONTH(C51)&gt;3)</f>
        <v>2026</v>
      </c>
    </row>
    <row r="52" customFormat="false" ht="15" hidden="false" customHeight="false" outlineLevel="0" collapsed="false">
      <c r="A52" s="38" t="s">
        <v>111</v>
      </c>
      <c r="B52" s="38" t="s">
        <v>71</v>
      </c>
      <c r="C52" s="39" t="n">
        <v>45973</v>
      </c>
      <c r="D52" s="40" t="n">
        <v>60</v>
      </c>
      <c r="E52" s="41" t="n">
        <v>364500</v>
      </c>
      <c r="F52" s="31"/>
      <c r="G52" s="32"/>
      <c r="O52" s="0" t="str">
        <f aca="false">TEXT(C52,"mmm")</f>
        <v>Nov</v>
      </c>
      <c r="P52" s="44" t="n">
        <f aca="false">YEAR(C52)+(MONTH(C52)&gt;3)</f>
        <v>2026</v>
      </c>
    </row>
    <row r="53" customFormat="false" ht="15" hidden="false" customHeight="false" outlineLevel="0" collapsed="false">
      <c r="A53" s="27" t="s">
        <v>112</v>
      </c>
      <c r="B53" s="27" t="s">
        <v>47</v>
      </c>
      <c r="C53" s="28" t="n">
        <v>46029</v>
      </c>
      <c r="D53" s="29" t="n">
        <v>60</v>
      </c>
      <c r="E53" s="30" t="n">
        <v>447500</v>
      </c>
      <c r="F53" s="31"/>
      <c r="G53" s="32"/>
      <c r="O53" s="0" t="str">
        <f aca="false">TEXT(C53,"mmm")</f>
        <v>Jan</v>
      </c>
      <c r="P53" s="44" t="n">
        <f aca="false">YEAR(C53)+(MONTH(C53)&gt;3)</f>
        <v>2026</v>
      </c>
    </row>
    <row r="54" customFormat="false" ht="15" hidden="false" customHeight="false" outlineLevel="0" collapsed="false">
      <c r="A54" s="38" t="s">
        <v>113</v>
      </c>
      <c r="B54" s="38" t="s">
        <v>52</v>
      </c>
      <c r="C54" s="39" t="n">
        <v>46099</v>
      </c>
      <c r="D54" s="40" t="n">
        <v>60</v>
      </c>
      <c r="E54" s="41" t="n">
        <v>43000</v>
      </c>
      <c r="F54" s="31"/>
      <c r="G54" s="32"/>
      <c r="O54" s="0" t="str">
        <f aca="false">TEXT(C54,"mmm")</f>
        <v>Mar</v>
      </c>
      <c r="P54" s="44" t="n">
        <f aca="false">YEAR(C54)+(MONTH(C54)&gt;3)</f>
        <v>2026</v>
      </c>
    </row>
    <row r="55" customFormat="false" ht="15" hidden="false" customHeight="false" outlineLevel="0" collapsed="false">
      <c r="A55" s="27" t="s">
        <v>114</v>
      </c>
      <c r="B55" s="27" t="s">
        <v>64</v>
      </c>
      <c r="C55" s="28" t="n">
        <v>46048</v>
      </c>
      <c r="D55" s="29" t="n">
        <v>60</v>
      </c>
      <c r="E55" s="30" t="n">
        <v>189500</v>
      </c>
      <c r="F55" s="31"/>
      <c r="G55" s="32"/>
      <c r="O55" s="0" t="str">
        <f aca="false">TEXT(C55,"mmm")</f>
        <v>Jan</v>
      </c>
      <c r="P55" s="44" t="n">
        <f aca="false">YEAR(C55)+(MONTH(C55)&gt;3)</f>
        <v>2026</v>
      </c>
    </row>
    <row r="56" customFormat="false" ht="15" hidden="false" customHeight="false" outlineLevel="0" collapsed="false">
      <c r="A56" s="38" t="s">
        <v>115</v>
      </c>
      <c r="B56" s="38" t="s">
        <v>69</v>
      </c>
      <c r="C56" s="39" t="n">
        <v>46021</v>
      </c>
      <c r="D56" s="40" t="n">
        <v>45</v>
      </c>
      <c r="E56" s="41" t="n">
        <v>168000</v>
      </c>
      <c r="F56" s="31"/>
      <c r="G56" s="32"/>
      <c r="O56" s="0" t="str">
        <f aca="false">TEXT(C56,"mmm")</f>
        <v>Dec</v>
      </c>
      <c r="P56" s="44" t="n">
        <f aca="false">YEAR(C56)+(MONTH(C56)&gt;3)</f>
        <v>2026</v>
      </c>
    </row>
    <row r="57" customFormat="false" ht="15" hidden="false" customHeight="false" outlineLevel="0" collapsed="false">
      <c r="A57" s="27" t="s">
        <v>116</v>
      </c>
      <c r="B57" s="27" t="s">
        <v>109</v>
      </c>
      <c r="C57" s="28" t="n">
        <v>46048</v>
      </c>
      <c r="D57" s="29" t="n">
        <v>60</v>
      </c>
      <c r="E57" s="30" t="n">
        <v>171000</v>
      </c>
      <c r="F57" s="31"/>
      <c r="G57" s="32"/>
      <c r="O57" s="0" t="str">
        <f aca="false">TEXT(C57,"mmm")</f>
        <v>Jan</v>
      </c>
      <c r="P57" s="44" t="n">
        <f aca="false">YEAR(C57)+(MONTH(C57)&gt;3)</f>
        <v>2026</v>
      </c>
    </row>
    <row r="58" customFormat="false" ht="15" hidden="false" customHeight="false" outlineLevel="0" collapsed="false">
      <c r="A58" s="38" t="s">
        <v>117</v>
      </c>
      <c r="B58" s="38" t="s">
        <v>64</v>
      </c>
      <c r="C58" s="39" t="n">
        <v>46089</v>
      </c>
      <c r="D58" s="40" t="n">
        <v>90</v>
      </c>
      <c r="E58" s="41" t="n">
        <v>288000</v>
      </c>
      <c r="F58" s="31"/>
      <c r="G58" s="32"/>
      <c r="O58" s="0" t="str">
        <f aca="false">TEXT(C58,"mmm")</f>
        <v>Mar</v>
      </c>
      <c r="P58" s="44" t="n">
        <f aca="false">YEAR(C58)+(MONTH(C58)&gt;3)</f>
        <v>2026</v>
      </c>
    </row>
  </sheetData>
  <mergeCells count="3">
    <mergeCell ref="A1:M1"/>
    <mergeCell ref="A2:M2"/>
    <mergeCell ref="A3:M5"/>
  </mergeCells>
  <conditionalFormatting sqref="L9:L12">
    <cfRule type="expression" priority="2" aboveAverage="0" equalAverage="0" bottom="0" percent="0" rank="0" text="" dxfId="0">
      <formula>LEFT(L9,1)="✓"</formula>
    </cfRule>
    <cfRule type="expression" priority="3" aboveAverage="0" equalAverage="0" bottom="0" percent="0" rank="0" text="" dxfId="1">
      <formula>LEFT(L9,1)="✗"</formula>
    </cfRule>
    <cfRule type="expression" priority="4" aboveAverage="0" equalAverage="0" bottom="0" percent="0" rank="0" text="" dxfId="2">
      <formula>LEFT(L9,1)="✎"</formula>
    </cfRule>
    <cfRule type="expression" priority="5" aboveAverage="0" equalAverage="0" bottom="0" percent="0" rank="0" text="" dxfId="3">
      <formula>LEFT(L9,1)="◯"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5"/>
    <col collapsed="false" customWidth="true" hidden="false" outlineLevel="0" max="9" min="9" style="0" width="46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38"/>
    <col collapsed="false" customWidth="true" hidden="true" outlineLevel="0" max="15" min="13" style="0" width="13"/>
  </cols>
  <sheetData>
    <row r="1" customFormat="false" ht="31.5" hidden="false" customHeight="true" outlineLevel="0" collapsed="false">
      <c r="A1" s="47" t="s">
        <v>118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customFormat="false" ht="19.5" hidden="false" customHeight="true" outlineLevel="0" collapsed="false">
      <c r="A2" s="48" t="s">
        <v>119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customFormat="false" ht="18.75" hidden="false" customHeight="true" outlineLevel="0" collapsed="false">
      <c r="A3" s="49" t="s">
        <v>120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customFormat="false" ht="18.75" hidden="false" customHeight="true" outlineLevel="0" collapsed="false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customFormat="false" ht="18.75" hidden="false" customHeight="true" outlineLevel="0" collapsed="false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customFormat="false" ht="19.5" hidden="false" customHeight="true" outlineLevel="0" collapsed="false">
      <c r="A6" s="50" t="s">
        <v>121</v>
      </c>
      <c r="B6" s="51" t="n">
        <v>46112</v>
      </c>
    </row>
    <row r="8" customFormat="false" ht="24" hidden="false" customHeight="true" outlineLevel="0" collapsed="false">
      <c r="A8" s="24" t="s">
        <v>35</v>
      </c>
      <c r="B8" s="24" t="s">
        <v>36</v>
      </c>
      <c r="C8" s="24" t="s">
        <v>37</v>
      </c>
      <c r="D8" s="24" t="s">
        <v>38</v>
      </c>
      <c r="E8" s="24" t="s">
        <v>39</v>
      </c>
      <c r="F8" s="25" t="s">
        <v>122</v>
      </c>
      <c r="H8" s="52" t="s">
        <v>14</v>
      </c>
      <c r="I8" s="52" t="s">
        <v>42</v>
      </c>
      <c r="J8" s="52" t="s">
        <v>43</v>
      </c>
      <c r="K8" s="52" t="s">
        <v>44</v>
      </c>
      <c r="L8" s="52" t="s">
        <v>45</v>
      </c>
    </row>
    <row r="9" customFormat="false" ht="33.75" hidden="false" customHeight="true" outlineLevel="0" collapsed="false">
      <c r="A9" s="27" t="s">
        <v>46</v>
      </c>
      <c r="B9" s="27" t="s">
        <v>47</v>
      </c>
      <c r="C9" s="28" t="n">
        <v>45883</v>
      </c>
      <c r="D9" s="29" t="n">
        <v>15</v>
      </c>
      <c r="E9" s="30" t="n">
        <v>100500</v>
      </c>
      <c r="F9" s="32"/>
      <c r="H9" s="53" t="n">
        <v>1</v>
      </c>
      <c r="I9" s="34" t="s">
        <v>123</v>
      </c>
      <c r="J9" s="35" t="s">
        <v>49</v>
      </c>
      <c r="K9" s="36" t="str">
        <f aca="false">IF(COUNTA($F$9:$F$58)=0,"◯ Not attempted",IF(NOT(_xlfn.ISFORMULA(F9)),"✎ Use a formula",IFERROR(IF(SUMPRODUCT(--(ABS($F$9:$F$58-$N$9:$N$58)&lt;0.01))=ROWS($F$9:$F$58),"✓ Correct","✗ "&amp;(ROWS($F$9:$F$58)-SUMPRODUCT(--(ABS($F$9:$F$58-$N$9:$N$58)&lt;0.01)))&amp;" rows differ"),"✗ Check the column")))</f>
        <v>◯ Not attempted</v>
      </c>
      <c r="L9" s="37" t="s">
        <v>124</v>
      </c>
      <c r="N9" s="0" t="n">
        <f aca="false">$B$6-C9</f>
        <v>229</v>
      </c>
    </row>
    <row r="10" customFormat="false" ht="33.75" hidden="false" customHeight="true" outlineLevel="0" collapsed="false">
      <c r="A10" s="38" t="s">
        <v>51</v>
      </c>
      <c r="B10" s="38" t="s">
        <v>52</v>
      </c>
      <c r="C10" s="39" t="n">
        <v>45887</v>
      </c>
      <c r="D10" s="40" t="n">
        <v>30</v>
      </c>
      <c r="E10" s="41" t="n">
        <v>410500</v>
      </c>
      <c r="F10" s="32"/>
      <c r="H10" s="53" t="n">
        <v>2</v>
      </c>
      <c r="I10" s="34" t="s">
        <v>125</v>
      </c>
      <c r="J10" s="54"/>
      <c r="K10" s="36" t="str">
        <f aca="false">IF(ISBLANK(J10),"◯ Not attempted",IF(NOT(_xlfn.ISFORMULA(J10)),"✎ Use a formula",IF(ISNUMBER(J10),IF(ABS(J10-$M$10)&lt;0.005,"✓ Correct","✗ Check again"),"✗ Not a number")))</f>
        <v>◯ Not attempted</v>
      </c>
      <c r="L10" s="37" t="s">
        <v>126</v>
      </c>
      <c r="M10" s="55" t="n">
        <f aca="false">$B$6-AVERAGE($C$9:$C$58)</f>
        <v>120.92</v>
      </c>
      <c r="N10" s="44" t="n">
        <f aca="false">$B$6-C10</f>
        <v>225</v>
      </c>
    </row>
    <row r="11" customFormat="false" ht="33.75" hidden="false" customHeight="true" outlineLevel="0" collapsed="false">
      <c r="A11" s="27" t="s">
        <v>56</v>
      </c>
      <c r="B11" s="27" t="s">
        <v>57</v>
      </c>
      <c r="C11" s="28" t="n">
        <v>45890</v>
      </c>
      <c r="D11" s="29" t="n">
        <v>60</v>
      </c>
      <c r="E11" s="30" t="n">
        <v>97500</v>
      </c>
      <c r="F11" s="32"/>
      <c r="H11" s="53" t="n">
        <v>3</v>
      </c>
      <c r="I11" s="34" t="s">
        <v>127</v>
      </c>
      <c r="J11" s="42"/>
      <c r="K11" s="36" t="str">
        <f aca="false">IF(ISBLANK(J11),"◯ Not attempted",IF(NOT(_xlfn.ISFORMULA(J11)),"✎ Use a formula",IF(ISNUMBER(J11),IF(ABS(J11-$M$11)&lt;0.005,"✓ Correct","✗ Check again"),"✗ Not a number")))</f>
        <v>◯ Not attempted</v>
      </c>
      <c r="L11" s="37" t="s">
        <v>128</v>
      </c>
      <c r="M11" s="43" t="n">
        <f aca="false">$B$6-MIN($C$9:$C$58)</f>
        <v>271</v>
      </c>
      <c r="N11" s="44" t="n">
        <f aca="false">$B$6-C11</f>
        <v>222</v>
      </c>
    </row>
    <row r="12" customFormat="false" ht="33.75" hidden="false" customHeight="true" outlineLevel="0" collapsed="false">
      <c r="A12" s="38" t="s">
        <v>60</v>
      </c>
      <c r="B12" s="38" t="s">
        <v>57</v>
      </c>
      <c r="C12" s="39" t="n">
        <v>46111</v>
      </c>
      <c r="D12" s="40" t="n">
        <v>30</v>
      </c>
      <c r="E12" s="41" t="n">
        <v>193000</v>
      </c>
      <c r="F12" s="32"/>
      <c r="H12" s="53" t="n">
        <v>4</v>
      </c>
      <c r="I12" s="34" t="s">
        <v>129</v>
      </c>
      <c r="J12" s="42"/>
      <c r="K12" s="36" t="str">
        <f aca="false">IF(ISBLANK(J12),"◯ Not attempted",IF(NOT(_xlfn.ISFORMULA(J12)),"✎ Use a formula",IF(ISNUMBER(J12),IF(ABS(J12-$M$12)&lt;0.005,"✓ Correct","✗ Check again"),"✗ Not a number")))</f>
        <v>◯ Not attempted</v>
      </c>
      <c r="L12" s="37" t="s">
        <v>130</v>
      </c>
      <c r="M12" s="43" t="n">
        <f aca="false">COUNTIF($C$9:$C$58,"&lt;"&amp;($B$6-120))</f>
        <v>25</v>
      </c>
      <c r="N12" s="44" t="n">
        <f aca="false">$B$6-C12</f>
        <v>1</v>
      </c>
    </row>
    <row r="13" customFormat="false" ht="15" hidden="false" customHeight="false" outlineLevel="0" collapsed="false">
      <c r="A13" s="27" t="s">
        <v>63</v>
      </c>
      <c r="B13" s="27" t="s">
        <v>64</v>
      </c>
      <c r="C13" s="28" t="n">
        <v>45936</v>
      </c>
      <c r="D13" s="29" t="n">
        <v>90</v>
      </c>
      <c r="E13" s="30" t="n">
        <v>140500</v>
      </c>
      <c r="F13" s="32"/>
      <c r="N13" s="44" t="n">
        <f aca="false">$B$6-C13</f>
        <v>176</v>
      </c>
    </row>
    <row r="14" customFormat="false" ht="15" hidden="false" customHeight="false" outlineLevel="0" collapsed="false">
      <c r="A14" s="38" t="s">
        <v>65</v>
      </c>
      <c r="B14" s="38" t="s">
        <v>47</v>
      </c>
      <c r="C14" s="39" t="n">
        <v>45993</v>
      </c>
      <c r="D14" s="40" t="n">
        <v>45</v>
      </c>
      <c r="E14" s="41" t="n">
        <v>51500</v>
      </c>
      <c r="F14" s="32"/>
      <c r="N14" s="44" t="n">
        <f aca="false">$B$6-C14</f>
        <v>119</v>
      </c>
    </row>
    <row r="15" customFormat="false" ht="15" hidden="false" customHeight="false" outlineLevel="0" collapsed="false">
      <c r="A15" s="27" t="s">
        <v>66</v>
      </c>
      <c r="B15" s="27" t="s">
        <v>52</v>
      </c>
      <c r="C15" s="28" t="n">
        <v>45980</v>
      </c>
      <c r="D15" s="29" t="n">
        <v>90</v>
      </c>
      <c r="E15" s="30" t="n">
        <v>218000</v>
      </c>
      <c r="F15" s="32"/>
      <c r="N15" s="44" t="n">
        <f aca="false">$B$6-C15</f>
        <v>132</v>
      </c>
    </row>
    <row r="16" customFormat="false" ht="15" hidden="false" customHeight="false" outlineLevel="0" collapsed="false">
      <c r="A16" s="38" t="s">
        <v>67</v>
      </c>
      <c r="B16" s="38" t="s">
        <v>57</v>
      </c>
      <c r="C16" s="39" t="n">
        <v>45877</v>
      </c>
      <c r="D16" s="40" t="n">
        <v>45</v>
      </c>
      <c r="E16" s="41" t="n">
        <v>101000</v>
      </c>
      <c r="F16" s="32"/>
      <c r="N16" s="44" t="n">
        <f aca="false">$B$6-C16</f>
        <v>235</v>
      </c>
    </row>
    <row r="17" customFormat="false" ht="15" hidden="false" customHeight="false" outlineLevel="0" collapsed="false">
      <c r="A17" s="27" t="s">
        <v>68</v>
      </c>
      <c r="B17" s="27" t="s">
        <v>69</v>
      </c>
      <c r="C17" s="28" t="n">
        <v>46056</v>
      </c>
      <c r="D17" s="29" t="n">
        <v>60</v>
      </c>
      <c r="E17" s="30" t="n">
        <v>171000</v>
      </c>
      <c r="F17" s="32"/>
      <c r="N17" s="44" t="n">
        <f aca="false">$B$6-C17</f>
        <v>56</v>
      </c>
    </row>
    <row r="18" customFormat="false" ht="15" hidden="false" customHeight="false" outlineLevel="0" collapsed="false">
      <c r="A18" s="38" t="s">
        <v>70</v>
      </c>
      <c r="B18" s="38" t="s">
        <v>71</v>
      </c>
      <c r="C18" s="39" t="n">
        <v>46037</v>
      </c>
      <c r="D18" s="40" t="n">
        <v>90</v>
      </c>
      <c r="E18" s="41" t="n">
        <v>224500</v>
      </c>
      <c r="F18" s="32"/>
      <c r="N18" s="44" t="n">
        <f aca="false">$B$6-C18</f>
        <v>75</v>
      </c>
    </row>
    <row r="19" customFormat="false" ht="15" hidden="false" customHeight="false" outlineLevel="0" collapsed="false">
      <c r="A19" s="27" t="s">
        <v>72</v>
      </c>
      <c r="B19" s="27" t="s">
        <v>57</v>
      </c>
      <c r="C19" s="28" t="n">
        <v>45990</v>
      </c>
      <c r="D19" s="29" t="n">
        <v>90</v>
      </c>
      <c r="E19" s="30" t="n">
        <v>333000</v>
      </c>
      <c r="F19" s="32"/>
      <c r="N19" s="44" t="n">
        <f aca="false">$B$6-C19</f>
        <v>122</v>
      </c>
    </row>
    <row r="20" customFormat="false" ht="15" hidden="false" customHeight="false" outlineLevel="0" collapsed="false">
      <c r="A20" s="38" t="s">
        <v>73</v>
      </c>
      <c r="B20" s="38" t="s">
        <v>74</v>
      </c>
      <c r="C20" s="39" t="n">
        <v>46017</v>
      </c>
      <c r="D20" s="40" t="n">
        <v>45</v>
      </c>
      <c r="E20" s="41" t="n">
        <v>206500</v>
      </c>
      <c r="F20" s="32"/>
      <c r="N20" s="44" t="n">
        <f aca="false">$B$6-C20</f>
        <v>95</v>
      </c>
    </row>
    <row r="21" customFormat="false" ht="15" hidden="false" customHeight="false" outlineLevel="0" collapsed="false">
      <c r="A21" s="27" t="s">
        <v>75</v>
      </c>
      <c r="B21" s="27" t="s">
        <v>76</v>
      </c>
      <c r="C21" s="28" t="n">
        <v>46053</v>
      </c>
      <c r="D21" s="29" t="n">
        <v>60</v>
      </c>
      <c r="E21" s="30" t="n">
        <v>250000</v>
      </c>
      <c r="F21" s="32"/>
      <c r="N21" s="44" t="n">
        <f aca="false">$B$6-C21</f>
        <v>59</v>
      </c>
    </row>
    <row r="22" customFormat="false" ht="15" hidden="false" customHeight="false" outlineLevel="0" collapsed="false">
      <c r="A22" s="38" t="s">
        <v>77</v>
      </c>
      <c r="B22" s="38" t="s">
        <v>78</v>
      </c>
      <c r="C22" s="39" t="n">
        <v>46062</v>
      </c>
      <c r="D22" s="40" t="n">
        <v>45</v>
      </c>
      <c r="E22" s="41" t="n">
        <v>319500</v>
      </c>
      <c r="F22" s="32"/>
      <c r="N22" s="44" t="n">
        <f aca="false">$B$6-C22</f>
        <v>50</v>
      </c>
    </row>
    <row r="23" customFormat="false" ht="15" hidden="false" customHeight="false" outlineLevel="0" collapsed="false">
      <c r="A23" s="27" t="s">
        <v>79</v>
      </c>
      <c r="B23" s="27" t="s">
        <v>80</v>
      </c>
      <c r="C23" s="28" t="n">
        <v>45939</v>
      </c>
      <c r="D23" s="29" t="n">
        <v>15</v>
      </c>
      <c r="E23" s="30" t="n">
        <v>151000</v>
      </c>
      <c r="F23" s="32"/>
      <c r="N23" s="44" t="n">
        <f aca="false">$B$6-C23</f>
        <v>173</v>
      </c>
    </row>
    <row r="24" customFormat="false" ht="15" hidden="false" customHeight="false" outlineLevel="0" collapsed="false">
      <c r="A24" s="38" t="s">
        <v>81</v>
      </c>
      <c r="B24" s="38" t="s">
        <v>71</v>
      </c>
      <c r="C24" s="39" t="n">
        <v>46020</v>
      </c>
      <c r="D24" s="40" t="n">
        <v>60</v>
      </c>
      <c r="E24" s="41" t="n">
        <v>16000</v>
      </c>
      <c r="F24" s="32"/>
      <c r="N24" s="44" t="n">
        <f aca="false">$B$6-C24</f>
        <v>92</v>
      </c>
    </row>
    <row r="25" customFormat="false" ht="15" hidden="false" customHeight="false" outlineLevel="0" collapsed="false">
      <c r="A25" s="27" t="s">
        <v>82</v>
      </c>
      <c r="B25" s="27" t="s">
        <v>47</v>
      </c>
      <c r="C25" s="28" t="n">
        <v>46086</v>
      </c>
      <c r="D25" s="29" t="n">
        <v>15</v>
      </c>
      <c r="E25" s="30" t="n">
        <v>110500</v>
      </c>
      <c r="F25" s="32"/>
      <c r="N25" s="44" t="n">
        <f aca="false">$B$6-C25</f>
        <v>26</v>
      </c>
    </row>
    <row r="26" customFormat="false" ht="15" hidden="false" customHeight="false" outlineLevel="0" collapsed="false">
      <c r="A26" s="38" t="s">
        <v>83</v>
      </c>
      <c r="B26" s="38" t="s">
        <v>52</v>
      </c>
      <c r="C26" s="39" t="n">
        <v>46102</v>
      </c>
      <c r="D26" s="40" t="n">
        <v>90</v>
      </c>
      <c r="E26" s="41" t="n">
        <v>48000</v>
      </c>
      <c r="F26" s="32"/>
      <c r="N26" s="44" t="n">
        <f aca="false">$B$6-C26</f>
        <v>10</v>
      </c>
    </row>
    <row r="27" customFormat="false" ht="15" hidden="false" customHeight="false" outlineLevel="0" collapsed="false">
      <c r="A27" s="27" t="s">
        <v>84</v>
      </c>
      <c r="B27" s="27" t="s">
        <v>80</v>
      </c>
      <c r="C27" s="28" t="n">
        <v>45978</v>
      </c>
      <c r="D27" s="29" t="n">
        <v>45</v>
      </c>
      <c r="E27" s="30" t="n">
        <v>452500</v>
      </c>
      <c r="F27" s="32"/>
      <c r="N27" s="44" t="n">
        <f aca="false">$B$6-C27</f>
        <v>134</v>
      </c>
    </row>
    <row r="28" customFormat="false" ht="15" hidden="false" customHeight="false" outlineLevel="0" collapsed="false">
      <c r="A28" s="38" t="s">
        <v>85</v>
      </c>
      <c r="B28" s="38" t="s">
        <v>74</v>
      </c>
      <c r="C28" s="39" t="n">
        <v>45983</v>
      </c>
      <c r="D28" s="40" t="n">
        <v>30</v>
      </c>
      <c r="E28" s="41" t="n">
        <v>484000</v>
      </c>
      <c r="F28" s="32"/>
      <c r="N28" s="44" t="n">
        <f aca="false">$B$6-C28</f>
        <v>129</v>
      </c>
    </row>
    <row r="29" customFormat="false" ht="15" hidden="false" customHeight="false" outlineLevel="0" collapsed="false">
      <c r="A29" s="27" t="s">
        <v>86</v>
      </c>
      <c r="B29" s="27" t="s">
        <v>87</v>
      </c>
      <c r="C29" s="28" t="n">
        <v>45847</v>
      </c>
      <c r="D29" s="29" t="n">
        <v>30</v>
      </c>
      <c r="E29" s="30" t="n">
        <v>92500</v>
      </c>
      <c r="F29" s="32"/>
      <c r="N29" s="44" t="n">
        <f aca="false">$B$6-C29</f>
        <v>265</v>
      </c>
    </row>
    <row r="30" customFormat="false" ht="15" hidden="false" customHeight="false" outlineLevel="0" collapsed="false">
      <c r="A30" s="38" t="s">
        <v>88</v>
      </c>
      <c r="B30" s="38" t="s">
        <v>78</v>
      </c>
      <c r="C30" s="39" t="n">
        <v>45885</v>
      </c>
      <c r="D30" s="40" t="n">
        <v>60</v>
      </c>
      <c r="E30" s="41" t="n">
        <v>104000</v>
      </c>
      <c r="F30" s="32"/>
      <c r="N30" s="44" t="n">
        <f aca="false">$B$6-C30</f>
        <v>227</v>
      </c>
    </row>
    <row r="31" customFormat="false" ht="15" hidden="false" customHeight="false" outlineLevel="0" collapsed="false">
      <c r="A31" s="27" t="s">
        <v>89</v>
      </c>
      <c r="B31" s="27" t="s">
        <v>71</v>
      </c>
      <c r="C31" s="28" t="n">
        <v>45968</v>
      </c>
      <c r="D31" s="29" t="n">
        <v>60</v>
      </c>
      <c r="E31" s="30" t="n">
        <v>133500</v>
      </c>
      <c r="F31" s="32"/>
      <c r="N31" s="44" t="n">
        <f aca="false">$B$6-C31</f>
        <v>144</v>
      </c>
    </row>
    <row r="32" customFormat="false" ht="15" hidden="false" customHeight="false" outlineLevel="0" collapsed="false">
      <c r="A32" s="38" t="s">
        <v>90</v>
      </c>
      <c r="B32" s="38" t="s">
        <v>64</v>
      </c>
      <c r="C32" s="39" t="n">
        <v>45955</v>
      </c>
      <c r="D32" s="40" t="n">
        <v>60</v>
      </c>
      <c r="E32" s="41" t="n">
        <v>208000</v>
      </c>
      <c r="F32" s="32"/>
      <c r="N32" s="44" t="n">
        <f aca="false">$B$6-C32</f>
        <v>157</v>
      </c>
    </row>
    <row r="33" customFormat="false" ht="15" hidden="false" customHeight="false" outlineLevel="0" collapsed="false">
      <c r="A33" s="27" t="s">
        <v>91</v>
      </c>
      <c r="B33" s="27" t="s">
        <v>69</v>
      </c>
      <c r="C33" s="28" t="n">
        <v>45967</v>
      </c>
      <c r="D33" s="29" t="n">
        <v>30</v>
      </c>
      <c r="E33" s="30" t="n">
        <v>429500</v>
      </c>
      <c r="F33" s="32"/>
      <c r="N33" s="44" t="n">
        <f aca="false">$B$6-C33</f>
        <v>145</v>
      </c>
    </row>
    <row r="34" customFormat="false" ht="15" hidden="false" customHeight="false" outlineLevel="0" collapsed="false">
      <c r="A34" s="38" t="s">
        <v>92</v>
      </c>
      <c r="B34" s="38" t="s">
        <v>71</v>
      </c>
      <c r="C34" s="39" t="n">
        <v>45873</v>
      </c>
      <c r="D34" s="40" t="n">
        <v>15</v>
      </c>
      <c r="E34" s="41" t="n">
        <v>143500</v>
      </c>
      <c r="F34" s="32"/>
      <c r="N34" s="44" t="n">
        <f aca="false">$B$6-C34</f>
        <v>239</v>
      </c>
    </row>
    <row r="35" customFormat="false" ht="15" hidden="false" customHeight="false" outlineLevel="0" collapsed="false">
      <c r="A35" s="27" t="s">
        <v>93</v>
      </c>
      <c r="B35" s="27" t="s">
        <v>64</v>
      </c>
      <c r="C35" s="28" t="n">
        <v>46047</v>
      </c>
      <c r="D35" s="29" t="n">
        <v>90</v>
      </c>
      <c r="E35" s="30" t="n">
        <v>446000</v>
      </c>
      <c r="F35" s="32"/>
      <c r="N35" s="44" t="n">
        <f aca="false">$B$6-C35</f>
        <v>65</v>
      </c>
    </row>
    <row r="36" customFormat="false" ht="15" hidden="false" customHeight="false" outlineLevel="0" collapsed="false">
      <c r="A36" s="38" t="s">
        <v>94</v>
      </c>
      <c r="B36" s="38" t="s">
        <v>69</v>
      </c>
      <c r="C36" s="39" t="n">
        <v>45895</v>
      </c>
      <c r="D36" s="40" t="n">
        <v>90</v>
      </c>
      <c r="E36" s="41" t="n">
        <v>126500</v>
      </c>
      <c r="F36" s="32"/>
      <c r="N36" s="44" t="n">
        <f aca="false">$B$6-C36</f>
        <v>217</v>
      </c>
    </row>
    <row r="37" customFormat="false" ht="15" hidden="false" customHeight="false" outlineLevel="0" collapsed="false">
      <c r="A37" s="27" t="s">
        <v>95</v>
      </c>
      <c r="B37" s="27" t="s">
        <v>74</v>
      </c>
      <c r="C37" s="28" t="n">
        <v>46077</v>
      </c>
      <c r="D37" s="29" t="n">
        <v>60</v>
      </c>
      <c r="E37" s="30" t="n">
        <v>493500</v>
      </c>
      <c r="F37" s="32"/>
      <c r="N37" s="44" t="n">
        <f aca="false">$B$6-C37</f>
        <v>35</v>
      </c>
    </row>
    <row r="38" customFormat="false" ht="15" hidden="false" customHeight="false" outlineLevel="0" collapsed="false">
      <c r="A38" s="38" t="s">
        <v>96</v>
      </c>
      <c r="B38" s="38" t="s">
        <v>47</v>
      </c>
      <c r="C38" s="39" t="n">
        <v>46107</v>
      </c>
      <c r="D38" s="40" t="n">
        <v>30</v>
      </c>
      <c r="E38" s="41" t="n">
        <v>499000</v>
      </c>
      <c r="F38" s="32"/>
      <c r="N38" s="44" t="n">
        <f aca="false">$B$6-C38</f>
        <v>5</v>
      </c>
    </row>
    <row r="39" customFormat="false" ht="15" hidden="false" customHeight="false" outlineLevel="0" collapsed="false">
      <c r="A39" s="27" t="s">
        <v>97</v>
      </c>
      <c r="B39" s="27" t="s">
        <v>78</v>
      </c>
      <c r="C39" s="28" t="n">
        <v>46055</v>
      </c>
      <c r="D39" s="29" t="n">
        <v>45</v>
      </c>
      <c r="E39" s="30" t="n">
        <v>88500</v>
      </c>
      <c r="F39" s="32"/>
      <c r="N39" s="44" t="n">
        <f aca="false">$B$6-C39</f>
        <v>57</v>
      </c>
    </row>
    <row r="40" customFormat="false" ht="15" hidden="false" customHeight="false" outlineLevel="0" collapsed="false">
      <c r="A40" s="38" t="s">
        <v>98</v>
      </c>
      <c r="B40" s="38" t="s">
        <v>52</v>
      </c>
      <c r="C40" s="39" t="n">
        <v>46067</v>
      </c>
      <c r="D40" s="40" t="n">
        <v>45</v>
      </c>
      <c r="E40" s="41" t="n">
        <v>518500</v>
      </c>
      <c r="F40" s="32"/>
      <c r="N40" s="44" t="n">
        <f aca="false">$B$6-C40</f>
        <v>45</v>
      </c>
    </row>
    <row r="41" customFormat="false" ht="15" hidden="false" customHeight="false" outlineLevel="0" collapsed="false">
      <c r="A41" s="27" t="s">
        <v>99</v>
      </c>
      <c r="B41" s="27" t="s">
        <v>57</v>
      </c>
      <c r="C41" s="28" t="n">
        <v>45894</v>
      </c>
      <c r="D41" s="29" t="n">
        <v>60</v>
      </c>
      <c r="E41" s="30" t="n">
        <v>376000</v>
      </c>
      <c r="F41" s="32"/>
      <c r="N41" s="44" t="n">
        <f aca="false">$B$6-C41</f>
        <v>218</v>
      </c>
    </row>
    <row r="42" customFormat="false" ht="15" hidden="false" customHeight="false" outlineLevel="0" collapsed="false">
      <c r="A42" s="38" t="s">
        <v>100</v>
      </c>
      <c r="B42" s="38" t="s">
        <v>57</v>
      </c>
      <c r="C42" s="39" t="n">
        <v>46101</v>
      </c>
      <c r="D42" s="40" t="n">
        <v>30</v>
      </c>
      <c r="E42" s="41" t="n">
        <v>49000</v>
      </c>
      <c r="F42" s="32"/>
      <c r="N42" s="44" t="n">
        <f aca="false">$B$6-C42</f>
        <v>11</v>
      </c>
    </row>
    <row r="43" customFormat="false" ht="15" hidden="false" customHeight="false" outlineLevel="0" collapsed="false">
      <c r="A43" s="27" t="s">
        <v>101</v>
      </c>
      <c r="B43" s="27" t="s">
        <v>57</v>
      </c>
      <c r="C43" s="28" t="n">
        <v>46090</v>
      </c>
      <c r="D43" s="29" t="n">
        <v>30</v>
      </c>
      <c r="E43" s="30" t="n">
        <v>317500</v>
      </c>
      <c r="F43" s="32"/>
      <c r="N43" s="44" t="n">
        <f aca="false">$B$6-C43</f>
        <v>22</v>
      </c>
    </row>
    <row r="44" customFormat="false" ht="15" hidden="false" customHeight="false" outlineLevel="0" collapsed="false">
      <c r="A44" s="38" t="s">
        <v>102</v>
      </c>
      <c r="B44" s="38" t="s">
        <v>71</v>
      </c>
      <c r="C44" s="39" t="n">
        <v>45843</v>
      </c>
      <c r="D44" s="40" t="n">
        <v>90</v>
      </c>
      <c r="E44" s="41" t="n">
        <v>40000</v>
      </c>
      <c r="F44" s="32"/>
      <c r="N44" s="44" t="n">
        <f aca="false">$B$6-C44</f>
        <v>269</v>
      </c>
    </row>
    <row r="45" customFormat="false" ht="15" hidden="false" customHeight="false" outlineLevel="0" collapsed="false">
      <c r="A45" s="27" t="s">
        <v>103</v>
      </c>
      <c r="B45" s="27" t="s">
        <v>57</v>
      </c>
      <c r="C45" s="28" t="n">
        <v>45911</v>
      </c>
      <c r="D45" s="29" t="n">
        <v>30</v>
      </c>
      <c r="E45" s="30" t="n">
        <v>115500</v>
      </c>
      <c r="F45" s="32"/>
      <c r="N45" s="44" t="n">
        <f aca="false">$B$6-C45</f>
        <v>201</v>
      </c>
    </row>
    <row r="46" customFormat="false" ht="15" hidden="false" customHeight="false" outlineLevel="0" collapsed="false">
      <c r="A46" s="38" t="s">
        <v>104</v>
      </c>
      <c r="B46" s="38" t="s">
        <v>52</v>
      </c>
      <c r="C46" s="39" t="n">
        <v>45961</v>
      </c>
      <c r="D46" s="40" t="n">
        <v>15</v>
      </c>
      <c r="E46" s="41" t="n">
        <v>131000</v>
      </c>
      <c r="F46" s="32"/>
      <c r="N46" s="44" t="n">
        <f aca="false">$B$6-C46</f>
        <v>151</v>
      </c>
    </row>
    <row r="47" customFormat="false" ht="15" hidden="false" customHeight="false" outlineLevel="0" collapsed="false">
      <c r="A47" s="27" t="s">
        <v>105</v>
      </c>
      <c r="B47" s="27" t="s">
        <v>47</v>
      </c>
      <c r="C47" s="28" t="n">
        <v>46089</v>
      </c>
      <c r="D47" s="29" t="n">
        <v>60</v>
      </c>
      <c r="E47" s="30" t="n">
        <v>256500</v>
      </c>
      <c r="F47" s="32"/>
      <c r="N47" s="44" t="n">
        <f aca="false">$B$6-C47</f>
        <v>23</v>
      </c>
    </row>
    <row r="48" customFormat="false" ht="15" hidden="false" customHeight="false" outlineLevel="0" collapsed="false">
      <c r="A48" s="38" t="s">
        <v>106</v>
      </c>
      <c r="B48" s="38" t="s">
        <v>87</v>
      </c>
      <c r="C48" s="39" t="n">
        <v>45841</v>
      </c>
      <c r="D48" s="40" t="n">
        <v>15</v>
      </c>
      <c r="E48" s="41" t="n">
        <v>514500</v>
      </c>
      <c r="F48" s="32"/>
      <c r="N48" s="44" t="n">
        <f aca="false">$B$6-C48</f>
        <v>271</v>
      </c>
    </row>
    <row r="49" customFormat="false" ht="15" hidden="false" customHeight="false" outlineLevel="0" collapsed="false">
      <c r="A49" s="27" t="s">
        <v>107</v>
      </c>
      <c r="B49" s="27" t="s">
        <v>69</v>
      </c>
      <c r="C49" s="28" t="n">
        <v>45846</v>
      </c>
      <c r="D49" s="29" t="n">
        <v>30</v>
      </c>
      <c r="E49" s="30" t="n">
        <v>236000</v>
      </c>
      <c r="F49" s="32"/>
      <c r="N49" s="44" t="n">
        <f aca="false">$B$6-C49</f>
        <v>266</v>
      </c>
    </row>
    <row r="50" customFormat="false" ht="15" hidden="false" customHeight="false" outlineLevel="0" collapsed="false">
      <c r="A50" s="38" t="s">
        <v>108</v>
      </c>
      <c r="B50" s="38" t="s">
        <v>109</v>
      </c>
      <c r="C50" s="39" t="n">
        <v>46075</v>
      </c>
      <c r="D50" s="40" t="n">
        <v>60</v>
      </c>
      <c r="E50" s="41" t="n">
        <v>22000</v>
      </c>
      <c r="F50" s="32"/>
      <c r="N50" s="44" t="n">
        <f aca="false">$B$6-C50</f>
        <v>37</v>
      </c>
    </row>
    <row r="51" customFormat="false" ht="15" hidden="false" customHeight="false" outlineLevel="0" collapsed="false">
      <c r="A51" s="27" t="s">
        <v>110</v>
      </c>
      <c r="B51" s="27" t="s">
        <v>64</v>
      </c>
      <c r="C51" s="28" t="n">
        <v>45973</v>
      </c>
      <c r="D51" s="29" t="n">
        <v>90</v>
      </c>
      <c r="E51" s="30" t="n">
        <v>500000</v>
      </c>
      <c r="F51" s="32"/>
      <c r="N51" s="44" t="n">
        <f aca="false">$B$6-C51</f>
        <v>139</v>
      </c>
    </row>
    <row r="52" customFormat="false" ht="15" hidden="false" customHeight="false" outlineLevel="0" collapsed="false">
      <c r="A52" s="38" t="s">
        <v>111</v>
      </c>
      <c r="B52" s="38" t="s">
        <v>71</v>
      </c>
      <c r="C52" s="39" t="n">
        <v>45973</v>
      </c>
      <c r="D52" s="40" t="n">
        <v>60</v>
      </c>
      <c r="E52" s="41" t="n">
        <v>364500</v>
      </c>
      <c r="F52" s="32"/>
      <c r="N52" s="44" t="n">
        <f aca="false">$B$6-C52</f>
        <v>139</v>
      </c>
    </row>
    <row r="53" customFormat="false" ht="15" hidden="false" customHeight="false" outlineLevel="0" collapsed="false">
      <c r="A53" s="27" t="s">
        <v>112</v>
      </c>
      <c r="B53" s="27" t="s">
        <v>47</v>
      </c>
      <c r="C53" s="28" t="n">
        <v>46029</v>
      </c>
      <c r="D53" s="29" t="n">
        <v>60</v>
      </c>
      <c r="E53" s="30" t="n">
        <v>447500</v>
      </c>
      <c r="F53" s="32"/>
      <c r="N53" s="44" t="n">
        <f aca="false">$B$6-C53</f>
        <v>83</v>
      </c>
    </row>
    <row r="54" customFormat="false" ht="15" hidden="false" customHeight="false" outlineLevel="0" collapsed="false">
      <c r="A54" s="38" t="s">
        <v>113</v>
      </c>
      <c r="B54" s="38" t="s">
        <v>52</v>
      </c>
      <c r="C54" s="39" t="n">
        <v>46099</v>
      </c>
      <c r="D54" s="40" t="n">
        <v>60</v>
      </c>
      <c r="E54" s="41" t="n">
        <v>43000</v>
      </c>
      <c r="F54" s="32"/>
      <c r="N54" s="44" t="n">
        <f aca="false">$B$6-C54</f>
        <v>13</v>
      </c>
    </row>
    <row r="55" customFormat="false" ht="15" hidden="false" customHeight="false" outlineLevel="0" collapsed="false">
      <c r="A55" s="27" t="s">
        <v>114</v>
      </c>
      <c r="B55" s="27" t="s">
        <v>64</v>
      </c>
      <c r="C55" s="28" t="n">
        <v>46048</v>
      </c>
      <c r="D55" s="29" t="n">
        <v>60</v>
      </c>
      <c r="E55" s="30" t="n">
        <v>189500</v>
      </c>
      <c r="F55" s="32"/>
      <c r="N55" s="44" t="n">
        <f aca="false">$B$6-C55</f>
        <v>64</v>
      </c>
    </row>
    <row r="56" customFormat="false" ht="15" hidden="false" customHeight="false" outlineLevel="0" collapsed="false">
      <c r="A56" s="38" t="s">
        <v>115</v>
      </c>
      <c r="B56" s="38" t="s">
        <v>69</v>
      </c>
      <c r="C56" s="39" t="n">
        <v>46021</v>
      </c>
      <c r="D56" s="40" t="n">
        <v>45</v>
      </c>
      <c r="E56" s="41" t="n">
        <v>168000</v>
      </c>
      <c r="F56" s="32"/>
      <c r="N56" s="44" t="n">
        <f aca="false">$B$6-C56</f>
        <v>91</v>
      </c>
    </row>
    <row r="57" customFormat="false" ht="15" hidden="false" customHeight="false" outlineLevel="0" collapsed="false">
      <c r="A57" s="27" t="s">
        <v>116</v>
      </c>
      <c r="B57" s="27" t="s">
        <v>109</v>
      </c>
      <c r="C57" s="28" t="n">
        <v>46048</v>
      </c>
      <c r="D57" s="29" t="n">
        <v>60</v>
      </c>
      <c r="E57" s="30" t="n">
        <v>171000</v>
      </c>
      <c r="F57" s="32"/>
      <c r="N57" s="44" t="n">
        <f aca="false">$B$6-C57</f>
        <v>64</v>
      </c>
    </row>
    <row r="58" customFormat="false" ht="15" hidden="false" customHeight="false" outlineLevel="0" collapsed="false">
      <c r="A58" s="38" t="s">
        <v>117</v>
      </c>
      <c r="B58" s="38" t="s">
        <v>64</v>
      </c>
      <c r="C58" s="39" t="n">
        <v>46089</v>
      </c>
      <c r="D58" s="40" t="n">
        <v>90</v>
      </c>
      <c r="E58" s="41" t="n">
        <v>288000</v>
      </c>
      <c r="F58" s="32"/>
      <c r="N58" s="44" t="n">
        <f aca="false">$B$6-C58</f>
        <v>23</v>
      </c>
    </row>
  </sheetData>
  <mergeCells count="3">
    <mergeCell ref="A1:L1"/>
    <mergeCell ref="A2:L2"/>
    <mergeCell ref="A3:L5"/>
  </mergeCells>
  <conditionalFormatting sqref="K9:K12">
    <cfRule type="expression" priority="2" aboveAverage="0" equalAverage="0" bottom="0" percent="0" rank="0" text="" dxfId="0">
      <formula>LEFT(K9,1)="✓"</formula>
    </cfRule>
    <cfRule type="expression" priority="3" aboveAverage="0" equalAverage="0" bottom="0" percent="0" rank="0" text="" dxfId="1">
      <formula>LEFT(K9,1)="✗"</formula>
    </cfRule>
    <cfRule type="expression" priority="4" aboveAverage="0" equalAverage="0" bottom="0" percent="0" rank="0" text="" dxfId="2">
      <formula>LEFT(K9,1)="✎"</formula>
    </cfRule>
    <cfRule type="expression" priority="5" aboveAverage="0" equalAverage="0" bottom="0" percent="0" rank="0" text="" dxfId="3">
      <formula>LEFT(K9,1)="◯"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5"/>
    <col collapsed="false" customWidth="true" hidden="false" outlineLevel="0" max="10" min="10" style="0" width="46"/>
    <col collapsed="false" customWidth="true" hidden="false" outlineLevel="0" max="11" min="11" style="0" width="18"/>
    <col collapsed="false" customWidth="true" hidden="false" outlineLevel="0" max="12" min="12" style="0" width="17"/>
    <col collapsed="false" customWidth="true" hidden="false" outlineLevel="0" max="13" min="13" style="0" width="38"/>
    <col collapsed="false" customWidth="true" hidden="true" outlineLevel="0" max="17" min="14" style="0" width="13"/>
  </cols>
  <sheetData>
    <row r="1" customFormat="false" ht="31.5" hidden="false" customHeight="true" outlineLevel="0" collapsed="false">
      <c r="A1" s="47" t="s">
        <v>131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customFormat="false" ht="19.5" hidden="false" customHeight="true" outlineLevel="0" collapsed="false">
      <c r="A2" s="48" t="s">
        <v>132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customFormat="false" ht="18.75" hidden="false" customHeight="true" outlineLevel="0" collapsed="false">
      <c r="A3" s="49" t="s">
        <v>133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customFormat="false" ht="18.75" hidden="false" customHeight="true" outlineLevel="0" collapsed="false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customFormat="false" ht="18.75" hidden="false" customHeight="true" outlineLevel="0" collapsed="false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customFormat="false" ht="19.5" hidden="false" customHeight="true" outlineLevel="0" collapsed="false">
      <c r="A6" s="50" t="s">
        <v>121</v>
      </c>
      <c r="B6" s="51" t="n">
        <v>46112</v>
      </c>
    </row>
    <row r="8" customFormat="false" ht="24" hidden="false" customHeight="true" outlineLevel="0" collapsed="false">
      <c r="A8" s="24" t="s">
        <v>35</v>
      </c>
      <c r="B8" s="24" t="s">
        <v>36</v>
      </c>
      <c r="C8" s="24" t="s">
        <v>37</v>
      </c>
      <c r="D8" s="24" t="s">
        <v>38</v>
      </c>
      <c r="E8" s="24" t="s">
        <v>39</v>
      </c>
      <c r="F8" s="25" t="s">
        <v>134</v>
      </c>
      <c r="G8" s="25" t="s">
        <v>135</v>
      </c>
      <c r="I8" s="52" t="s">
        <v>14</v>
      </c>
      <c r="J8" s="52" t="s">
        <v>42</v>
      </c>
      <c r="K8" s="52" t="s">
        <v>43</v>
      </c>
      <c r="L8" s="52" t="s">
        <v>44</v>
      </c>
      <c r="M8" s="52" t="s">
        <v>45</v>
      </c>
    </row>
    <row r="9" customFormat="false" ht="33.75" hidden="false" customHeight="true" outlineLevel="0" collapsed="false">
      <c r="A9" s="27" t="s">
        <v>46</v>
      </c>
      <c r="B9" s="27" t="s">
        <v>47</v>
      </c>
      <c r="C9" s="28" t="n">
        <v>45883</v>
      </c>
      <c r="D9" s="29" t="n">
        <v>15</v>
      </c>
      <c r="E9" s="30" t="n">
        <v>100500</v>
      </c>
      <c r="F9" s="56"/>
      <c r="G9" s="32"/>
      <c r="I9" s="53" t="n">
        <v>1</v>
      </c>
      <c r="J9" s="34" t="s">
        <v>136</v>
      </c>
      <c r="K9" s="35" t="s">
        <v>49</v>
      </c>
      <c r="L9" s="36" t="str">
        <f aca="false">IF(COUNTA($F$9:$F$58)=0,"◯ Not attempted",IF(NOT(_xlfn.ISFORMULA(F9)),"✎ Use a formula",IFERROR(IF(SUMPRODUCT(--(ABS($F$9:$F$58-$O$9:$O$58)&lt;0.01))=ROWS($F$9:$F$58),"✓ Correct","✗ "&amp;(ROWS($F$9:$F$58)-SUMPRODUCT(--(ABS($F$9:$F$58-$O$9:$O$58)&lt;0.01)))&amp;" rows differ"),"✗ Check the column")))</f>
        <v>◯ Not attempted</v>
      </c>
      <c r="M9" s="37" t="s">
        <v>137</v>
      </c>
      <c r="O9" s="43" t="n">
        <f aca="false">C9+D9</f>
        <v>45898</v>
      </c>
      <c r="P9" s="44" t="n">
        <f aca="false">MAX(0,$B$6-(C9+D9))</f>
        <v>214</v>
      </c>
    </row>
    <row r="10" customFormat="false" ht="33.75" hidden="false" customHeight="true" outlineLevel="0" collapsed="false">
      <c r="A10" s="38" t="s">
        <v>51</v>
      </c>
      <c r="B10" s="38" t="s">
        <v>52</v>
      </c>
      <c r="C10" s="39" t="n">
        <v>45887</v>
      </c>
      <c r="D10" s="40" t="n">
        <v>30</v>
      </c>
      <c r="E10" s="41" t="n">
        <v>410500</v>
      </c>
      <c r="F10" s="56"/>
      <c r="G10" s="32"/>
      <c r="I10" s="53" t="n">
        <v>2</v>
      </c>
      <c r="J10" s="34" t="s">
        <v>138</v>
      </c>
      <c r="K10" s="35" t="s">
        <v>54</v>
      </c>
      <c r="L10" s="36" t="str">
        <f aca="false">IF(COUNTA($G$9:$G$58)=0,"◯ Not attempted",IF(NOT(_xlfn.ISFORMULA(G9)),"✎ Use a formula",IFERROR(IF(SUMPRODUCT(--(ABS($G$9:$G$58-$P$9:$P$58)&lt;0.01))=ROWS($G$9:$G$58),"✓ Correct","✗ "&amp;(ROWS($G$9:$G$58)-SUMPRODUCT(--(ABS($G$9:$G$58-$P$9:$P$58)&lt;0.01)))&amp;" rows differ"),"✗ Check the column")))</f>
        <v>◯ Not attempted</v>
      </c>
      <c r="M10" s="37" t="s">
        <v>139</v>
      </c>
      <c r="O10" s="43" t="n">
        <f aca="false">C10+D10</f>
        <v>45917</v>
      </c>
      <c r="P10" s="44" t="n">
        <f aca="false">MAX(0,$B$6-(C10+D10))</f>
        <v>195</v>
      </c>
    </row>
    <row r="11" customFormat="false" ht="33.75" hidden="false" customHeight="true" outlineLevel="0" collapsed="false">
      <c r="A11" s="27" t="s">
        <v>56</v>
      </c>
      <c r="B11" s="27" t="s">
        <v>57</v>
      </c>
      <c r="C11" s="28" t="n">
        <v>45890</v>
      </c>
      <c r="D11" s="29" t="n">
        <v>60</v>
      </c>
      <c r="E11" s="30" t="n">
        <v>97500</v>
      </c>
      <c r="F11" s="56"/>
      <c r="G11" s="32"/>
      <c r="I11" s="53" t="n">
        <v>3</v>
      </c>
      <c r="J11" s="34" t="s">
        <v>140</v>
      </c>
      <c r="K11" s="42"/>
      <c r="L11" s="36" t="str">
        <f aca="false">IF(ISBLANK(K11),"◯ Not attempted",IF(NOT(_xlfn.ISFORMULA(K11)),"✎ Use a formula",IF(ISNUMBER(K11),IF(ABS(K11-$N$11)&lt;0.005,"✓ Correct","✗ Check again"),"✗ Not a number")))</f>
        <v>◯ Not attempted</v>
      </c>
      <c r="M11" s="37" t="s">
        <v>141</v>
      </c>
      <c r="N11" s="43" t="n">
        <f aca="false">SUMPRODUCT(--($B$6&gt;$C$9:$C$58+$D$9:$D$58))</f>
        <v>35</v>
      </c>
      <c r="O11" s="43" t="n">
        <f aca="false">C11+D11</f>
        <v>45950</v>
      </c>
      <c r="P11" s="44" t="n">
        <f aca="false">MAX(0,$B$6-(C11+D11))</f>
        <v>162</v>
      </c>
    </row>
    <row r="12" customFormat="false" ht="33.75" hidden="false" customHeight="true" outlineLevel="0" collapsed="false">
      <c r="A12" s="38" t="s">
        <v>60</v>
      </c>
      <c r="B12" s="38" t="s">
        <v>57</v>
      </c>
      <c r="C12" s="39" t="n">
        <v>46111</v>
      </c>
      <c r="D12" s="40" t="n">
        <v>30</v>
      </c>
      <c r="E12" s="41" t="n">
        <v>193000</v>
      </c>
      <c r="F12" s="56"/>
      <c r="G12" s="32"/>
      <c r="I12" s="53" t="n">
        <v>4</v>
      </c>
      <c r="J12" s="34" t="s">
        <v>142</v>
      </c>
      <c r="K12" s="57"/>
      <c r="L12" s="36" t="str">
        <f aca="false">IF(ISBLANK(K12),"◯ Not attempted",IF(NOT(_xlfn.ISFORMULA(K12)),"✎ Use a formula",IF(ISNUMBER(K12),IF(ABS(K12-$N$12)&lt;0.005,"✓ Correct","✗ Check again"),"✗ Not a number")))</f>
        <v>◯ Not attempted</v>
      </c>
      <c r="M12" s="37" t="s">
        <v>143</v>
      </c>
      <c r="N12" s="0" t="n">
        <f aca="false">SUMPRODUCT(($B$6&gt;$C$9:$C$58+$D$9:$D$58)*$E$9:$E$58)</f>
        <v>7772000</v>
      </c>
      <c r="O12" s="43" t="n">
        <f aca="false">C12+D12</f>
        <v>46141</v>
      </c>
      <c r="P12" s="44" t="n">
        <f aca="false">MAX(0,$B$6-(C12+D12))</f>
        <v>0</v>
      </c>
    </row>
    <row r="13" customFormat="false" ht="15" hidden="false" customHeight="false" outlineLevel="0" collapsed="false">
      <c r="A13" s="27" t="s">
        <v>63</v>
      </c>
      <c r="B13" s="27" t="s">
        <v>64</v>
      </c>
      <c r="C13" s="28" t="n">
        <v>45936</v>
      </c>
      <c r="D13" s="29" t="n">
        <v>90</v>
      </c>
      <c r="E13" s="30" t="n">
        <v>140500</v>
      </c>
      <c r="F13" s="56"/>
      <c r="G13" s="32"/>
      <c r="O13" s="43" t="n">
        <f aca="false">C13+D13</f>
        <v>46026</v>
      </c>
      <c r="P13" s="44" t="n">
        <f aca="false">MAX(0,$B$6-(C13+D13))</f>
        <v>86</v>
      </c>
    </row>
    <row r="14" customFormat="false" ht="15" hidden="false" customHeight="false" outlineLevel="0" collapsed="false">
      <c r="A14" s="38" t="s">
        <v>65</v>
      </c>
      <c r="B14" s="38" t="s">
        <v>47</v>
      </c>
      <c r="C14" s="39" t="n">
        <v>45993</v>
      </c>
      <c r="D14" s="40" t="n">
        <v>45</v>
      </c>
      <c r="E14" s="41" t="n">
        <v>51500</v>
      </c>
      <c r="F14" s="56"/>
      <c r="G14" s="32"/>
      <c r="O14" s="43" t="n">
        <f aca="false">C14+D14</f>
        <v>46038</v>
      </c>
      <c r="P14" s="44" t="n">
        <f aca="false">MAX(0,$B$6-(C14+D14))</f>
        <v>74</v>
      </c>
    </row>
    <row r="15" customFormat="false" ht="15" hidden="false" customHeight="false" outlineLevel="0" collapsed="false">
      <c r="A15" s="27" t="s">
        <v>66</v>
      </c>
      <c r="B15" s="27" t="s">
        <v>52</v>
      </c>
      <c r="C15" s="28" t="n">
        <v>45980</v>
      </c>
      <c r="D15" s="29" t="n">
        <v>90</v>
      </c>
      <c r="E15" s="30" t="n">
        <v>218000</v>
      </c>
      <c r="F15" s="56"/>
      <c r="G15" s="32"/>
      <c r="O15" s="43" t="n">
        <f aca="false">C15+D15</f>
        <v>46070</v>
      </c>
      <c r="P15" s="44" t="n">
        <f aca="false">MAX(0,$B$6-(C15+D15))</f>
        <v>42</v>
      </c>
    </row>
    <row r="16" customFormat="false" ht="15" hidden="false" customHeight="false" outlineLevel="0" collapsed="false">
      <c r="A16" s="38" t="s">
        <v>67</v>
      </c>
      <c r="B16" s="38" t="s">
        <v>57</v>
      </c>
      <c r="C16" s="39" t="n">
        <v>45877</v>
      </c>
      <c r="D16" s="40" t="n">
        <v>45</v>
      </c>
      <c r="E16" s="41" t="n">
        <v>101000</v>
      </c>
      <c r="F16" s="56"/>
      <c r="G16" s="32"/>
      <c r="O16" s="43" t="n">
        <f aca="false">C16+D16</f>
        <v>45922</v>
      </c>
      <c r="P16" s="44" t="n">
        <f aca="false">MAX(0,$B$6-(C16+D16))</f>
        <v>190</v>
      </c>
    </row>
    <row r="17" customFormat="false" ht="15" hidden="false" customHeight="false" outlineLevel="0" collapsed="false">
      <c r="A17" s="27" t="s">
        <v>68</v>
      </c>
      <c r="B17" s="27" t="s">
        <v>69</v>
      </c>
      <c r="C17" s="28" t="n">
        <v>46056</v>
      </c>
      <c r="D17" s="29" t="n">
        <v>60</v>
      </c>
      <c r="E17" s="30" t="n">
        <v>171000</v>
      </c>
      <c r="F17" s="56"/>
      <c r="G17" s="32"/>
      <c r="O17" s="43" t="n">
        <f aca="false">C17+D17</f>
        <v>46116</v>
      </c>
      <c r="P17" s="44" t="n">
        <f aca="false">MAX(0,$B$6-(C17+D17))</f>
        <v>0</v>
      </c>
    </row>
    <row r="18" customFormat="false" ht="15" hidden="false" customHeight="false" outlineLevel="0" collapsed="false">
      <c r="A18" s="38" t="s">
        <v>70</v>
      </c>
      <c r="B18" s="38" t="s">
        <v>71</v>
      </c>
      <c r="C18" s="39" t="n">
        <v>46037</v>
      </c>
      <c r="D18" s="40" t="n">
        <v>90</v>
      </c>
      <c r="E18" s="41" t="n">
        <v>224500</v>
      </c>
      <c r="F18" s="56"/>
      <c r="G18" s="32"/>
      <c r="O18" s="43" t="n">
        <f aca="false">C18+D18</f>
        <v>46127</v>
      </c>
      <c r="P18" s="44" t="n">
        <f aca="false">MAX(0,$B$6-(C18+D18))</f>
        <v>0</v>
      </c>
    </row>
    <row r="19" customFormat="false" ht="15" hidden="false" customHeight="false" outlineLevel="0" collapsed="false">
      <c r="A19" s="27" t="s">
        <v>72</v>
      </c>
      <c r="B19" s="27" t="s">
        <v>57</v>
      </c>
      <c r="C19" s="28" t="n">
        <v>45990</v>
      </c>
      <c r="D19" s="29" t="n">
        <v>90</v>
      </c>
      <c r="E19" s="30" t="n">
        <v>333000</v>
      </c>
      <c r="F19" s="56"/>
      <c r="G19" s="32"/>
      <c r="O19" s="43" t="n">
        <f aca="false">C19+D19</f>
        <v>46080</v>
      </c>
      <c r="P19" s="44" t="n">
        <f aca="false">MAX(0,$B$6-(C19+D19))</f>
        <v>32</v>
      </c>
    </row>
    <row r="20" customFormat="false" ht="15" hidden="false" customHeight="false" outlineLevel="0" collapsed="false">
      <c r="A20" s="38" t="s">
        <v>73</v>
      </c>
      <c r="B20" s="38" t="s">
        <v>74</v>
      </c>
      <c r="C20" s="39" t="n">
        <v>46017</v>
      </c>
      <c r="D20" s="40" t="n">
        <v>45</v>
      </c>
      <c r="E20" s="41" t="n">
        <v>206500</v>
      </c>
      <c r="F20" s="56"/>
      <c r="G20" s="32"/>
      <c r="O20" s="43" t="n">
        <f aca="false">C20+D20</f>
        <v>46062</v>
      </c>
      <c r="P20" s="44" t="n">
        <f aca="false">MAX(0,$B$6-(C20+D20))</f>
        <v>50</v>
      </c>
    </row>
    <row r="21" customFormat="false" ht="15" hidden="false" customHeight="false" outlineLevel="0" collapsed="false">
      <c r="A21" s="27" t="s">
        <v>75</v>
      </c>
      <c r="B21" s="27" t="s">
        <v>76</v>
      </c>
      <c r="C21" s="28" t="n">
        <v>46053</v>
      </c>
      <c r="D21" s="29" t="n">
        <v>60</v>
      </c>
      <c r="E21" s="30" t="n">
        <v>250000</v>
      </c>
      <c r="F21" s="56"/>
      <c r="G21" s="32"/>
      <c r="O21" s="43" t="n">
        <f aca="false">C21+D21</f>
        <v>46113</v>
      </c>
      <c r="P21" s="44" t="n">
        <f aca="false">MAX(0,$B$6-(C21+D21))</f>
        <v>0</v>
      </c>
    </row>
    <row r="22" customFormat="false" ht="15" hidden="false" customHeight="false" outlineLevel="0" collapsed="false">
      <c r="A22" s="38" t="s">
        <v>77</v>
      </c>
      <c r="B22" s="38" t="s">
        <v>78</v>
      </c>
      <c r="C22" s="39" t="n">
        <v>46062</v>
      </c>
      <c r="D22" s="40" t="n">
        <v>45</v>
      </c>
      <c r="E22" s="41" t="n">
        <v>319500</v>
      </c>
      <c r="F22" s="56"/>
      <c r="G22" s="32"/>
      <c r="O22" s="43" t="n">
        <f aca="false">C22+D22</f>
        <v>46107</v>
      </c>
      <c r="P22" s="44" t="n">
        <f aca="false">MAX(0,$B$6-(C22+D22))</f>
        <v>5</v>
      </c>
    </row>
    <row r="23" customFormat="false" ht="15" hidden="false" customHeight="false" outlineLevel="0" collapsed="false">
      <c r="A23" s="27" t="s">
        <v>79</v>
      </c>
      <c r="B23" s="27" t="s">
        <v>80</v>
      </c>
      <c r="C23" s="28" t="n">
        <v>45939</v>
      </c>
      <c r="D23" s="29" t="n">
        <v>15</v>
      </c>
      <c r="E23" s="30" t="n">
        <v>151000</v>
      </c>
      <c r="F23" s="56"/>
      <c r="G23" s="32"/>
      <c r="O23" s="43" t="n">
        <f aca="false">C23+D23</f>
        <v>45954</v>
      </c>
      <c r="P23" s="44" t="n">
        <f aca="false">MAX(0,$B$6-(C23+D23))</f>
        <v>158</v>
      </c>
    </row>
    <row r="24" customFormat="false" ht="15" hidden="false" customHeight="false" outlineLevel="0" collapsed="false">
      <c r="A24" s="38" t="s">
        <v>81</v>
      </c>
      <c r="B24" s="38" t="s">
        <v>71</v>
      </c>
      <c r="C24" s="39" t="n">
        <v>46020</v>
      </c>
      <c r="D24" s="40" t="n">
        <v>60</v>
      </c>
      <c r="E24" s="41" t="n">
        <v>16000</v>
      </c>
      <c r="F24" s="56"/>
      <c r="G24" s="32"/>
      <c r="O24" s="43" t="n">
        <f aca="false">C24+D24</f>
        <v>46080</v>
      </c>
      <c r="P24" s="44" t="n">
        <f aca="false">MAX(0,$B$6-(C24+D24))</f>
        <v>32</v>
      </c>
    </row>
    <row r="25" customFormat="false" ht="15" hidden="false" customHeight="false" outlineLevel="0" collapsed="false">
      <c r="A25" s="27" t="s">
        <v>82</v>
      </c>
      <c r="B25" s="27" t="s">
        <v>47</v>
      </c>
      <c r="C25" s="28" t="n">
        <v>46086</v>
      </c>
      <c r="D25" s="29" t="n">
        <v>15</v>
      </c>
      <c r="E25" s="30" t="n">
        <v>110500</v>
      </c>
      <c r="F25" s="56"/>
      <c r="G25" s="32"/>
      <c r="O25" s="43" t="n">
        <f aca="false">C25+D25</f>
        <v>46101</v>
      </c>
      <c r="P25" s="44" t="n">
        <f aca="false">MAX(0,$B$6-(C25+D25))</f>
        <v>11</v>
      </c>
    </row>
    <row r="26" customFormat="false" ht="15" hidden="false" customHeight="false" outlineLevel="0" collapsed="false">
      <c r="A26" s="38" t="s">
        <v>83</v>
      </c>
      <c r="B26" s="38" t="s">
        <v>52</v>
      </c>
      <c r="C26" s="39" t="n">
        <v>46102</v>
      </c>
      <c r="D26" s="40" t="n">
        <v>90</v>
      </c>
      <c r="E26" s="41" t="n">
        <v>48000</v>
      </c>
      <c r="F26" s="56"/>
      <c r="G26" s="32"/>
      <c r="O26" s="43" t="n">
        <f aca="false">C26+D26</f>
        <v>46192</v>
      </c>
      <c r="P26" s="44" t="n">
        <f aca="false">MAX(0,$B$6-(C26+D26))</f>
        <v>0</v>
      </c>
    </row>
    <row r="27" customFormat="false" ht="15" hidden="false" customHeight="false" outlineLevel="0" collapsed="false">
      <c r="A27" s="27" t="s">
        <v>84</v>
      </c>
      <c r="B27" s="27" t="s">
        <v>80</v>
      </c>
      <c r="C27" s="28" t="n">
        <v>45978</v>
      </c>
      <c r="D27" s="29" t="n">
        <v>45</v>
      </c>
      <c r="E27" s="30" t="n">
        <v>452500</v>
      </c>
      <c r="F27" s="56"/>
      <c r="G27" s="32"/>
      <c r="O27" s="43" t="n">
        <f aca="false">C27+D27</f>
        <v>46023</v>
      </c>
      <c r="P27" s="44" t="n">
        <f aca="false">MAX(0,$B$6-(C27+D27))</f>
        <v>89</v>
      </c>
    </row>
    <row r="28" customFormat="false" ht="15" hidden="false" customHeight="false" outlineLevel="0" collapsed="false">
      <c r="A28" s="38" t="s">
        <v>85</v>
      </c>
      <c r="B28" s="38" t="s">
        <v>74</v>
      </c>
      <c r="C28" s="39" t="n">
        <v>45983</v>
      </c>
      <c r="D28" s="40" t="n">
        <v>30</v>
      </c>
      <c r="E28" s="41" t="n">
        <v>484000</v>
      </c>
      <c r="F28" s="56"/>
      <c r="G28" s="32"/>
      <c r="O28" s="43" t="n">
        <f aca="false">C28+D28</f>
        <v>46013</v>
      </c>
      <c r="P28" s="44" t="n">
        <f aca="false">MAX(0,$B$6-(C28+D28))</f>
        <v>99</v>
      </c>
    </row>
    <row r="29" customFormat="false" ht="15" hidden="false" customHeight="false" outlineLevel="0" collapsed="false">
      <c r="A29" s="27" t="s">
        <v>86</v>
      </c>
      <c r="B29" s="27" t="s">
        <v>87</v>
      </c>
      <c r="C29" s="28" t="n">
        <v>45847</v>
      </c>
      <c r="D29" s="29" t="n">
        <v>30</v>
      </c>
      <c r="E29" s="30" t="n">
        <v>92500</v>
      </c>
      <c r="F29" s="56"/>
      <c r="G29" s="32"/>
      <c r="O29" s="43" t="n">
        <f aca="false">C29+D29</f>
        <v>45877</v>
      </c>
      <c r="P29" s="44" t="n">
        <f aca="false">MAX(0,$B$6-(C29+D29))</f>
        <v>235</v>
      </c>
    </row>
    <row r="30" customFormat="false" ht="15" hidden="false" customHeight="false" outlineLevel="0" collapsed="false">
      <c r="A30" s="38" t="s">
        <v>88</v>
      </c>
      <c r="B30" s="38" t="s">
        <v>78</v>
      </c>
      <c r="C30" s="39" t="n">
        <v>45885</v>
      </c>
      <c r="D30" s="40" t="n">
        <v>60</v>
      </c>
      <c r="E30" s="41" t="n">
        <v>104000</v>
      </c>
      <c r="F30" s="56"/>
      <c r="G30" s="32"/>
      <c r="O30" s="43" t="n">
        <f aca="false">C30+D30</f>
        <v>45945</v>
      </c>
      <c r="P30" s="44" t="n">
        <f aca="false">MAX(0,$B$6-(C30+D30))</f>
        <v>167</v>
      </c>
    </row>
    <row r="31" customFormat="false" ht="15" hidden="false" customHeight="false" outlineLevel="0" collapsed="false">
      <c r="A31" s="27" t="s">
        <v>89</v>
      </c>
      <c r="B31" s="27" t="s">
        <v>71</v>
      </c>
      <c r="C31" s="28" t="n">
        <v>45968</v>
      </c>
      <c r="D31" s="29" t="n">
        <v>60</v>
      </c>
      <c r="E31" s="30" t="n">
        <v>133500</v>
      </c>
      <c r="F31" s="56"/>
      <c r="G31" s="32"/>
      <c r="O31" s="43" t="n">
        <f aca="false">C31+D31</f>
        <v>46028</v>
      </c>
      <c r="P31" s="44" t="n">
        <f aca="false">MAX(0,$B$6-(C31+D31))</f>
        <v>84</v>
      </c>
    </row>
    <row r="32" customFormat="false" ht="15" hidden="false" customHeight="false" outlineLevel="0" collapsed="false">
      <c r="A32" s="38" t="s">
        <v>90</v>
      </c>
      <c r="B32" s="38" t="s">
        <v>64</v>
      </c>
      <c r="C32" s="39" t="n">
        <v>45955</v>
      </c>
      <c r="D32" s="40" t="n">
        <v>60</v>
      </c>
      <c r="E32" s="41" t="n">
        <v>208000</v>
      </c>
      <c r="F32" s="56"/>
      <c r="G32" s="32"/>
      <c r="O32" s="43" t="n">
        <f aca="false">C32+D32</f>
        <v>46015</v>
      </c>
      <c r="P32" s="44" t="n">
        <f aca="false">MAX(0,$B$6-(C32+D32))</f>
        <v>97</v>
      </c>
    </row>
    <row r="33" customFormat="false" ht="15" hidden="false" customHeight="false" outlineLevel="0" collapsed="false">
      <c r="A33" s="27" t="s">
        <v>91</v>
      </c>
      <c r="B33" s="27" t="s">
        <v>69</v>
      </c>
      <c r="C33" s="28" t="n">
        <v>45967</v>
      </c>
      <c r="D33" s="29" t="n">
        <v>30</v>
      </c>
      <c r="E33" s="30" t="n">
        <v>429500</v>
      </c>
      <c r="F33" s="56"/>
      <c r="G33" s="32"/>
      <c r="O33" s="43" t="n">
        <f aca="false">C33+D33</f>
        <v>45997</v>
      </c>
      <c r="P33" s="44" t="n">
        <f aca="false">MAX(0,$B$6-(C33+D33))</f>
        <v>115</v>
      </c>
    </row>
    <row r="34" customFormat="false" ht="15" hidden="false" customHeight="false" outlineLevel="0" collapsed="false">
      <c r="A34" s="38" t="s">
        <v>92</v>
      </c>
      <c r="B34" s="38" t="s">
        <v>71</v>
      </c>
      <c r="C34" s="39" t="n">
        <v>45873</v>
      </c>
      <c r="D34" s="40" t="n">
        <v>15</v>
      </c>
      <c r="E34" s="41" t="n">
        <v>143500</v>
      </c>
      <c r="F34" s="56"/>
      <c r="G34" s="32"/>
      <c r="O34" s="43" t="n">
        <f aca="false">C34+D34</f>
        <v>45888</v>
      </c>
      <c r="P34" s="44" t="n">
        <f aca="false">MAX(0,$B$6-(C34+D34))</f>
        <v>224</v>
      </c>
    </row>
    <row r="35" customFormat="false" ht="15" hidden="false" customHeight="false" outlineLevel="0" collapsed="false">
      <c r="A35" s="27" t="s">
        <v>93</v>
      </c>
      <c r="B35" s="27" t="s">
        <v>64</v>
      </c>
      <c r="C35" s="28" t="n">
        <v>46047</v>
      </c>
      <c r="D35" s="29" t="n">
        <v>90</v>
      </c>
      <c r="E35" s="30" t="n">
        <v>446000</v>
      </c>
      <c r="F35" s="56"/>
      <c r="G35" s="32"/>
      <c r="O35" s="43" t="n">
        <f aca="false">C35+D35</f>
        <v>46137</v>
      </c>
      <c r="P35" s="44" t="n">
        <f aca="false">MAX(0,$B$6-(C35+D35))</f>
        <v>0</v>
      </c>
    </row>
    <row r="36" customFormat="false" ht="15" hidden="false" customHeight="false" outlineLevel="0" collapsed="false">
      <c r="A36" s="38" t="s">
        <v>94</v>
      </c>
      <c r="B36" s="38" t="s">
        <v>69</v>
      </c>
      <c r="C36" s="39" t="n">
        <v>45895</v>
      </c>
      <c r="D36" s="40" t="n">
        <v>90</v>
      </c>
      <c r="E36" s="41" t="n">
        <v>126500</v>
      </c>
      <c r="F36" s="56"/>
      <c r="G36" s="32"/>
      <c r="O36" s="43" t="n">
        <f aca="false">C36+D36</f>
        <v>45985</v>
      </c>
      <c r="P36" s="44" t="n">
        <f aca="false">MAX(0,$B$6-(C36+D36))</f>
        <v>127</v>
      </c>
    </row>
    <row r="37" customFormat="false" ht="15" hidden="false" customHeight="false" outlineLevel="0" collapsed="false">
      <c r="A37" s="27" t="s">
        <v>95</v>
      </c>
      <c r="B37" s="27" t="s">
        <v>74</v>
      </c>
      <c r="C37" s="28" t="n">
        <v>46077</v>
      </c>
      <c r="D37" s="29" t="n">
        <v>60</v>
      </c>
      <c r="E37" s="30" t="n">
        <v>493500</v>
      </c>
      <c r="F37" s="56"/>
      <c r="G37" s="32"/>
      <c r="O37" s="43" t="n">
        <f aca="false">C37+D37</f>
        <v>46137</v>
      </c>
      <c r="P37" s="44" t="n">
        <f aca="false">MAX(0,$B$6-(C37+D37))</f>
        <v>0</v>
      </c>
    </row>
    <row r="38" customFormat="false" ht="15" hidden="false" customHeight="false" outlineLevel="0" collapsed="false">
      <c r="A38" s="38" t="s">
        <v>96</v>
      </c>
      <c r="B38" s="38" t="s">
        <v>47</v>
      </c>
      <c r="C38" s="39" t="n">
        <v>46107</v>
      </c>
      <c r="D38" s="40" t="n">
        <v>30</v>
      </c>
      <c r="E38" s="41" t="n">
        <v>499000</v>
      </c>
      <c r="F38" s="56"/>
      <c r="G38" s="32"/>
      <c r="O38" s="43" t="n">
        <f aca="false">C38+D38</f>
        <v>46137</v>
      </c>
      <c r="P38" s="44" t="n">
        <f aca="false">MAX(0,$B$6-(C38+D38))</f>
        <v>0</v>
      </c>
    </row>
    <row r="39" customFormat="false" ht="15" hidden="false" customHeight="false" outlineLevel="0" collapsed="false">
      <c r="A39" s="27" t="s">
        <v>97</v>
      </c>
      <c r="B39" s="27" t="s">
        <v>78</v>
      </c>
      <c r="C39" s="28" t="n">
        <v>46055</v>
      </c>
      <c r="D39" s="29" t="n">
        <v>45</v>
      </c>
      <c r="E39" s="30" t="n">
        <v>88500</v>
      </c>
      <c r="F39" s="56"/>
      <c r="G39" s="32"/>
      <c r="O39" s="43" t="n">
        <f aca="false">C39+D39</f>
        <v>46100</v>
      </c>
      <c r="P39" s="44" t="n">
        <f aca="false">MAX(0,$B$6-(C39+D39))</f>
        <v>12</v>
      </c>
    </row>
    <row r="40" customFormat="false" ht="15" hidden="false" customHeight="false" outlineLevel="0" collapsed="false">
      <c r="A40" s="38" t="s">
        <v>98</v>
      </c>
      <c r="B40" s="38" t="s">
        <v>52</v>
      </c>
      <c r="C40" s="39" t="n">
        <v>46067</v>
      </c>
      <c r="D40" s="40" t="n">
        <v>45</v>
      </c>
      <c r="E40" s="41" t="n">
        <v>518500</v>
      </c>
      <c r="F40" s="56"/>
      <c r="G40" s="32"/>
      <c r="O40" s="43" t="n">
        <f aca="false">C40+D40</f>
        <v>46112</v>
      </c>
      <c r="P40" s="44" t="n">
        <f aca="false">MAX(0,$B$6-(C40+D40))</f>
        <v>0</v>
      </c>
    </row>
    <row r="41" customFormat="false" ht="15" hidden="false" customHeight="false" outlineLevel="0" collapsed="false">
      <c r="A41" s="27" t="s">
        <v>99</v>
      </c>
      <c r="B41" s="27" t="s">
        <v>57</v>
      </c>
      <c r="C41" s="28" t="n">
        <v>45894</v>
      </c>
      <c r="D41" s="29" t="n">
        <v>60</v>
      </c>
      <c r="E41" s="30" t="n">
        <v>376000</v>
      </c>
      <c r="F41" s="56"/>
      <c r="G41" s="32"/>
      <c r="O41" s="43" t="n">
        <f aca="false">C41+D41</f>
        <v>45954</v>
      </c>
      <c r="P41" s="44" t="n">
        <f aca="false">MAX(0,$B$6-(C41+D41))</f>
        <v>158</v>
      </c>
    </row>
    <row r="42" customFormat="false" ht="15" hidden="false" customHeight="false" outlineLevel="0" collapsed="false">
      <c r="A42" s="38" t="s">
        <v>100</v>
      </c>
      <c r="B42" s="38" t="s">
        <v>57</v>
      </c>
      <c r="C42" s="39" t="n">
        <v>46101</v>
      </c>
      <c r="D42" s="40" t="n">
        <v>30</v>
      </c>
      <c r="E42" s="41" t="n">
        <v>49000</v>
      </c>
      <c r="F42" s="56"/>
      <c r="G42" s="32"/>
      <c r="O42" s="43" t="n">
        <f aca="false">C42+D42</f>
        <v>46131</v>
      </c>
      <c r="P42" s="44" t="n">
        <f aca="false">MAX(0,$B$6-(C42+D42))</f>
        <v>0</v>
      </c>
    </row>
    <row r="43" customFormat="false" ht="15" hidden="false" customHeight="false" outlineLevel="0" collapsed="false">
      <c r="A43" s="27" t="s">
        <v>101</v>
      </c>
      <c r="B43" s="27" t="s">
        <v>57</v>
      </c>
      <c r="C43" s="28" t="n">
        <v>46090</v>
      </c>
      <c r="D43" s="29" t="n">
        <v>30</v>
      </c>
      <c r="E43" s="30" t="n">
        <v>317500</v>
      </c>
      <c r="F43" s="56"/>
      <c r="G43" s="32"/>
      <c r="O43" s="43" t="n">
        <f aca="false">C43+D43</f>
        <v>46120</v>
      </c>
      <c r="P43" s="44" t="n">
        <f aca="false">MAX(0,$B$6-(C43+D43))</f>
        <v>0</v>
      </c>
    </row>
    <row r="44" customFormat="false" ht="15" hidden="false" customHeight="false" outlineLevel="0" collapsed="false">
      <c r="A44" s="38" t="s">
        <v>102</v>
      </c>
      <c r="B44" s="38" t="s">
        <v>71</v>
      </c>
      <c r="C44" s="39" t="n">
        <v>45843</v>
      </c>
      <c r="D44" s="40" t="n">
        <v>90</v>
      </c>
      <c r="E44" s="41" t="n">
        <v>40000</v>
      </c>
      <c r="F44" s="56"/>
      <c r="G44" s="32"/>
      <c r="O44" s="43" t="n">
        <f aca="false">C44+D44</f>
        <v>45933</v>
      </c>
      <c r="P44" s="44" t="n">
        <f aca="false">MAX(0,$B$6-(C44+D44))</f>
        <v>179</v>
      </c>
    </row>
    <row r="45" customFormat="false" ht="15" hidden="false" customHeight="false" outlineLevel="0" collapsed="false">
      <c r="A45" s="27" t="s">
        <v>103</v>
      </c>
      <c r="B45" s="27" t="s">
        <v>57</v>
      </c>
      <c r="C45" s="28" t="n">
        <v>45911</v>
      </c>
      <c r="D45" s="29" t="n">
        <v>30</v>
      </c>
      <c r="E45" s="30" t="n">
        <v>115500</v>
      </c>
      <c r="F45" s="56"/>
      <c r="G45" s="32"/>
      <c r="O45" s="43" t="n">
        <f aca="false">C45+D45</f>
        <v>45941</v>
      </c>
      <c r="P45" s="44" t="n">
        <f aca="false">MAX(0,$B$6-(C45+D45))</f>
        <v>171</v>
      </c>
    </row>
    <row r="46" customFormat="false" ht="15" hidden="false" customHeight="false" outlineLevel="0" collapsed="false">
      <c r="A46" s="38" t="s">
        <v>104</v>
      </c>
      <c r="B46" s="38" t="s">
        <v>52</v>
      </c>
      <c r="C46" s="39" t="n">
        <v>45961</v>
      </c>
      <c r="D46" s="40" t="n">
        <v>15</v>
      </c>
      <c r="E46" s="41" t="n">
        <v>131000</v>
      </c>
      <c r="F46" s="56"/>
      <c r="G46" s="32"/>
      <c r="O46" s="43" t="n">
        <f aca="false">C46+D46</f>
        <v>45976</v>
      </c>
      <c r="P46" s="44" t="n">
        <f aca="false">MAX(0,$B$6-(C46+D46))</f>
        <v>136</v>
      </c>
    </row>
    <row r="47" customFormat="false" ht="15" hidden="false" customHeight="false" outlineLevel="0" collapsed="false">
      <c r="A47" s="27" t="s">
        <v>105</v>
      </c>
      <c r="B47" s="27" t="s">
        <v>47</v>
      </c>
      <c r="C47" s="28" t="n">
        <v>46089</v>
      </c>
      <c r="D47" s="29" t="n">
        <v>60</v>
      </c>
      <c r="E47" s="30" t="n">
        <v>256500</v>
      </c>
      <c r="F47" s="56"/>
      <c r="G47" s="32"/>
      <c r="O47" s="43" t="n">
        <f aca="false">C47+D47</f>
        <v>46149</v>
      </c>
      <c r="P47" s="44" t="n">
        <f aca="false">MAX(0,$B$6-(C47+D47))</f>
        <v>0</v>
      </c>
    </row>
    <row r="48" customFormat="false" ht="15" hidden="false" customHeight="false" outlineLevel="0" collapsed="false">
      <c r="A48" s="38" t="s">
        <v>106</v>
      </c>
      <c r="B48" s="38" t="s">
        <v>87</v>
      </c>
      <c r="C48" s="39" t="n">
        <v>45841</v>
      </c>
      <c r="D48" s="40" t="n">
        <v>15</v>
      </c>
      <c r="E48" s="41" t="n">
        <v>514500</v>
      </c>
      <c r="F48" s="56"/>
      <c r="G48" s="32"/>
      <c r="O48" s="43" t="n">
        <f aca="false">C48+D48</f>
        <v>45856</v>
      </c>
      <c r="P48" s="44" t="n">
        <f aca="false">MAX(0,$B$6-(C48+D48))</f>
        <v>256</v>
      </c>
    </row>
    <row r="49" customFormat="false" ht="15" hidden="false" customHeight="false" outlineLevel="0" collapsed="false">
      <c r="A49" s="27" t="s">
        <v>107</v>
      </c>
      <c r="B49" s="27" t="s">
        <v>69</v>
      </c>
      <c r="C49" s="28" t="n">
        <v>45846</v>
      </c>
      <c r="D49" s="29" t="n">
        <v>30</v>
      </c>
      <c r="E49" s="30" t="n">
        <v>236000</v>
      </c>
      <c r="F49" s="56"/>
      <c r="G49" s="32"/>
      <c r="O49" s="43" t="n">
        <f aca="false">C49+D49</f>
        <v>45876</v>
      </c>
      <c r="P49" s="44" t="n">
        <f aca="false">MAX(0,$B$6-(C49+D49))</f>
        <v>236</v>
      </c>
    </row>
    <row r="50" customFormat="false" ht="15" hidden="false" customHeight="false" outlineLevel="0" collapsed="false">
      <c r="A50" s="38" t="s">
        <v>108</v>
      </c>
      <c r="B50" s="38" t="s">
        <v>109</v>
      </c>
      <c r="C50" s="39" t="n">
        <v>46075</v>
      </c>
      <c r="D50" s="40" t="n">
        <v>60</v>
      </c>
      <c r="E50" s="41" t="n">
        <v>22000</v>
      </c>
      <c r="F50" s="56"/>
      <c r="G50" s="32"/>
      <c r="O50" s="43" t="n">
        <f aca="false">C50+D50</f>
        <v>46135</v>
      </c>
      <c r="P50" s="44" t="n">
        <f aca="false">MAX(0,$B$6-(C50+D50))</f>
        <v>0</v>
      </c>
    </row>
    <row r="51" customFormat="false" ht="15" hidden="false" customHeight="false" outlineLevel="0" collapsed="false">
      <c r="A51" s="27" t="s">
        <v>110</v>
      </c>
      <c r="B51" s="27" t="s">
        <v>64</v>
      </c>
      <c r="C51" s="28" t="n">
        <v>45973</v>
      </c>
      <c r="D51" s="29" t="n">
        <v>90</v>
      </c>
      <c r="E51" s="30" t="n">
        <v>500000</v>
      </c>
      <c r="F51" s="56"/>
      <c r="G51" s="32"/>
      <c r="O51" s="43" t="n">
        <f aca="false">C51+D51</f>
        <v>46063</v>
      </c>
      <c r="P51" s="44" t="n">
        <f aca="false">MAX(0,$B$6-(C51+D51))</f>
        <v>49</v>
      </c>
    </row>
    <row r="52" customFormat="false" ht="15" hidden="false" customHeight="false" outlineLevel="0" collapsed="false">
      <c r="A52" s="38" t="s">
        <v>111</v>
      </c>
      <c r="B52" s="38" t="s">
        <v>71</v>
      </c>
      <c r="C52" s="39" t="n">
        <v>45973</v>
      </c>
      <c r="D52" s="40" t="n">
        <v>60</v>
      </c>
      <c r="E52" s="41" t="n">
        <v>364500</v>
      </c>
      <c r="F52" s="56"/>
      <c r="G52" s="32"/>
      <c r="O52" s="43" t="n">
        <f aca="false">C52+D52</f>
        <v>46033</v>
      </c>
      <c r="P52" s="44" t="n">
        <f aca="false">MAX(0,$B$6-(C52+D52))</f>
        <v>79</v>
      </c>
    </row>
    <row r="53" customFormat="false" ht="15" hidden="false" customHeight="false" outlineLevel="0" collapsed="false">
      <c r="A53" s="27" t="s">
        <v>112</v>
      </c>
      <c r="B53" s="27" t="s">
        <v>47</v>
      </c>
      <c r="C53" s="28" t="n">
        <v>46029</v>
      </c>
      <c r="D53" s="29" t="n">
        <v>60</v>
      </c>
      <c r="E53" s="30" t="n">
        <v>447500</v>
      </c>
      <c r="F53" s="56"/>
      <c r="G53" s="32"/>
      <c r="O53" s="43" t="n">
        <f aca="false">C53+D53</f>
        <v>46089</v>
      </c>
      <c r="P53" s="44" t="n">
        <f aca="false">MAX(0,$B$6-(C53+D53))</f>
        <v>23</v>
      </c>
    </row>
    <row r="54" customFormat="false" ht="15" hidden="false" customHeight="false" outlineLevel="0" collapsed="false">
      <c r="A54" s="38" t="s">
        <v>113</v>
      </c>
      <c r="B54" s="38" t="s">
        <v>52</v>
      </c>
      <c r="C54" s="39" t="n">
        <v>46099</v>
      </c>
      <c r="D54" s="40" t="n">
        <v>60</v>
      </c>
      <c r="E54" s="41" t="n">
        <v>43000</v>
      </c>
      <c r="F54" s="56"/>
      <c r="G54" s="32"/>
      <c r="O54" s="43" t="n">
        <f aca="false">C54+D54</f>
        <v>46159</v>
      </c>
      <c r="P54" s="44" t="n">
        <f aca="false">MAX(0,$B$6-(C54+D54))</f>
        <v>0</v>
      </c>
    </row>
    <row r="55" customFormat="false" ht="15" hidden="false" customHeight="false" outlineLevel="0" collapsed="false">
      <c r="A55" s="27" t="s">
        <v>114</v>
      </c>
      <c r="B55" s="27" t="s">
        <v>64</v>
      </c>
      <c r="C55" s="28" t="n">
        <v>46048</v>
      </c>
      <c r="D55" s="29" t="n">
        <v>60</v>
      </c>
      <c r="E55" s="30" t="n">
        <v>189500</v>
      </c>
      <c r="F55" s="56"/>
      <c r="G55" s="32"/>
      <c r="O55" s="43" t="n">
        <f aca="false">C55+D55</f>
        <v>46108</v>
      </c>
      <c r="P55" s="44" t="n">
        <f aca="false">MAX(0,$B$6-(C55+D55))</f>
        <v>4</v>
      </c>
    </row>
    <row r="56" customFormat="false" ht="15" hidden="false" customHeight="false" outlineLevel="0" collapsed="false">
      <c r="A56" s="38" t="s">
        <v>115</v>
      </c>
      <c r="B56" s="38" t="s">
        <v>69</v>
      </c>
      <c r="C56" s="39" t="n">
        <v>46021</v>
      </c>
      <c r="D56" s="40" t="n">
        <v>45</v>
      </c>
      <c r="E56" s="41" t="n">
        <v>168000</v>
      </c>
      <c r="F56" s="56"/>
      <c r="G56" s="32"/>
      <c r="O56" s="43" t="n">
        <f aca="false">C56+D56</f>
        <v>46066</v>
      </c>
      <c r="P56" s="44" t="n">
        <f aca="false">MAX(0,$B$6-(C56+D56))</f>
        <v>46</v>
      </c>
    </row>
    <row r="57" customFormat="false" ht="15" hidden="false" customHeight="false" outlineLevel="0" collapsed="false">
      <c r="A57" s="27" t="s">
        <v>116</v>
      </c>
      <c r="B57" s="27" t="s">
        <v>109</v>
      </c>
      <c r="C57" s="28" t="n">
        <v>46048</v>
      </c>
      <c r="D57" s="29" t="n">
        <v>60</v>
      </c>
      <c r="E57" s="30" t="n">
        <v>171000</v>
      </c>
      <c r="F57" s="56"/>
      <c r="G57" s="32"/>
      <c r="O57" s="43" t="n">
        <f aca="false">C57+D57</f>
        <v>46108</v>
      </c>
      <c r="P57" s="44" t="n">
        <f aca="false">MAX(0,$B$6-(C57+D57))</f>
        <v>4</v>
      </c>
    </row>
    <row r="58" customFormat="false" ht="15" hidden="false" customHeight="false" outlineLevel="0" collapsed="false">
      <c r="A58" s="38" t="s">
        <v>117</v>
      </c>
      <c r="B58" s="38" t="s">
        <v>64</v>
      </c>
      <c r="C58" s="39" t="n">
        <v>46089</v>
      </c>
      <c r="D58" s="40" t="n">
        <v>90</v>
      </c>
      <c r="E58" s="41" t="n">
        <v>288000</v>
      </c>
      <c r="F58" s="56"/>
      <c r="G58" s="32"/>
      <c r="O58" s="43" t="n">
        <f aca="false">C58+D58</f>
        <v>46179</v>
      </c>
      <c r="P58" s="44" t="n">
        <f aca="false">MAX(0,$B$6-(C58+D58))</f>
        <v>0</v>
      </c>
    </row>
  </sheetData>
  <mergeCells count="3">
    <mergeCell ref="A1:M1"/>
    <mergeCell ref="A2:M2"/>
    <mergeCell ref="A3:M5"/>
  </mergeCells>
  <conditionalFormatting sqref="L9:L12">
    <cfRule type="expression" priority="2" aboveAverage="0" equalAverage="0" bottom="0" percent="0" rank="0" text="" dxfId="0">
      <formula>LEFT(L9,1)="✓"</formula>
    </cfRule>
    <cfRule type="expression" priority="3" aboveAverage="0" equalAverage="0" bottom="0" percent="0" rank="0" text="" dxfId="1">
      <formula>LEFT(L9,1)="✗"</formula>
    </cfRule>
    <cfRule type="expression" priority="4" aboveAverage="0" equalAverage="0" bottom="0" percent="0" rank="0" text="" dxfId="2">
      <formula>LEFT(L9,1)="✎"</formula>
    </cfRule>
    <cfRule type="expression" priority="5" aboveAverage="0" equalAverage="0" bottom="0" percent="0" rank="0" text="" dxfId="3">
      <formula>LEFT(L9,1)="◯"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tru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3"/>
    <col collapsed="false" customWidth="true" hidden="false" outlineLevel="0" max="7" min="7" style="0" width="5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38"/>
    <col collapsed="false" customWidth="true" hidden="true" outlineLevel="0" max="14" min="12" style="0" width="13"/>
  </cols>
  <sheetData>
    <row r="1" customFormat="false" ht="31.5" hidden="false" customHeight="true" outlineLevel="0" collapsed="false">
      <c r="A1" s="58" t="s">
        <v>144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customFormat="false" ht="19.5" hidden="false" customHeight="true" outlineLevel="0" collapsed="false">
      <c r="A2" s="59" t="s">
        <v>145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customFormat="false" ht="18.75" hidden="false" customHeight="true" outlineLevel="0" collapsed="false">
      <c r="A3" s="60" t="s">
        <v>146</v>
      </c>
      <c r="B3" s="60"/>
      <c r="C3" s="60"/>
      <c r="D3" s="60"/>
      <c r="E3" s="60"/>
      <c r="F3" s="60"/>
      <c r="G3" s="60"/>
      <c r="H3" s="60"/>
      <c r="I3" s="60"/>
      <c r="J3" s="60"/>
      <c r="K3" s="60"/>
    </row>
    <row r="4" customFormat="false" ht="18.75" hidden="false" customHeight="true" outlineLevel="0" collapsed="false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</row>
    <row r="5" customFormat="false" ht="18.75" hidden="false" customHeight="true" outlineLevel="0" collapsed="false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35</v>
      </c>
      <c r="B8" s="24" t="s">
        <v>36</v>
      </c>
      <c r="C8" s="24" t="s">
        <v>39</v>
      </c>
      <c r="D8" s="24" t="s">
        <v>135</v>
      </c>
      <c r="E8" s="25" t="s">
        <v>147</v>
      </c>
      <c r="G8" s="61" t="s">
        <v>14</v>
      </c>
      <c r="H8" s="61" t="s">
        <v>42</v>
      </c>
      <c r="I8" s="61" t="s">
        <v>43</v>
      </c>
      <c r="J8" s="61" t="s">
        <v>44</v>
      </c>
      <c r="K8" s="61" t="s">
        <v>45</v>
      </c>
    </row>
    <row r="9" customFormat="false" ht="33.75" hidden="false" customHeight="true" outlineLevel="0" collapsed="false">
      <c r="A9" s="27" t="s">
        <v>46</v>
      </c>
      <c r="B9" s="27" t="s">
        <v>47</v>
      </c>
      <c r="C9" s="30" t="n">
        <v>100500</v>
      </c>
      <c r="D9" s="29" t="n">
        <v>214</v>
      </c>
      <c r="E9" s="31"/>
      <c r="G9" s="62" t="n">
        <v>1</v>
      </c>
      <c r="H9" s="34" t="s">
        <v>148</v>
      </c>
      <c r="I9" s="35" t="s">
        <v>149</v>
      </c>
      <c r="J9" s="36" t="str">
        <f aca="false">IF(COUNTA($E$9:$E$58)=0,"◯ Not attempted",IF(NOT(_xlfn.ISFORMULA(E9)),"✎ Use a formula",IFERROR(IF(SUMPRODUCT(--(UPPER(TRIM($E$9:$E$58&amp;""))=UPPER(TRIM($M$9:$M$58&amp;""))))=ROWS($E$9:$E$58),"✓ Correct","✗ "&amp;(ROWS($E$9:$E$58)-SUMPRODUCT(--(UPPER(TRIM($E$9:$E$58&amp;""))=UPPER(TRIM($M$9:$M$58&amp;"")))))&amp;" rows differ"),"✗ Check the column")))</f>
        <v>◯ Not attempted</v>
      </c>
      <c r="K9" s="37" t="s">
        <v>150</v>
      </c>
      <c r="M9" s="0" t="str">
        <f aca="false">_xlfn.IFS(D9&lt;=0,"Not due",D9&lt;=30,"1-30",D9&lt;=60,"31-60",D9&lt;=90,"61-90",TRUE(),"90+")</f>
        <v>90+</v>
      </c>
    </row>
    <row r="10" customFormat="false" ht="33.75" hidden="false" customHeight="true" outlineLevel="0" collapsed="false">
      <c r="A10" s="38" t="s">
        <v>51</v>
      </c>
      <c r="B10" s="38" t="s">
        <v>52</v>
      </c>
      <c r="C10" s="41" t="n">
        <v>410500</v>
      </c>
      <c r="D10" s="40" t="n">
        <v>195</v>
      </c>
      <c r="E10" s="31"/>
      <c r="G10" s="62" t="n">
        <v>2</v>
      </c>
      <c r="H10" s="34" t="s">
        <v>151</v>
      </c>
      <c r="I10" s="57"/>
      <c r="J10" s="36" t="str">
        <f aca="false">IF(ISBLANK(I10),"◯ Not attempted",IF(NOT(_xlfn.ISFORMULA(I10)),"✎ Use a formula",IF(ISNUMBER(I10),IF(ABS(I10-$L$10)&lt;0.005,"✓ Correct","✗ Check again"),"✗ Not a number")))</f>
        <v>◯ Not attempted</v>
      </c>
      <c r="K10" s="37" t="s">
        <v>152</v>
      </c>
      <c r="L10" s="0" t="n">
        <f aca="false">SUMIF($D$9:$D$58,"&gt;90",$C$9:$C$58)</f>
        <v>3861500</v>
      </c>
      <c r="M10" s="0" t="str">
        <f aca="false">_xlfn.IFS(D10&lt;=0,"Not due",D10&lt;=30,"1-30",D10&lt;=60,"31-60",D10&lt;=90,"61-90",TRUE(),"90+")</f>
        <v>90+</v>
      </c>
    </row>
    <row r="11" customFormat="false" ht="33.75" hidden="false" customHeight="true" outlineLevel="0" collapsed="false">
      <c r="A11" s="27" t="s">
        <v>56</v>
      </c>
      <c r="B11" s="27" t="s">
        <v>57</v>
      </c>
      <c r="C11" s="30" t="n">
        <v>97500</v>
      </c>
      <c r="D11" s="29" t="n">
        <v>162</v>
      </c>
      <c r="E11" s="31"/>
      <c r="G11" s="62" t="n">
        <v>3</v>
      </c>
      <c r="H11" s="34" t="s">
        <v>153</v>
      </c>
      <c r="I11" s="42"/>
      <c r="J11" s="36" t="str">
        <f aca="false">IF(ISBLANK(I11),"◯ Not attempted",IF(NOT(_xlfn.ISFORMULA(I11)),"✎ Use a formula",IF(ISNUMBER(I11),IF(ABS(I11-$L$11)&lt;0.005,"✓ Correct","✗ Check again"),"✗ Not a number")))</f>
        <v>◯ Not attempted</v>
      </c>
      <c r="K11" s="37" t="s">
        <v>154</v>
      </c>
      <c r="L11" s="43" t="n">
        <f aca="false">COUNTIF($D$9:$D$58,0)</f>
        <v>15</v>
      </c>
      <c r="M11" s="0" t="str">
        <f aca="false">_xlfn.IFS(D11&lt;=0,"Not due",D11&lt;=30,"1-30",D11&lt;=60,"31-60",D11&lt;=90,"61-90",TRUE(),"90+")</f>
        <v>90+</v>
      </c>
    </row>
    <row r="12" customFormat="false" ht="15" hidden="false" customHeight="false" outlineLevel="0" collapsed="false">
      <c r="A12" s="38" t="s">
        <v>60</v>
      </c>
      <c r="B12" s="38" t="s">
        <v>57</v>
      </c>
      <c r="C12" s="41" t="n">
        <v>193000</v>
      </c>
      <c r="D12" s="40" t="n">
        <v>0</v>
      </c>
      <c r="E12" s="31"/>
      <c r="M12" s="0" t="str">
        <f aca="false">_xlfn.IFS(D12&lt;=0,"Not due",D12&lt;=30,"1-30",D12&lt;=60,"31-60",D12&lt;=90,"61-90",TRUE(),"90+")</f>
        <v>Not due</v>
      </c>
    </row>
    <row r="13" customFormat="false" ht="15" hidden="false" customHeight="false" outlineLevel="0" collapsed="false">
      <c r="A13" s="27" t="s">
        <v>63</v>
      </c>
      <c r="B13" s="27" t="s">
        <v>64</v>
      </c>
      <c r="C13" s="30" t="n">
        <v>140500</v>
      </c>
      <c r="D13" s="29" t="n">
        <v>86</v>
      </c>
      <c r="E13" s="31"/>
      <c r="M13" s="0" t="str">
        <f aca="false">_xlfn.IFS(D13&lt;=0,"Not due",D13&lt;=30,"1-30",D13&lt;=60,"31-60",D13&lt;=90,"61-90",TRUE(),"90+")</f>
        <v>61-90</v>
      </c>
    </row>
    <row r="14" customFormat="false" ht="15" hidden="false" customHeight="false" outlineLevel="0" collapsed="false">
      <c r="A14" s="38" t="s">
        <v>65</v>
      </c>
      <c r="B14" s="38" t="s">
        <v>47</v>
      </c>
      <c r="C14" s="41" t="n">
        <v>51500</v>
      </c>
      <c r="D14" s="40" t="n">
        <v>74</v>
      </c>
      <c r="E14" s="31"/>
      <c r="M14" s="0" t="str">
        <f aca="false">_xlfn.IFS(D14&lt;=0,"Not due",D14&lt;=30,"1-30",D14&lt;=60,"31-60",D14&lt;=90,"61-90",TRUE(),"90+")</f>
        <v>61-90</v>
      </c>
    </row>
    <row r="15" customFormat="false" ht="15" hidden="false" customHeight="false" outlineLevel="0" collapsed="false">
      <c r="A15" s="27" t="s">
        <v>66</v>
      </c>
      <c r="B15" s="27" t="s">
        <v>52</v>
      </c>
      <c r="C15" s="30" t="n">
        <v>218000</v>
      </c>
      <c r="D15" s="29" t="n">
        <v>42</v>
      </c>
      <c r="E15" s="31"/>
      <c r="M15" s="0" t="str">
        <f aca="false">_xlfn.IFS(D15&lt;=0,"Not due",D15&lt;=30,"1-30",D15&lt;=60,"31-60",D15&lt;=90,"61-90",TRUE(),"90+")</f>
        <v>31-60</v>
      </c>
    </row>
    <row r="16" customFormat="false" ht="15" hidden="false" customHeight="false" outlineLevel="0" collapsed="false">
      <c r="A16" s="38" t="s">
        <v>67</v>
      </c>
      <c r="B16" s="38" t="s">
        <v>57</v>
      </c>
      <c r="C16" s="41" t="n">
        <v>101000</v>
      </c>
      <c r="D16" s="40" t="n">
        <v>190</v>
      </c>
      <c r="E16" s="31"/>
      <c r="M16" s="0" t="str">
        <f aca="false">_xlfn.IFS(D16&lt;=0,"Not due",D16&lt;=30,"1-30",D16&lt;=60,"31-60",D16&lt;=90,"61-90",TRUE(),"90+")</f>
        <v>90+</v>
      </c>
    </row>
    <row r="17" customFormat="false" ht="15" hidden="false" customHeight="false" outlineLevel="0" collapsed="false">
      <c r="A17" s="27" t="s">
        <v>68</v>
      </c>
      <c r="B17" s="27" t="s">
        <v>69</v>
      </c>
      <c r="C17" s="30" t="n">
        <v>171000</v>
      </c>
      <c r="D17" s="29" t="n">
        <v>0</v>
      </c>
      <c r="E17" s="31"/>
      <c r="M17" s="0" t="str">
        <f aca="false">_xlfn.IFS(D17&lt;=0,"Not due",D17&lt;=30,"1-30",D17&lt;=60,"31-60",D17&lt;=90,"61-90",TRUE(),"90+")</f>
        <v>Not due</v>
      </c>
    </row>
    <row r="18" customFormat="false" ht="15" hidden="false" customHeight="false" outlineLevel="0" collapsed="false">
      <c r="A18" s="38" t="s">
        <v>70</v>
      </c>
      <c r="B18" s="38" t="s">
        <v>71</v>
      </c>
      <c r="C18" s="41" t="n">
        <v>224500</v>
      </c>
      <c r="D18" s="40" t="n">
        <v>0</v>
      </c>
      <c r="E18" s="31"/>
      <c r="M18" s="0" t="str">
        <f aca="false">_xlfn.IFS(D18&lt;=0,"Not due",D18&lt;=30,"1-30",D18&lt;=60,"31-60",D18&lt;=90,"61-90",TRUE(),"90+")</f>
        <v>Not due</v>
      </c>
    </row>
    <row r="19" customFormat="false" ht="15" hidden="false" customHeight="false" outlineLevel="0" collapsed="false">
      <c r="A19" s="27" t="s">
        <v>72</v>
      </c>
      <c r="B19" s="27" t="s">
        <v>57</v>
      </c>
      <c r="C19" s="30" t="n">
        <v>333000</v>
      </c>
      <c r="D19" s="29" t="n">
        <v>32</v>
      </c>
      <c r="E19" s="31"/>
      <c r="M19" s="0" t="str">
        <f aca="false">_xlfn.IFS(D19&lt;=0,"Not due",D19&lt;=30,"1-30",D19&lt;=60,"31-60",D19&lt;=90,"61-90",TRUE(),"90+")</f>
        <v>31-60</v>
      </c>
    </row>
    <row r="20" customFormat="false" ht="15" hidden="false" customHeight="false" outlineLevel="0" collapsed="false">
      <c r="A20" s="38" t="s">
        <v>73</v>
      </c>
      <c r="B20" s="38" t="s">
        <v>74</v>
      </c>
      <c r="C20" s="41" t="n">
        <v>206500</v>
      </c>
      <c r="D20" s="40" t="n">
        <v>50</v>
      </c>
      <c r="E20" s="31"/>
      <c r="M20" s="0" t="str">
        <f aca="false">_xlfn.IFS(D20&lt;=0,"Not due",D20&lt;=30,"1-30",D20&lt;=60,"31-60",D20&lt;=90,"61-90",TRUE(),"90+")</f>
        <v>31-60</v>
      </c>
    </row>
    <row r="21" customFormat="false" ht="15" hidden="false" customHeight="false" outlineLevel="0" collapsed="false">
      <c r="A21" s="27" t="s">
        <v>75</v>
      </c>
      <c r="B21" s="27" t="s">
        <v>76</v>
      </c>
      <c r="C21" s="30" t="n">
        <v>250000</v>
      </c>
      <c r="D21" s="29" t="n">
        <v>0</v>
      </c>
      <c r="E21" s="31"/>
      <c r="M21" s="0" t="str">
        <f aca="false">_xlfn.IFS(D21&lt;=0,"Not due",D21&lt;=30,"1-30",D21&lt;=60,"31-60",D21&lt;=90,"61-90",TRUE(),"90+")</f>
        <v>Not due</v>
      </c>
    </row>
    <row r="22" customFormat="false" ht="15" hidden="false" customHeight="false" outlineLevel="0" collapsed="false">
      <c r="A22" s="38" t="s">
        <v>77</v>
      </c>
      <c r="B22" s="38" t="s">
        <v>78</v>
      </c>
      <c r="C22" s="41" t="n">
        <v>319500</v>
      </c>
      <c r="D22" s="40" t="n">
        <v>5</v>
      </c>
      <c r="E22" s="31"/>
      <c r="M22" s="0" t="str">
        <f aca="false">_xlfn.IFS(D22&lt;=0,"Not due",D22&lt;=30,"1-30",D22&lt;=60,"31-60",D22&lt;=90,"61-90",TRUE(),"90+")</f>
        <v>1-30</v>
      </c>
    </row>
    <row r="23" customFormat="false" ht="15" hidden="false" customHeight="false" outlineLevel="0" collapsed="false">
      <c r="A23" s="27" t="s">
        <v>79</v>
      </c>
      <c r="B23" s="27" t="s">
        <v>80</v>
      </c>
      <c r="C23" s="30" t="n">
        <v>151000</v>
      </c>
      <c r="D23" s="29" t="n">
        <v>158</v>
      </c>
      <c r="E23" s="31"/>
      <c r="M23" s="0" t="str">
        <f aca="false">_xlfn.IFS(D23&lt;=0,"Not due",D23&lt;=30,"1-30",D23&lt;=60,"31-60",D23&lt;=90,"61-90",TRUE(),"90+")</f>
        <v>90+</v>
      </c>
    </row>
    <row r="24" customFormat="false" ht="15" hidden="false" customHeight="false" outlineLevel="0" collapsed="false">
      <c r="A24" s="38" t="s">
        <v>81</v>
      </c>
      <c r="B24" s="38" t="s">
        <v>71</v>
      </c>
      <c r="C24" s="41" t="n">
        <v>16000</v>
      </c>
      <c r="D24" s="40" t="n">
        <v>32</v>
      </c>
      <c r="E24" s="31"/>
      <c r="M24" s="0" t="str">
        <f aca="false">_xlfn.IFS(D24&lt;=0,"Not due",D24&lt;=30,"1-30",D24&lt;=60,"31-60",D24&lt;=90,"61-90",TRUE(),"90+")</f>
        <v>31-60</v>
      </c>
    </row>
    <row r="25" customFormat="false" ht="15" hidden="false" customHeight="false" outlineLevel="0" collapsed="false">
      <c r="A25" s="27" t="s">
        <v>82</v>
      </c>
      <c r="B25" s="27" t="s">
        <v>47</v>
      </c>
      <c r="C25" s="30" t="n">
        <v>110500</v>
      </c>
      <c r="D25" s="29" t="n">
        <v>11</v>
      </c>
      <c r="E25" s="31"/>
      <c r="M25" s="0" t="str">
        <f aca="false">_xlfn.IFS(D25&lt;=0,"Not due",D25&lt;=30,"1-30",D25&lt;=60,"31-60",D25&lt;=90,"61-90",TRUE(),"90+")</f>
        <v>1-30</v>
      </c>
    </row>
    <row r="26" customFormat="false" ht="15" hidden="false" customHeight="false" outlineLevel="0" collapsed="false">
      <c r="A26" s="38" t="s">
        <v>83</v>
      </c>
      <c r="B26" s="38" t="s">
        <v>52</v>
      </c>
      <c r="C26" s="41" t="n">
        <v>48000</v>
      </c>
      <c r="D26" s="40" t="n">
        <v>0</v>
      </c>
      <c r="E26" s="31"/>
      <c r="M26" s="0" t="str">
        <f aca="false">_xlfn.IFS(D26&lt;=0,"Not due",D26&lt;=30,"1-30",D26&lt;=60,"31-60",D26&lt;=90,"61-90",TRUE(),"90+")</f>
        <v>Not due</v>
      </c>
    </row>
    <row r="27" customFormat="false" ht="15" hidden="false" customHeight="false" outlineLevel="0" collapsed="false">
      <c r="A27" s="27" t="s">
        <v>84</v>
      </c>
      <c r="B27" s="27" t="s">
        <v>80</v>
      </c>
      <c r="C27" s="30" t="n">
        <v>452500</v>
      </c>
      <c r="D27" s="29" t="n">
        <v>89</v>
      </c>
      <c r="E27" s="31"/>
      <c r="M27" s="0" t="str">
        <f aca="false">_xlfn.IFS(D27&lt;=0,"Not due",D27&lt;=30,"1-30",D27&lt;=60,"31-60",D27&lt;=90,"61-90",TRUE(),"90+")</f>
        <v>61-90</v>
      </c>
    </row>
    <row r="28" customFormat="false" ht="15" hidden="false" customHeight="false" outlineLevel="0" collapsed="false">
      <c r="A28" s="38" t="s">
        <v>85</v>
      </c>
      <c r="B28" s="38" t="s">
        <v>74</v>
      </c>
      <c r="C28" s="41" t="n">
        <v>484000</v>
      </c>
      <c r="D28" s="40" t="n">
        <v>99</v>
      </c>
      <c r="E28" s="31"/>
      <c r="M28" s="0" t="str">
        <f aca="false">_xlfn.IFS(D28&lt;=0,"Not due",D28&lt;=30,"1-30",D28&lt;=60,"31-60",D28&lt;=90,"61-90",TRUE(),"90+")</f>
        <v>90+</v>
      </c>
    </row>
    <row r="29" customFormat="false" ht="15" hidden="false" customHeight="false" outlineLevel="0" collapsed="false">
      <c r="A29" s="27" t="s">
        <v>86</v>
      </c>
      <c r="B29" s="27" t="s">
        <v>87</v>
      </c>
      <c r="C29" s="30" t="n">
        <v>92500</v>
      </c>
      <c r="D29" s="29" t="n">
        <v>235</v>
      </c>
      <c r="E29" s="31"/>
      <c r="M29" s="0" t="str">
        <f aca="false">_xlfn.IFS(D29&lt;=0,"Not due",D29&lt;=30,"1-30",D29&lt;=60,"31-60",D29&lt;=90,"61-90",TRUE(),"90+")</f>
        <v>90+</v>
      </c>
    </row>
    <row r="30" customFormat="false" ht="15" hidden="false" customHeight="false" outlineLevel="0" collapsed="false">
      <c r="A30" s="38" t="s">
        <v>88</v>
      </c>
      <c r="B30" s="38" t="s">
        <v>78</v>
      </c>
      <c r="C30" s="41" t="n">
        <v>104000</v>
      </c>
      <c r="D30" s="40" t="n">
        <v>167</v>
      </c>
      <c r="E30" s="31"/>
      <c r="M30" s="0" t="str">
        <f aca="false">_xlfn.IFS(D30&lt;=0,"Not due",D30&lt;=30,"1-30",D30&lt;=60,"31-60",D30&lt;=90,"61-90",TRUE(),"90+")</f>
        <v>90+</v>
      </c>
    </row>
    <row r="31" customFormat="false" ht="15" hidden="false" customHeight="false" outlineLevel="0" collapsed="false">
      <c r="A31" s="27" t="s">
        <v>89</v>
      </c>
      <c r="B31" s="27" t="s">
        <v>71</v>
      </c>
      <c r="C31" s="30" t="n">
        <v>133500</v>
      </c>
      <c r="D31" s="29" t="n">
        <v>84</v>
      </c>
      <c r="E31" s="31"/>
      <c r="M31" s="0" t="str">
        <f aca="false">_xlfn.IFS(D31&lt;=0,"Not due",D31&lt;=30,"1-30",D31&lt;=60,"31-60",D31&lt;=90,"61-90",TRUE(),"90+")</f>
        <v>61-90</v>
      </c>
    </row>
    <row r="32" customFormat="false" ht="15" hidden="false" customHeight="false" outlineLevel="0" collapsed="false">
      <c r="A32" s="38" t="s">
        <v>90</v>
      </c>
      <c r="B32" s="38" t="s">
        <v>64</v>
      </c>
      <c r="C32" s="41" t="n">
        <v>208000</v>
      </c>
      <c r="D32" s="40" t="n">
        <v>97</v>
      </c>
      <c r="E32" s="31"/>
      <c r="M32" s="0" t="str">
        <f aca="false">_xlfn.IFS(D32&lt;=0,"Not due",D32&lt;=30,"1-30",D32&lt;=60,"31-60",D32&lt;=90,"61-90",TRUE(),"90+")</f>
        <v>90+</v>
      </c>
    </row>
    <row r="33" customFormat="false" ht="15" hidden="false" customHeight="false" outlineLevel="0" collapsed="false">
      <c r="A33" s="27" t="s">
        <v>91</v>
      </c>
      <c r="B33" s="27" t="s">
        <v>69</v>
      </c>
      <c r="C33" s="30" t="n">
        <v>429500</v>
      </c>
      <c r="D33" s="29" t="n">
        <v>115</v>
      </c>
      <c r="E33" s="31"/>
      <c r="M33" s="0" t="str">
        <f aca="false">_xlfn.IFS(D33&lt;=0,"Not due",D33&lt;=30,"1-30",D33&lt;=60,"31-60",D33&lt;=90,"61-90",TRUE(),"90+")</f>
        <v>90+</v>
      </c>
    </row>
    <row r="34" customFormat="false" ht="15" hidden="false" customHeight="false" outlineLevel="0" collapsed="false">
      <c r="A34" s="38" t="s">
        <v>92</v>
      </c>
      <c r="B34" s="38" t="s">
        <v>71</v>
      </c>
      <c r="C34" s="41" t="n">
        <v>143500</v>
      </c>
      <c r="D34" s="40" t="n">
        <v>224</v>
      </c>
      <c r="E34" s="31"/>
      <c r="M34" s="0" t="str">
        <f aca="false">_xlfn.IFS(D34&lt;=0,"Not due",D34&lt;=30,"1-30",D34&lt;=60,"31-60",D34&lt;=90,"61-90",TRUE(),"90+")</f>
        <v>90+</v>
      </c>
    </row>
    <row r="35" customFormat="false" ht="15" hidden="false" customHeight="false" outlineLevel="0" collapsed="false">
      <c r="A35" s="27" t="s">
        <v>93</v>
      </c>
      <c r="B35" s="27" t="s">
        <v>64</v>
      </c>
      <c r="C35" s="30" t="n">
        <v>446000</v>
      </c>
      <c r="D35" s="29" t="n">
        <v>0</v>
      </c>
      <c r="E35" s="31"/>
      <c r="M35" s="0" t="str">
        <f aca="false">_xlfn.IFS(D35&lt;=0,"Not due",D35&lt;=30,"1-30",D35&lt;=60,"31-60",D35&lt;=90,"61-90",TRUE(),"90+")</f>
        <v>Not due</v>
      </c>
    </row>
    <row r="36" customFormat="false" ht="15" hidden="false" customHeight="false" outlineLevel="0" collapsed="false">
      <c r="A36" s="38" t="s">
        <v>94</v>
      </c>
      <c r="B36" s="38" t="s">
        <v>69</v>
      </c>
      <c r="C36" s="41" t="n">
        <v>126500</v>
      </c>
      <c r="D36" s="40" t="n">
        <v>127</v>
      </c>
      <c r="E36" s="31"/>
      <c r="M36" s="0" t="str">
        <f aca="false">_xlfn.IFS(D36&lt;=0,"Not due",D36&lt;=30,"1-30",D36&lt;=60,"31-60",D36&lt;=90,"61-90",TRUE(),"90+")</f>
        <v>90+</v>
      </c>
    </row>
    <row r="37" customFormat="false" ht="15" hidden="false" customHeight="false" outlineLevel="0" collapsed="false">
      <c r="A37" s="27" t="s">
        <v>95</v>
      </c>
      <c r="B37" s="27" t="s">
        <v>74</v>
      </c>
      <c r="C37" s="30" t="n">
        <v>493500</v>
      </c>
      <c r="D37" s="29" t="n">
        <v>0</v>
      </c>
      <c r="E37" s="31"/>
      <c r="M37" s="0" t="str">
        <f aca="false">_xlfn.IFS(D37&lt;=0,"Not due",D37&lt;=30,"1-30",D37&lt;=60,"31-60",D37&lt;=90,"61-90",TRUE(),"90+")</f>
        <v>Not due</v>
      </c>
    </row>
    <row r="38" customFormat="false" ht="15" hidden="false" customHeight="false" outlineLevel="0" collapsed="false">
      <c r="A38" s="38" t="s">
        <v>96</v>
      </c>
      <c r="B38" s="38" t="s">
        <v>47</v>
      </c>
      <c r="C38" s="41" t="n">
        <v>499000</v>
      </c>
      <c r="D38" s="40" t="n">
        <v>0</v>
      </c>
      <c r="E38" s="31"/>
      <c r="M38" s="0" t="str">
        <f aca="false">_xlfn.IFS(D38&lt;=0,"Not due",D38&lt;=30,"1-30",D38&lt;=60,"31-60",D38&lt;=90,"61-90",TRUE(),"90+")</f>
        <v>Not due</v>
      </c>
    </row>
    <row r="39" customFormat="false" ht="15" hidden="false" customHeight="false" outlineLevel="0" collapsed="false">
      <c r="A39" s="27" t="s">
        <v>97</v>
      </c>
      <c r="B39" s="27" t="s">
        <v>78</v>
      </c>
      <c r="C39" s="30" t="n">
        <v>88500</v>
      </c>
      <c r="D39" s="29" t="n">
        <v>12</v>
      </c>
      <c r="E39" s="31"/>
      <c r="M39" s="0" t="str">
        <f aca="false">_xlfn.IFS(D39&lt;=0,"Not due",D39&lt;=30,"1-30",D39&lt;=60,"31-60",D39&lt;=90,"61-90",TRUE(),"90+")</f>
        <v>1-30</v>
      </c>
    </row>
    <row r="40" customFormat="false" ht="15" hidden="false" customHeight="false" outlineLevel="0" collapsed="false">
      <c r="A40" s="38" t="s">
        <v>98</v>
      </c>
      <c r="B40" s="38" t="s">
        <v>52</v>
      </c>
      <c r="C40" s="41" t="n">
        <v>518500</v>
      </c>
      <c r="D40" s="40" t="n">
        <v>0</v>
      </c>
      <c r="E40" s="31"/>
      <c r="M40" s="0" t="str">
        <f aca="false">_xlfn.IFS(D40&lt;=0,"Not due",D40&lt;=30,"1-30",D40&lt;=60,"31-60",D40&lt;=90,"61-90",TRUE(),"90+")</f>
        <v>Not due</v>
      </c>
    </row>
    <row r="41" customFormat="false" ht="15" hidden="false" customHeight="false" outlineLevel="0" collapsed="false">
      <c r="A41" s="27" t="s">
        <v>99</v>
      </c>
      <c r="B41" s="27" t="s">
        <v>57</v>
      </c>
      <c r="C41" s="30" t="n">
        <v>376000</v>
      </c>
      <c r="D41" s="29" t="n">
        <v>158</v>
      </c>
      <c r="E41" s="31"/>
      <c r="M41" s="0" t="str">
        <f aca="false">_xlfn.IFS(D41&lt;=0,"Not due",D41&lt;=30,"1-30",D41&lt;=60,"31-60",D41&lt;=90,"61-90",TRUE(),"90+")</f>
        <v>90+</v>
      </c>
    </row>
    <row r="42" customFormat="false" ht="15" hidden="false" customHeight="false" outlineLevel="0" collapsed="false">
      <c r="A42" s="38" t="s">
        <v>100</v>
      </c>
      <c r="B42" s="38" t="s">
        <v>57</v>
      </c>
      <c r="C42" s="41" t="n">
        <v>49000</v>
      </c>
      <c r="D42" s="40" t="n">
        <v>0</v>
      </c>
      <c r="E42" s="31"/>
      <c r="M42" s="0" t="str">
        <f aca="false">_xlfn.IFS(D42&lt;=0,"Not due",D42&lt;=30,"1-30",D42&lt;=60,"31-60",D42&lt;=90,"61-90",TRUE(),"90+")</f>
        <v>Not due</v>
      </c>
    </row>
    <row r="43" customFormat="false" ht="15" hidden="false" customHeight="false" outlineLevel="0" collapsed="false">
      <c r="A43" s="27" t="s">
        <v>101</v>
      </c>
      <c r="B43" s="27" t="s">
        <v>57</v>
      </c>
      <c r="C43" s="30" t="n">
        <v>317500</v>
      </c>
      <c r="D43" s="29" t="n">
        <v>0</v>
      </c>
      <c r="E43" s="31"/>
      <c r="M43" s="0" t="str">
        <f aca="false">_xlfn.IFS(D43&lt;=0,"Not due",D43&lt;=30,"1-30",D43&lt;=60,"31-60",D43&lt;=90,"61-90",TRUE(),"90+")</f>
        <v>Not due</v>
      </c>
    </row>
    <row r="44" customFormat="false" ht="15" hidden="false" customHeight="false" outlineLevel="0" collapsed="false">
      <c r="A44" s="38" t="s">
        <v>102</v>
      </c>
      <c r="B44" s="38" t="s">
        <v>71</v>
      </c>
      <c r="C44" s="41" t="n">
        <v>40000</v>
      </c>
      <c r="D44" s="40" t="n">
        <v>179</v>
      </c>
      <c r="E44" s="31"/>
      <c r="M44" s="0" t="str">
        <f aca="false">_xlfn.IFS(D44&lt;=0,"Not due",D44&lt;=30,"1-30",D44&lt;=60,"31-60",D44&lt;=90,"61-90",TRUE(),"90+")</f>
        <v>90+</v>
      </c>
    </row>
    <row r="45" customFormat="false" ht="15" hidden="false" customHeight="false" outlineLevel="0" collapsed="false">
      <c r="A45" s="27" t="s">
        <v>103</v>
      </c>
      <c r="B45" s="27" t="s">
        <v>57</v>
      </c>
      <c r="C45" s="30" t="n">
        <v>115500</v>
      </c>
      <c r="D45" s="29" t="n">
        <v>171</v>
      </c>
      <c r="E45" s="31"/>
      <c r="M45" s="0" t="str">
        <f aca="false">_xlfn.IFS(D45&lt;=0,"Not due",D45&lt;=30,"1-30",D45&lt;=60,"31-60",D45&lt;=90,"61-90",TRUE(),"90+")</f>
        <v>90+</v>
      </c>
    </row>
    <row r="46" customFormat="false" ht="15" hidden="false" customHeight="false" outlineLevel="0" collapsed="false">
      <c r="A46" s="38" t="s">
        <v>104</v>
      </c>
      <c r="B46" s="38" t="s">
        <v>52</v>
      </c>
      <c r="C46" s="41" t="n">
        <v>131000</v>
      </c>
      <c r="D46" s="40" t="n">
        <v>136</v>
      </c>
      <c r="E46" s="31"/>
      <c r="M46" s="0" t="str">
        <f aca="false">_xlfn.IFS(D46&lt;=0,"Not due",D46&lt;=30,"1-30",D46&lt;=60,"31-60",D46&lt;=90,"61-90",TRUE(),"90+")</f>
        <v>90+</v>
      </c>
    </row>
    <row r="47" customFormat="false" ht="15" hidden="false" customHeight="false" outlineLevel="0" collapsed="false">
      <c r="A47" s="27" t="s">
        <v>105</v>
      </c>
      <c r="B47" s="27" t="s">
        <v>47</v>
      </c>
      <c r="C47" s="30" t="n">
        <v>256500</v>
      </c>
      <c r="D47" s="29" t="n">
        <v>0</v>
      </c>
      <c r="E47" s="31"/>
      <c r="M47" s="0" t="str">
        <f aca="false">_xlfn.IFS(D47&lt;=0,"Not due",D47&lt;=30,"1-30",D47&lt;=60,"31-60",D47&lt;=90,"61-90",TRUE(),"90+")</f>
        <v>Not due</v>
      </c>
    </row>
    <row r="48" customFormat="false" ht="15" hidden="false" customHeight="false" outlineLevel="0" collapsed="false">
      <c r="A48" s="38" t="s">
        <v>106</v>
      </c>
      <c r="B48" s="38" t="s">
        <v>87</v>
      </c>
      <c r="C48" s="41" t="n">
        <v>514500</v>
      </c>
      <c r="D48" s="40" t="n">
        <v>256</v>
      </c>
      <c r="E48" s="31"/>
      <c r="M48" s="0" t="str">
        <f aca="false">_xlfn.IFS(D48&lt;=0,"Not due",D48&lt;=30,"1-30",D48&lt;=60,"31-60",D48&lt;=90,"61-90",TRUE(),"90+")</f>
        <v>90+</v>
      </c>
    </row>
    <row r="49" customFormat="false" ht="15" hidden="false" customHeight="false" outlineLevel="0" collapsed="false">
      <c r="A49" s="27" t="s">
        <v>107</v>
      </c>
      <c r="B49" s="27" t="s">
        <v>69</v>
      </c>
      <c r="C49" s="30" t="n">
        <v>236000</v>
      </c>
      <c r="D49" s="29" t="n">
        <v>236</v>
      </c>
      <c r="E49" s="31"/>
      <c r="M49" s="0" t="str">
        <f aca="false">_xlfn.IFS(D49&lt;=0,"Not due",D49&lt;=30,"1-30",D49&lt;=60,"31-60",D49&lt;=90,"61-90",TRUE(),"90+")</f>
        <v>90+</v>
      </c>
    </row>
    <row r="50" customFormat="false" ht="15" hidden="false" customHeight="false" outlineLevel="0" collapsed="false">
      <c r="A50" s="38" t="s">
        <v>108</v>
      </c>
      <c r="B50" s="38" t="s">
        <v>109</v>
      </c>
      <c r="C50" s="41" t="n">
        <v>22000</v>
      </c>
      <c r="D50" s="40" t="n">
        <v>0</v>
      </c>
      <c r="E50" s="31"/>
      <c r="M50" s="0" t="str">
        <f aca="false">_xlfn.IFS(D50&lt;=0,"Not due",D50&lt;=30,"1-30",D50&lt;=60,"31-60",D50&lt;=90,"61-90",TRUE(),"90+")</f>
        <v>Not due</v>
      </c>
    </row>
    <row r="51" customFormat="false" ht="15" hidden="false" customHeight="false" outlineLevel="0" collapsed="false">
      <c r="A51" s="27" t="s">
        <v>110</v>
      </c>
      <c r="B51" s="27" t="s">
        <v>64</v>
      </c>
      <c r="C51" s="30" t="n">
        <v>500000</v>
      </c>
      <c r="D51" s="29" t="n">
        <v>49</v>
      </c>
      <c r="E51" s="31"/>
      <c r="M51" s="0" t="str">
        <f aca="false">_xlfn.IFS(D51&lt;=0,"Not due",D51&lt;=30,"1-30",D51&lt;=60,"31-60",D51&lt;=90,"61-90",TRUE(),"90+")</f>
        <v>31-60</v>
      </c>
    </row>
    <row r="52" customFormat="false" ht="15" hidden="false" customHeight="false" outlineLevel="0" collapsed="false">
      <c r="A52" s="38" t="s">
        <v>111</v>
      </c>
      <c r="B52" s="38" t="s">
        <v>71</v>
      </c>
      <c r="C52" s="41" t="n">
        <v>364500</v>
      </c>
      <c r="D52" s="40" t="n">
        <v>79</v>
      </c>
      <c r="E52" s="31"/>
      <c r="M52" s="0" t="str">
        <f aca="false">_xlfn.IFS(D52&lt;=0,"Not due",D52&lt;=30,"1-30",D52&lt;=60,"31-60",D52&lt;=90,"61-90",TRUE(),"90+")</f>
        <v>61-90</v>
      </c>
    </row>
    <row r="53" customFormat="false" ht="15" hidden="false" customHeight="false" outlineLevel="0" collapsed="false">
      <c r="A53" s="27" t="s">
        <v>112</v>
      </c>
      <c r="B53" s="27" t="s">
        <v>47</v>
      </c>
      <c r="C53" s="30" t="n">
        <v>447500</v>
      </c>
      <c r="D53" s="29" t="n">
        <v>23</v>
      </c>
      <c r="E53" s="31"/>
      <c r="M53" s="0" t="str">
        <f aca="false">_xlfn.IFS(D53&lt;=0,"Not due",D53&lt;=30,"1-30",D53&lt;=60,"31-60",D53&lt;=90,"61-90",TRUE(),"90+")</f>
        <v>1-30</v>
      </c>
    </row>
    <row r="54" customFormat="false" ht="15" hidden="false" customHeight="false" outlineLevel="0" collapsed="false">
      <c r="A54" s="38" t="s">
        <v>113</v>
      </c>
      <c r="B54" s="38" t="s">
        <v>52</v>
      </c>
      <c r="C54" s="41" t="n">
        <v>43000</v>
      </c>
      <c r="D54" s="40" t="n">
        <v>0</v>
      </c>
      <c r="E54" s="31"/>
      <c r="M54" s="0" t="str">
        <f aca="false">_xlfn.IFS(D54&lt;=0,"Not due",D54&lt;=30,"1-30",D54&lt;=60,"31-60",D54&lt;=90,"61-90",TRUE(),"90+")</f>
        <v>Not due</v>
      </c>
    </row>
    <row r="55" customFormat="false" ht="15" hidden="false" customHeight="false" outlineLevel="0" collapsed="false">
      <c r="A55" s="27" t="s">
        <v>114</v>
      </c>
      <c r="B55" s="27" t="s">
        <v>64</v>
      </c>
      <c r="C55" s="30" t="n">
        <v>189500</v>
      </c>
      <c r="D55" s="29" t="n">
        <v>4</v>
      </c>
      <c r="E55" s="31"/>
      <c r="M55" s="0" t="str">
        <f aca="false">_xlfn.IFS(D55&lt;=0,"Not due",D55&lt;=30,"1-30",D55&lt;=60,"31-60",D55&lt;=90,"61-90",TRUE(),"90+")</f>
        <v>1-30</v>
      </c>
    </row>
    <row r="56" customFormat="false" ht="15" hidden="false" customHeight="false" outlineLevel="0" collapsed="false">
      <c r="A56" s="38" t="s">
        <v>115</v>
      </c>
      <c r="B56" s="38" t="s">
        <v>69</v>
      </c>
      <c r="C56" s="41" t="n">
        <v>168000</v>
      </c>
      <c r="D56" s="40" t="n">
        <v>46</v>
      </c>
      <c r="E56" s="31"/>
      <c r="M56" s="0" t="str">
        <f aca="false">_xlfn.IFS(D56&lt;=0,"Not due",D56&lt;=30,"1-30",D56&lt;=60,"31-60",D56&lt;=90,"61-90",TRUE(),"90+")</f>
        <v>31-60</v>
      </c>
    </row>
    <row r="57" customFormat="false" ht="15" hidden="false" customHeight="false" outlineLevel="0" collapsed="false">
      <c r="A57" s="27" t="s">
        <v>116</v>
      </c>
      <c r="B57" s="27" t="s">
        <v>109</v>
      </c>
      <c r="C57" s="30" t="n">
        <v>171000</v>
      </c>
      <c r="D57" s="29" t="n">
        <v>4</v>
      </c>
      <c r="E57" s="31"/>
      <c r="M57" s="0" t="str">
        <f aca="false">_xlfn.IFS(D57&lt;=0,"Not due",D57&lt;=30,"1-30",D57&lt;=60,"31-60",D57&lt;=90,"61-90",TRUE(),"90+")</f>
        <v>1-30</v>
      </c>
    </row>
    <row r="58" customFormat="false" ht="15" hidden="false" customHeight="false" outlineLevel="0" collapsed="false">
      <c r="A58" s="38" t="s">
        <v>117</v>
      </c>
      <c r="B58" s="38" t="s">
        <v>64</v>
      </c>
      <c r="C58" s="41" t="n">
        <v>288000</v>
      </c>
      <c r="D58" s="40" t="n">
        <v>0</v>
      </c>
      <c r="E58" s="31"/>
      <c r="M58" s="0" t="str">
        <f aca="false">_xlfn.IFS(D58&lt;=0,"Not due",D58&lt;=30,"1-30",D58&lt;=60,"31-60",D58&lt;=90,"61-90",TRUE(),"90+")</f>
        <v>Not due</v>
      </c>
    </row>
  </sheetData>
  <mergeCells count="3">
    <mergeCell ref="A1:K1"/>
    <mergeCell ref="A2:K2"/>
    <mergeCell ref="A3:K5"/>
  </mergeCells>
  <conditionalFormatting sqref="J9:J11">
    <cfRule type="expression" priority="2" aboveAverage="0" equalAverage="0" bottom="0" percent="0" rank="0" text="" dxfId="0">
      <formula>LEFT(J9,1)="✓"</formula>
    </cfRule>
    <cfRule type="expression" priority="3" aboveAverage="0" equalAverage="0" bottom="0" percent="0" rank="0" text="" dxfId="1">
      <formula>LEFT(J9,1)="✗"</formula>
    </cfRule>
    <cfRule type="expression" priority="4" aboveAverage="0" equalAverage="0" bottom="0" percent="0" rank="0" text="" dxfId="2">
      <formula>LEFT(J9,1)="✎"</formula>
    </cfRule>
    <cfRule type="expression" priority="5" aboveAverage="0" equalAverage="0" bottom="0" percent="0" rank="0" text="" dxfId="3">
      <formula>LEFT(J9,1)="◯"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tru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5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38"/>
    <col collapsed="false" customWidth="true" hidden="true" outlineLevel="0" max="14" min="12" style="0" width="13"/>
  </cols>
  <sheetData>
    <row r="1" customFormat="false" ht="31.5" hidden="false" customHeight="true" outlineLevel="0" collapsed="false">
      <c r="A1" s="58" t="s">
        <v>155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customFormat="false" ht="19.5" hidden="false" customHeight="true" outlineLevel="0" collapsed="false">
      <c r="A2" s="59" t="s">
        <v>156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customFormat="false" ht="18.75" hidden="false" customHeight="true" outlineLevel="0" collapsed="false">
      <c r="A3" s="60" t="s">
        <v>157</v>
      </c>
      <c r="B3" s="60"/>
      <c r="C3" s="60"/>
      <c r="D3" s="60"/>
      <c r="E3" s="60"/>
      <c r="F3" s="60"/>
      <c r="G3" s="60"/>
      <c r="H3" s="60"/>
      <c r="I3" s="60"/>
      <c r="J3" s="60"/>
      <c r="K3" s="60"/>
    </row>
    <row r="4" customFormat="false" ht="18.75" hidden="false" customHeight="true" outlineLevel="0" collapsed="false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</row>
    <row r="5" customFormat="false" ht="18.75" hidden="false" customHeight="true" outlineLevel="0" collapsed="false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35</v>
      </c>
      <c r="B8" s="24" t="s">
        <v>36</v>
      </c>
      <c r="C8" s="24" t="s">
        <v>39</v>
      </c>
      <c r="D8" s="24" t="s">
        <v>147</v>
      </c>
      <c r="E8" s="25" t="s">
        <v>158</v>
      </c>
      <c r="G8" s="61" t="s">
        <v>14</v>
      </c>
      <c r="H8" s="61" t="s">
        <v>42</v>
      </c>
      <c r="I8" s="61" t="s">
        <v>43</v>
      </c>
      <c r="J8" s="61" t="s">
        <v>44</v>
      </c>
      <c r="K8" s="61" t="s">
        <v>45</v>
      </c>
    </row>
    <row r="9" customFormat="false" ht="33.75" hidden="false" customHeight="true" outlineLevel="0" collapsed="false">
      <c r="A9" s="27" t="s">
        <v>46</v>
      </c>
      <c r="B9" s="27" t="s">
        <v>47</v>
      </c>
      <c r="C9" s="30" t="n">
        <v>100500</v>
      </c>
      <c r="D9" s="27" t="s">
        <v>159</v>
      </c>
      <c r="E9" s="63"/>
      <c r="G9" s="62" t="n">
        <v>1</v>
      </c>
      <c r="H9" s="34" t="s">
        <v>160</v>
      </c>
      <c r="I9" s="35" t="s">
        <v>149</v>
      </c>
      <c r="J9" s="36" t="str">
        <f aca="false">IF(COUNTA($E$9:$E$58)=0,"◯ Not attempted",IF(NOT(_xlfn.ISFORMULA(E9)),"✎ Use a formula",IFERROR(IF(SUMPRODUCT(--(ABS($E$9:$E$58-$M$9:$M$58)&lt;0.01))=ROWS($E$9:$E$58),"✓ Correct","✗ "&amp;(ROWS($E$9:$E$58)-SUMPRODUCT(--(ABS($E$9:$E$58-$M$9:$M$58)&lt;0.01)))&amp;" rows differ"),"✗ Check the column")))</f>
        <v>◯ Not attempted</v>
      </c>
      <c r="K9" s="37" t="s">
        <v>161</v>
      </c>
      <c r="M9" s="0" t="n">
        <f aca="false">ROUND(C9*VLOOKUP(D9,$H$15:$I$19,2,0),0)</f>
        <v>50250</v>
      </c>
    </row>
    <row r="10" customFormat="false" ht="33.75" hidden="false" customHeight="true" outlineLevel="0" collapsed="false">
      <c r="A10" s="38" t="s">
        <v>51</v>
      </c>
      <c r="B10" s="38" t="s">
        <v>52</v>
      </c>
      <c r="C10" s="41" t="n">
        <v>410500</v>
      </c>
      <c r="D10" s="38" t="s">
        <v>159</v>
      </c>
      <c r="E10" s="63"/>
      <c r="G10" s="62" t="n">
        <v>2</v>
      </c>
      <c r="H10" s="34" t="s">
        <v>162</v>
      </c>
      <c r="I10" s="57"/>
      <c r="J10" s="36" t="str">
        <f aca="false">IF(ISBLANK(I10),"◯ Not attempted",IF(NOT(_xlfn.ISFORMULA(I10)),"✎ Use a formula",IF(ISNUMBER(I10),IF(ABS(I10-$L$10)&lt;0.005,"✓ Correct","✗ Check again"),"✗ Not a number")))</f>
        <v>◯ Not attempted</v>
      </c>
      <c r="K10" s="37" t="s">
        <v>163</v>
      </c>
      <c r="L10" s="0" t="n">
        <f aca="false">ROUND(C9*VLOOKUP(D9,$H$15:$I$19,2,0),0)+ROUND(C10*VLOOKUP(D10,$H$15:$I$19,2,0),0)+ROUND(C11*VLOOKUP(D11,$H$15:$I$19,2,0),0)+ROUND(C12*VLOOKUP(D12,$H$15:$I$19,2,0),0)+ROUND(C13*VLOOKUP(D13,$H$15:$I$19,2,0),0)+ROUND(C14*VLOOKUP(D14,$H$15:$I$19,2,0),0)+ROUND(C15*VLOOKUP(D15,$H$15:$I$19,2,0),0)+ROUND(C16*VLOOKUP(D16,$H$15:$I$19,2,0),0)+ROUND(C17*VLOOKUP(D17,$H$15:$I$19,2,0),0)+ROUND(C18*VLOOKUP(D18,$H$15:$I$19,2,0),0)+ROUND(C19*VLOOKUP(D19,$H$15:$I$19,2,0),0)+ROUND(C20*VLOOKUP(D20,$H$15:$I$19,2,0),0)+ROUND(C21*VLOOKUP(D21,$H$15:$I$19,2,0),0)+ROUND(C22*VLOOKUP(D22,$H$15:$I$19,2,0),0)+ROUND(C23*VLOOKUP(D23,$H$15:$I$19,2,0),0)+ROUND(C24*VLOOKUP(D24,$H$15:$I$19,2,0),0)+ROUND(C25*VLOOKUP(D25,$H$15:$I$19,2,0),0)+ROUND(C26*VLOOKUP(D26,$H$15:$I$19,2,0),0)+ROUND(C27*VLOOKUP(D27,$H$15:$I$19,2,0),0)+ROUND(C28*VLOOKUP(D28,$H$15:$I$19,2,0),0)+ROUND(C29*VLOOKUP(D29,$H$15:$I$19,2,0),0)+ROUND(C30*VLOOKUP(D30,$H$15:$I$19,2,0),0)+ROUND(C31*VLOOKUP(D31,$H$15:$I$19,2,0),0)+ROUND(C32*VLOOKUP(D32,$H$15:$I$19,2,0),0)+ROUND(C33*VLOOKUP(D33,$H$15:$I$19,2,0),0)+ROUND(C34*VLOOKUP(D34,$H$15:$I$19,2,0),0)+ROUND(C35*VLOOKUP(D35,$H$15:$I$19,2,0),0)+ROUND(C36*VLOOKUP(D36,$H$15:$I$19,2,0),0)+ROUND(C37*VLOOKUP(D37,$H$15:$I$19,2,0),0)+ROUND(C38*VLOOKUP(D38,$H$15:$I$19,2,0),0)+ROUND(C39*VLOOKUP(D39,$H$15:$I$19,2,0),0)+ROUND(C40*VLOOKUP(D40,$H$15:$I$19,2,0),0)+ROUND(C41*VLOOKUP(D41,$H$15:$I$19,2,0),0)+ROUND(C42*VLOOKUP(D42,$H$15:$I$19,2,0),0)+ROUND(C43*VLOOKUP(D43,$H$15:$I$19,2,0),0)+ROUND(C44*VLOOKUP(D44,$H$15:$I$19,2,0),0)+ROUND(C45*VLOOKUP(D45,$H$15:$I$19,2,0),0)+ROUND(C46*VLOOKUP(D46,$H$15:$I$19,2,0),0)+ROUND(C47*VLOOKUP(D47,$H$15:$I$19,2,0),0)+ROUND(C48*VLOOKUP(D48,$H$15:$I$19,2,0),0)+ROUND(C49*VLOOKUP(D49,$H$15:$I$19,2,0),0)+ROUND(C50*VLOOKUP(D50,$H$15:$I$19,2,0),0)+ROUND(C51*VLOOKUP(D51,$H$15:$I$19,2,0),0)+ROUND(C52*VLOOKUP(D52,$H$15:$I$19,2,0),0)+ROUND(C53*VLOOKUP(D53,$H$15:$I$19,2,0),0)+ROUND(C54*VLOOKUP(D54,$H$15:$I$19,2,0),0)+ROUND(C55*VLOOKUP(D55,$H$15:$I$19,2,0),0)+ROUND(C56*VLOOKUP(D56,$H$15:$I$19,2,0),0)+ROUND(C57*VLOOKUP(D57,$H$15:$I$19,2,0),0)+ROUND(C58*VLOOKUP(D58,$H$15:$I$19,2,0),0)</f>
        <v>2187465</v>
      </c>
      <c r="M10" s="0" t="n">
        <f aca="false">ROUND(C10*VLOOKUP(D10,$H$15:$I$19,2,0),0)</f>
        <v>205250</v>
      </c>
    </row>
    <row r="11" customFormat="false" ht="33.75" hidden="false" customHeight="true" outlineLevel="0" collapsed="false">
      <c r="A11" s="27" t="s">
        <v>56</v>
      </c>
      <c r="B11" s="27" t="s">
        <v>57</v>
      </c>
      <c r="C11" s="30" t="n">
        <v>97500</v>
      </c>
      <c r="D11" s="27" t="s">
        <v>159</v>
      </c>
      <c r="E11" s="63"/>
      <c r="G11" s="62" t="n">
        <v>3</v>
      </c>
      <c r="H11" s="34" t="s">
        <v>164</v>
      </c>
      <c r="I11" s="64"/>
      <c r="J11" s="36" t="str">
        <f aca="false">IF(ISBLANK(I11),"◯ Not attempted",IF(NOT(_xlfn.ISFORMULA(I11)),"✎ Use a formula",IF(ISNUMBER(I11),IF(ABS(I11-$L$11)&lt;0.0005,"✓ Correct","✗ Check again"),"✗ Not a number")))</f>
        <v>◯ Not attempted</v>
      </c>
      <c r="K11" s="37" t="s">
        <v>165</v>
      </c>
      <c r="L11" s="65" t="n">
        <f aca="false">(ROUND(C9*VLOOKUP(D9,$H$15:$I$19,2,0),0)+ROUND(C10*VLOOKUP(D10,$H$15:$I$19,2,0),0)+ROUND(C11*VLOOKUP(D11,$H$15:$I$19,2,0),0)+ROUND(C12*VLOOKUP(D12,$H$15:$I$19,2,0),0)+ROUND(C13*VLOOKUP(D13,$H$15:$I$19,2,0),0)+ROUND(C14*VLOOKUP(D14,$H$15:$I$19,2,0),0)+ROUND(C15*VLOOKUP(D15,$H$15:$I$19,2,0),0)+ROUND(C16*VLOOKUP(D16,$H$15:$I$19,2,0),0)+ROUND(C17*VLOOKUP(D17,$H$15:$I$19,2,0),0)+ROUND(C18*VLOOKUP(D18,$H$15:$I$19,2,0),0)+ROUND(C19*VLOOKUP(D19,$H$15:$I$19,2,0),0)+ROUND(C20*VLOOKUP(D20,$H$15:$I$19,2,0),0)+ROUND(C21*VLOOKUP(D21,$H$15:$I$19,2,0),0)+ROUND(C22*VLOOKUP(D22,$H$15:$I$19,2,0),0)+ROUND(C23*VLOOKUP(D23,$H$15:$I$19,2,0),0)+ROUND(C24*VLOOKUP(D24,$H$15:$I$19,2,0),0)+ROUND(C25*VLOOKUP(D25,$H$15:$I$19,2,0),0)+ROUND(C26*VLOOKUP(D26,$H$15:$I$19,2,0),0)+ROUND(C27*VLOOKUP(D27,$H$15:$I$19,2,0),0)+ROUND(C28*VLOOKUP(D28,$H$15:$I$19,2,0),0)+ROUND(C29*VLOOKUP(D29,$H$15:$I$19,2,0),0)+ROUND(C30*VLOOKUP(D30,$H$15:$I$19,2,0),0)+ROUND(C31*VLOOKUP(D31,$H$15:$I$19,2,0),0)+ROUND(C32*VLOOKUP(D32,$H$15:$I$19,2,0),0)+ROUND(C33*VLOOKUP(D33,$H$15:$I$19,2,0),0)+ROUND(C34*VLOOKUP(D34,$H$15:$I$19,2,0),0)+ROUND(C35*VLOOKUP(D35,$H$15:$I$19,2,0),0)+ROUND(C36*VLOOKUP(D36,$H$15:$I$19,2,0),0)+ROUND(C37*VLOOKUP(D37,$H$15:$I$19,2,0),0)+ROUND(C38*VLOOKUP(D38,$H$15:$I$19,2,0),0)+ROUND(C39*VLOOKUP(D39,$H$15:$I$19,2,0),0)+ROUND(C40*VLOOKUP(D40,$H$15:$I$19,2,0),0)+ROUND(C41*VLOOKUP(D41,$H$15:$I$19,2,0),0)+ROUND(C42*VLOOKUP(D42,$H$15:$I$19,2,0),0)+ROUND(C43*VLOOKUP(D43,$H$15:$I$19,2,0),0)+ROUND(C44*VLOOKUP(D44,$H$15:$I$19,2,0),0)+ROUND(C45*VLOOKUP(D45,$H$15:$I$19,2,0),0)+ROUND(C46*VLOOKUP(D46,$H$15:$I$19,2,0),0)+ROUND(C47*VLOOKUP(D47,$H$15:$I$19,2,0),0)+ROUND(C48*VLOOKUP(D48,$H$15:$I$19,2,0),0)+ROUND(C49*VLOOKUP(D49,$H$15:$I$19,2,0),0)+ROUND(C50*VLOOKUP(D50,$H$15:$I$19,2,0),0)+ROUND(C51*VLOOKUP(D51,$H$15:$I$19,2,0),0)+ROUND(C52*VLOOKUP(D52,$H$15:$I$19,2,0),0)+ROUND(C53*VLOOKUP(D53,$H$15:$I$19,2,0),0)+ROUND(C54*VLOOKUP(D54,$H$15:$I$19,2,0),0)+ROUND(C55*VLOOKUP(D55,$H$15:$I$19,2,0),0)+ROUND(C56*VLOOKUP(D56,$H$15:$I$19,2,0),0)+ROUND(C57*VLOOKUP(D57,$H$15:$I$19,2,0),0)+ROUND(C58*VLOOKUP(D58,$H$15:$I$19,2,0),0))/SUM($C$9:$C$58)</f>
        <v>0.188712849933141</v>
      </c>
      <c r="M11" s="44" t="n">
        <f aca="false">ROUND(C11*VLOOKUP(D11,$H$15:$I$19,2,0),0)</f>
        <v>48750</v>
      </c>
    </row>
    <row r="12" customFormat="false" ht="15" hidden="false" customHeight="false" outlineLevel="0" collapsed="false">
      <c r="A12" s="38" t="s">
        <v>60</v>
      </c>
      <c r="B12" s="38" t="s">
        <v>57</v>
      </c>
      <c r="C12" s="41" t="n">
        <v>193000</v>
      </c>
      <c r="D12" s="38" t="s">
        <v>166</v>
      </c>
      <c r="E12" s="63"/>
      <c r="M12" s="44" t="n">
        <f aca="false">ROUND(C12*VLOOKUP(D12,$H$15:$I$19,2,0),0)</f>
        <v>0</v>
      </c>
    </row>
    <row r="13" customFormat="false" ht="15" hidden="false" customHeight="false" outlineLevel="0" collapsed="false">
      <c r="A13" s="27" t="s">
        <v>63</v>
      </c>
      <c r="B13" s="27" t="s">
        <v>64</v>
      </c>
      <c r="C13" s="30" t="n">
        <v>140500</v>
      </c>
      <c r="D13" s="27" t="s">
        <v>167</v>
      </c>
      <c r="E13" s="63"/>
      <c r="H13" s="66" t="s">
        <v>168</v>
      </c>
      <c r="M13" s="44" t="n">
        <f aca="false">ROUND(C13*VLOOKUP(D13,$H$15:$I$19,2,0),0)</f>
        <v>21075</v>
      </c>
    </row>
    <row r="14" customFormat="false" ht="15" hidden="false" customHeight="false" outlineLevel="0" collapsed="false">
      <c r="A14" s="38" t="s">
        <v>65</v>
      </c>
      <c r="B14" s="38" t="s">
        <v>47</v>
      </c>
      <c r="C14" s="41" t="n">
        <v>51500</v>
      </c>
      <c r="D14" s="38" t="s">
        <v>167</v>
      </c>
      <c r="E14" s="63"/>
      <c r="H14" s="67" t="s">
        <v>147</v>
      </c>
      <c r="I14" s="67" t="s">
        <v>169</v>
      </c>
      <c r="M14" s="44" t="n">
        <f aca="false">ROUND(C14*VLOOKUP(D14,$H$15:$I$19,2,0),0)</f>
        <v>7725</v>
      </c>
    </row>
    <row r="15" customFormat="false" ht="15" hidden="false" customHeight="false" outlineLevel="0" collapsed="false">
      <c r="A15" s="27" t="s">
        <v>66</v>
      </c>
      <c r="B15" s="27" t="s">
        <v>52</v>
      </c>
      <c r="C15" s="30" t="n">
        <v>218000</v>
      </c>
      <c r="D15" s="27" t="s">
        <v>170</v>
      </c>
      <c r="E15" s="63"/>
      <c r="H15" s="68" t="s">
        <v>166</v>
      </c>
      <c r="I15" s="69" t="n">
        <v>0</v>
      </c>
      <c r="M15" s="44" t="n">
        <f aca="false">ROUND(C15*VLOOKUP(D15,$H$15:$I$19,2,0),0)</f>
        <v>10900</v>
      </c>
    </row>
    <row r="16" customFormat="false" ht="15" hidden="false" customHeight="false" outlineLevel="0" collapsed="false">
      <c r="A16" s="38" t="s">
        <v>67</v>
      </c>
      <c r="B16" s="38" t="s">
        <v>57</v>
      </c>
      <c r="C16" s="41" t="n">
        <v>101000</v>
      </c>
      <c r="D16" s="38" t="s">
        <v>159</v>
      </c>
      <c r="E16" s="63"/>
      <c r="H16" s="68" t="s">
        <v>171</v>
      </c>
      <c r="I16" s="69" t="n">
        <v>0.01</v>
      </c>
      <c r="M16" s="44" t="n">
        <f aca="false">ROUND(C16*VLOOKUP(D16,$H$15:$I$19,2,0),0)</f>
        <v>50500</v>
      </c>
    </row>
    <row r="17" customFormat="false" ht="15" hidden="false" customHeight="false" outlineLevel="0" collapsed="false">
      <c r="A17" s="27" t="s">
        <v>68</v>
      </c>
      <c r="B17" s="27" t="s">
        <v>69</v>
      </c>
      <c r="C17" s="30" t="n">
        <v>171000</v>
      </c>
      <c r="D17" s="27" t="s">
        <v>166</v>
      </c>
      <c r="E17" s="63"/>
      <c r="H17" s="68" t="s">
        <v>170</v>
      </c>
      <c r="I17" s="69" t="n">
        <v>0.05</v>
      </c>
      <c r="M17" s="44" t="n">
        <f aca="false">ROUND(C17*VLOOKUP(D17,$H$15:$I$19,2,0),0)</f>
        <v>0</v>
      </c>
    </row>
    <row r="18" customFormat="false" ht="15" hidden="false" customHeight="false" outlineLevel="0" collapsed="false">
      <c r="A18" s="38" t="s">
        <v>70</v>
      </c>
      <c r="B18" s="38" t="s">
        <v>71</v>
      </c>
      <c r="C18" s="41" t="n">
        <v>224500</v>
      </c>
      <c r="D18" s="38" t="s">
        <v>166</v>
      </c>
      <c r="E18" s="63"/>
      <c r="H18" s="68" t="s">
        <v>167</v>
      </c>
      <c r="I18" s="69" t="n">
        <v>0.15</v>
      </c>
      <c r="M18" s="44" t="n">
        <f aca="false">ROUND(C18*VLOOKUP(D18,$H$15:$I$19,2,0),0)</f>
        <v>0</v>
      </c>
    </row>
    <row r="19" customFormat="false" ht="15" hidden="false" customHeight="false" outlineLevel="0" collapsed="false">
      <c r="A19" s="27" t="s">
        <v>72</v>
      </c>
      <c r="B19" s="27" t="s">
        <v>57</v>
      </c>
      <c r="C19" s="30" t="n">
        <v>333000</v>
      </c>
      <c r="D19" s="27" t="s">
        <v>170</v>
      </c>
      <c r="E19" s="63"/>
      <c r="H19" s="68" t="s">
        <v>159</v>
      </c>
      <c r="I19" s="69" t="n">
        <v>0.5</v>
      </c>
      <c r="M19" s="44" t="n">
        <f aca="false">ROUND(C19*VLOOKUP(D19,$H$15:$I$19,2,0),0)</f>
        <v>16650</v>
      </c>
    </row>
    <row r="20" customFormat="false" ht="15" hidden="false" customHeight="false" outlineLevel="0" collapsed="false">
      <c r="A20" s="38" t="s">
        <v>73</v>
      </c>
      <c r="B20" s="38" t="s">
        <v>74</v>
      </c>
      <c r="C20" s="41" t="n">
        <v>206500</v>
      </c>
      <c r="D20" s="38" t="s">
        <v>170</v>
      </c>
      <c r="E20" s="63"/>
      <c r="M20" s="44" t="n">
        <f aca="false">ROUND(C20*VLOOKUP(D20,$H$15:$I$19,2,0),0)</f>
        <v>10325</v>
      </c>
    </row>
    <row r="21" customFormat="false" ht="15" hidden="false" customHeight="false" outlineLevel="0" collapsed="false">
      <c r="A21" s="27" t="s">
        <v>75</v>
      </c>
      <c r="B21" s="27" t="s">
        <v>76</v>
      </c>
      <c r="C21" s="30" t="n">
        <v>250000</v>
      </c>
      <c r="D21" s="27" t="s">
        <v>166</v>
      </c>
      <c r="E21" s="63"/>
      <c r="M21" s="44" t="n">
        <f aca="false">ROUND(C21*VLOOKUP(D21,$H$15:$I$19,2,0),0)</f>
        <v>0</v>
      </c>
    </row>
    <row r="22" customFormat="false" ht="15" hidden="false" customHeight="false" outlineLevel="0" collapsed="false">
      <c r="A22" s="38" t="s">
        <v>77</v>
      </c>
      <c r="B22" s="38" t="s">
        <v>78</v>
      </c>
      <c r="C22" s="41" t="n">
        <v>319500</v>
      </c>
      <c r="D22" s="38" t="s">
        <v>171</v>
      </c>
      <c r="E22" s="63"/>
      <c r="M22" s="44" t="n">
        <f aca="false">ROUND(C22*VLOOKUP(D22,$H$15:$I$19,2,0),0)</f>
        <v>3195</v>
      </c>
    </row>
    <row r="23" customFormat="false" ht="15" hidden="false" customHeight="false" outlineLevel="0" collapsed="false">
      <c r="A23" s="27" t="s">
        <v>79</v>
      </c>
      <c r="B23" s="27" t="s">
        <v>80</v>
      </c>
      <c r="C23" s="30" t="n">
        <v>151000</v>
      </c>
      <c r="D23" s="27" t="s">
        <v>159</v>
      </c>
      <c r="E23" s="63"/>
      <c r="M23" s="44" t="n">
        <f aca="false">ROUND(C23*VLOOKUP(D23,$H$15:$I$19,2,0),0)</f>
        <v>75500</v>
      </c>
    </row>
    <row r="24" customFormat="false" ht="15" hidden="false" customHeight="false" outlineLevel="0" collapsed="false">
      <c r="A24" s="38" t="s">
        <v>81</v>
      </c>
      <c r="B24" s="38" t="s">
        <v>71</v>
      </c>
      <c r="C24" s="41" t="n">
        <v>16000</v>
      </c>
      <c r="D24" s="38" t="s">
        <v>170</v>
      </c>
      <c r="E24" s="63"/>
      <c r="M24" s="44" t="n">
        <f aca="false">ROUND(C24*VLOOKUP(D24,$H$15:$I$19,2,0),0)</f>
        <v>800</v>
      </c>
    </row>
    <row r="25" customFormat="false" ht="15" hidden="false" customHeight="false" outlineLevel="0" collapsed="false">
      <c r="A25" s="27" t="s">
        <v>82</v>
      </c>
      <c r="B25" s="27" t="s">
        <v>47</v>
      </c>
      <c r="C25" s="30" t="n">
        <v>110500</v>
      </c>
      <c r="D25" s="27" t="s">
        <v>171</v>
      </c>
      <c r="E25" s="63"/>
      <c r="M25" s="44" t="n">
        <f aca="false">ROUND(C25*VLOOKUP(D25,$H$15:$I$19,2,0),0)</f>
        <v>1105</v>
      </c>
    </row>
    <row r="26" customFormat="false" ht="15" hidden="false" customHeight="false" outlineLevel="0" collapsed="false">
      <c r="A26" s="38" t="s">
        <v>83</v>
      </c>
      <c r="B26" s="38" t="s">
        <v>52</v>
      </c>
      <c r="C26" s="41" t="n">
        <v>48000</v>
      </c>
      <c r="D26" s="38" t="s">
        <v>166</v>
      </c>
      <c r="E26" s="63"/>
      <c r="M26" s="44" t="n">
        <f aca="false">ROUND(C26*VLOOKUP(D26,$H$15:$I$19,2,0),0)</f>
        <v>0</v>
      </c>
    </row>
    <row r="27" customFormat="false" ht="15" hidden="false" customHeight="false" outlineLevel="0" collapsed="false">
      <c r="A27" s="27" t="s">
        <v>84</v>
      </c>
      <c r="B27" s="27" t="s">
        <v>80</v>
      </c>
      <c r="C27" s="30" t="n">
        <v>452500</v>
      </c>
      <c r="D27" s="27" t="s">
        <v>167</v>
      </c>
      <c r="E27" s="63"/>
      <c r="M27" s="44" t="n">
        <f aca="false">ROUND(C27*VLOOKUP(D27,$H$15:$I$19,2,0),0)</f>
        <v>67875</v>
      </c>
    </row>
    <row r="28" customFormat="false" ht="15" hidden="false" customHeight="false" outlineLevel="0" collapsed="false">
      <c r="A28" s="38" t="s">
        <v>85</v>
      </c>
      <c r="B28" s="38" t="s">
        <v>74</v>
      </c>
      <c r="C28" s="41" t="n">
        <v>484000</v>
      </c>
      <c r="D28" s="38" t="s">
        <v>159</v>
      </c>
      <c r="E28" s="63"/>
      <c r="M28" s="44" t="n">
        <f aca="false">ROUND(C28*VLOOKUP(D28,$H$15:$I$19,2,0),0)</f>
        <v>242000</v>
      </c>
    </row>
    <row r="29" customFormat="false" ht="15" hidden="false" customHeight="false" outlineLevel="0" collapsed="false">
      <c r="A29" s="27" t="s">
        <v>86</v>
      </c>
      <c r="B29" s="27" t="s">
        <v>87</v>
      </c>
      <c r="C29" s="30" t="n">
        <v>92500</v>
      </c>
      <c r="D29" s="27" t="s">
        <v>159</v>
      </c>
      <c r="E29" s="63"/>
      <c r="M29" s="44" t="n">
        <f aca="false">ROUND(C29*VLOOKUP(D29,$H$15:$I$19,2,0),0)</f>
        <v>46250</v>
      </c>
    </row>
    <row r="30" customFormat="false" ht="15" hidden="false" customHeight="false" outlineLevel="0" collapsed="false">
      <c r="A30" s="38" t="s">
        <v>88</v>
      </c>
      <c r="B30" s="38" t="s">
        <v>78</v>
      </c>
      <c r="C30" s="41" t="n">
        <v>104000</v>
      </c>
      <c r="D30" s="38" t="s">
        <v>159</v>
      </c>
      <c r="E30" s="63"/>
      <c r="M30" s="44" t="n">
        <f aca="false">ROUND(C30*VLOOKUP(D30,$H$15:$I$19,2,0),0)</f>
        <v>52000</v>
      </c>
    </row>
    <row r="31" customFormat="false" ht="15" hidden="false" customHeight="false" outlineLevel="0" collapsed="false">
      <c r="A31" s="27" t="s">
        <v>89</v>
      </c>
      <c r="B31" s="27" t="s">
        <v>71</v>
      </c>
      <c r="C31" s="30" t="n">
        <v>133500</v>
      </c>
      <c r="D31" s="27" t="s">
        <v>167</v>
      </c>
      <c r="E31" s="63"/>
      <c r="M31" s="44" t="n">
        <f aca="false">ROUND(C31*VLOOKUP(D31,$H$15:$I$19,2,0),0)</f>
        <v>20025</v>
      </c>
    </row>
    <row r="32" customFormat="false" ht="15" hidden="false" customHeight="false" outlineLevel="0" collapsed="false">
      <c r="A32" s="38" t="s">
        <v>90</v>
      </c>
      <c r="B32" s="38" t="s">
        <v>64</v>
      </c>
      <c r="C32" s="41" t="n">
        <v>208000</v>
      </c>
      <c r="D32" s="38" t="s">
        <v>159</v>
      </c>
      <c r="E32" s="63"/>
      <c r="M32" s="44" t="n">
        <f aca="false">ROUND(C32*VLOOKUP(D32,$H$15:$I$19,2,0),0)</f>
        <v>104000</v>
      </c>
    </row>
    <row r="33" customFormat="false" ht="15" hidden="false" customHeight="false" outlineLevel="0" collapsed="false">
      <c r="A33" s="27" t="s">
        <v>91</v>
      </c>
      <c r="B33" s="27" t="s">
        <v>69</v>
      </c>
      <c r="C33" s="30" t="n">
        <v>429500</v>
      </c>
      <c r="D33" s="27" t="s">
        <v>159</v>
      </c>
      <c r="E33" s="63"/>
      <c r="M33" s="44" t="n">
        <f aca="false">ROUND(C33*VLOOKUP(D33,$H$15:$I$19,2,0),0)</f>
        <v>214750</v>
      </c>
    </row>
    <row r="34" customFormat="false" ht="15" hidden="false" customHeight="false" outlineLevel="0" collapsed="false">
      <c r="A34" s="38" t="s">
        <v>92</v>
      </c>
      <c r="B34" s="38" t="s">
        <v>71</v>
      </c>
      <c r="C34" s="41" t="n">
        <v>143500</v>
      </c>
      <c r="D34" s="38" t="s">
        <v>159</v>
      </c>
      <c r="E34" s="63"/>
      <c r="M34" s="44" t="n">
        <f aca="false">ROUND(C34*VLOOKUP(D34,$H$15:$I$19,2,0),0)</f>
        <v>71750</v>
      </c>
    </row>
    <row r="35" customFormat="false" ht="15" hidden="false" customHeight="false" outlineLevel="0" collapsed="false">
      <c r="A35" s="27" t="s">
        <v>93</v>
      </c>
      <c r="B35" s="27" t="s">
        <v>64</v>
      </c>
      <c r="C35" s="30" t="n">
        <v>446000</v>
      </c>
      <c r="D35" s="27" t="s">
        <v>166</v>
      </c>
      <c r="E35" s="63"/>
      <c r="M35" s="44" t="n">
        <f aca="false">ROUND(C35*VLOOKUP(D35,$H$15:$I$19,2,0),0)</f>
        <v>0</v>
      </c>
    </row>
    <row r="36" customFormat="false" ht="15" hidden="false" customHeight="false" outlineLevel="0" collapsed="false">
      <c r="A36" s="38" t="s">
        <v>94</v>
      </c>
      <c r="B36" s="38" t="s">
        <v>69</v>
      </c>
      <c r="C36" s="41" t="n">
        <v>126500</v>
      </c>
      <c r="D36" s="38" t="s">
        <v>159</v>
      </c>
      <c r="E36" s="63"/>
      <c r="M36" s="44" t="n">
        <f aca="false">ROUND(C36*VLOOKUP(D36,$H$15:$I$19,2,0),0)</f>
        <v>63250</v>
      </c>
    </row>
    <row r="37" customFormat="false" ht="15" hidden="false" customHeight="false" outlineLevel="0" collapsed="false">
      <c r="A37" s="27" t="s">
        <v>95</v>
      </c>
      <c r="B37" s="27" t="s">
        <v>74</v>
      </c>
      <c r="C37" s="30" t="n">
        <v>493500</v>
      </c>
      <c r="D37" s="27" t="s">
        <v>166</v>
      </c>
      <c r="E37" s="63"/>
      <c r="M37" s="44" t="n">
        <f aca="false">ROUND(C37*VLOOKUP(D37,$H$15:$I$19,2,0),0)</f>
        <v>0</v>
      </c>
    </row>
    <row r="38" customFormat="false" ht="15" hidden="false" customHeight="false" outlineLevel="0" collapsed="false">
      <c r="A38" s="38" t="s">
        <v>96</v>
      </c>
      <c r="B38" s="38" t="s">
        <v>47</v>
      </c>
      <c r="C38" s="41" t="n">
        <v>499000</v>
      </c>
      <c r="D38" s="38" t="s">
        <v>166</v>
      </c>
      <c r="E38" s="63"/>
      <c r="M38" s="44" t="n">
        <f aca="false">ROUND(C38*VLOOKUP(D38,$H$15:$I$19,2,0),0)</f>
        <v>0</v>
      </c>
    </row>
    <row r="39" customFormat="false" ht="15" hidden="false" customHeight="false" outlineLevel="0" collapsed="false">
      <c r="A39" s="27" t="s">
        <v>97</v>
      </c>
      <c r="B39" s="27" t="s">
        <v>78</v>
      </c>
      <c r="C39" s="30" t="n">
        <v>88500</v>
      </c>
      <c r="D39" s="27" t="s">
        <v>171</v>
      </c>
      <c r="E39" s="63"/>
      <c r="M39" s="44" t="n">
        <f aca="false">ROUND(C39*VLOOKUP(D39,$H$15:$I$19,2,0),0)</f>
        <v>885</v>
      </c>
    </row>
    <row r="40" customFormat="false" ht="15" hidden="false" customHeight="false" outlineLevel="0" collapsed="false">
      <c r="A40" s="38" t="s">
        <v>98</v>
      </c>
      <c r="B40" s="38" t="s">
        <v>52</v>
      </c>
      <c r="C40" s="41" t="n">
        <v>518500</v>
      </c>
      <c r="D40" s="38" t="s">
        <v>166</v>
      </c>
      <c r="E40" s="63"/>
      <c r="M40" s="44" t="n">
        <f aca="false">ROUND(C40*VLOOKUP(D40,$H$15:$I$19,2,0),0)</f>
        <v>0</v>
      </c>
    </row>
    <row r="41" customFormat="false" ht="15" hidden="false" customHeight="false" outlineLevel="0" collapsed="false">
      <c r="A41" s="27" t="s">
        <v>99</v>
      </c>
      <c r="B41" s="27" t="s">
        <v>57</v>
      </c>
      <c r="C41" s="30" t="n">
        <v>376000</v>
      </c>
      <c r="D41" s="27" t="s">
        <v>159</v>
      </c>
      <c r="E41" s="63"/>
      <c r="M41" s="44" t="n">
        <f aca="false">ROUND(C41*VLOOKUP(D41,$H$15:$I$19,2,0),0)</f>
        <v>188000</v>
      </c>
    </row>
    <row r="42" customFormat="false" ht="15" hidden="false" customHeight="false" outlineLevel="0" collapsed="false">
      <c r="A42" s="38" t="s">
        <v>100</v>
      </c>
      <c r="B42" s="38" t="s">
        <v>57</v>
      </c>
      <c r="C42" s="41" t="n">
        <v>49000</v>
      </c>
      <c r="D42" s="38" t="s">
        <v>166</v>
      </c>
      <c r="E42" s="63"/>
      <c r="M42" s="44" t="n">
        <f aca="false">ROUND(C42*VLOOKUP(D42,$H$15:$I$19,2,0),0)</f>
        <v>0</v>
      </c>
    </row>
    <row r="43" customFormat="false" ht="15" hidden="false" customHeight="false" outlineLevel="0" collapsed="false">
      <c r="A43" s="27" t="s">
        <v>101</v>
      </c>
      <c r="B43" s="27" t="s">
        <v>57</v>
      </c>
      <c r="C43" s="30" t="n">
        <v>317500</v>
      </c>
      <c r="D43" s="27" t="s">
        <v>166</v>
      </c>
      <c r="E43" s="63"/>
      <c r="M43" s="44" t="n">
        <f aca="false">ROUND(C43*VLOOKUP(D43,$H$15:$I$19,2,0),0)</f>
        <v>0</v>
      </c>
    </row>
    <row r="44" customFormat="false" ht="15" hidden="false" customHeight="false" outlineLevel="0" collapsed="false">
      <c r="A44" s="38" t="s">
        <v>102</v>
      </c>
      <c r="B44" s="38" t="s">
        <v>71</v>
      </c>
      <c r="C44" s="41" t="n">
        <v>40000</v>
      </c>
      <c r="D44" s="38" t="s">
        <v>159</v>
      </c>
      <c r="E44" s="63"/>
      <c r="M44" s="44" t="n">
        <f aca="false">ROUND(C44*VLOOKUP(D44,$H$15:$I$19,2,0),0)</f>
        <v>20000</v>
      </c>
    </row>
    <row r="45" customFormat="false" ht="15" hidden="false" customHeight="false" outlineLevel="0" collapsed="false">
      <c r="A45" s="27" t="s">
        <v>103</v>
      </c>
      <c r="B45" s="27" t="s">
        <v>57</v>
      </c>
      <c r="C45" s="30" t="n">
        <v>115500</v>
      </c>
      <c r="D45" s="27" t="s">
        <v>159</v>
      </c>
      <c r="E45" s="63"/>
      <c r="M45" s="44" t="n">
        <f aca="false">ROUND(C45*VLOOKUP(D45,$H$15:$I$19,2,0),0)</f>
        <v>57750</v>
      </c>
    </row>
    <row r="46" customFormat="false" ht="15" hidden="false" customHeight="false" outlineLevel="0" collapsed="false">
      <c r="A46" s="38" t="s">
        <v>104</v>
      </c>
      <c r="B46" s="38" t="s">
        <v>52</v>
      </c>
      <c r="C46" s="41" t="n">
        <v>131000</v>
      </c>
      <c r="D46" s="38" t="s">
        <v>159</v>
      </c>
      <c r="E46" s="63"/>
      <c r="M46" s="44" t="n">
        <f aca="false">ROUND(C46*VLOOKUP(D46,$H$15:$I$19,2,0),0)</f>
        <v>65500</v>
      </c>
    </row>
    <row r="47" customFormat="false" ht="15" hidden="false" customHeight="false" outlineLevel="0" collapsed="false">
      <c r="A47" s="27" t="s">
        <v>105</v>
      </c>
      <c r="B47" s="27" t="s">
        <v>47</v>
      </c>
      <c r="C47" s="30" t="n">
        <v>256500</v>
      </c>
      <c r="D47" s="27" t="s">
        <v>166</v>
      </c>
      <c r="E47" s="63"/>
      <c r="M47" s="44" t="n">
        <f aca="false">ROUND(C47*VLOOKUP(D47,$H$15:$I$19,2,0),0)</f>
        <v>0</v>
      </c>
    </row>
    <row r="48" customFormat="false" ht="15" hidden="false" customHeight="false" outlineLevel="0" collapsed="false">
      <c r="A48" s="38" t="s">
        <v>106</v>
      </c>
      <c r="B48" s="38" t="s">
        <v>87</v>
      </c>
      <c r="C48" s="41" t="n">
        <v>514500</v>
      </c>
      <c r="D48" s="38" t="s">
        <v>159</v>
      </c>
      <c r="E48" s="63"/>
      <c r="M48" s="44" t="n">
        <f aca="false">ROUND(C48*VLOOKUP(D48,$H$15:$I$19,2,0),0)</f>
        <v>257250</v>
      </c>
    </row>
    <row r="49" customFormat="false" ht="15" hidden="false" customHeight="false" outlineLevel="0" collapsed="false">
      <c r="A49" s="27" t="s">
        <v>107</v>
      </c>
      <c r="B49" s="27" t="s">
        <v>69</v>
      </c>
      <c r="C49" s="30" t="n">
        <v>236000</v>
      </c>
      <c r="D49" s="27" t="s">
        <v>159</v>
      </c>
      <c r="E49" s="63"/>
      <c r="M49" s="44" t="n">
        <f aca="false">ROUND(C49*VLOOKUP(D49,$H$15:$I$19,2,0),0)</f>
        <v>118000</v>
      </c>
    </row>
    <row r="50" customFormat="false" ht="15" hidden="false" customHeight="false" outlineLevel="0" collapsed="false">
      <c r="A50" s="38" t="s">
        <v>108</v>
      </c>
      <c r="B50" s="38" t="s">
        <v>109</v>
      </c>
      <c r="C50" s="41" t="n">
        <v>22000</v>
      </c>
      <c r="D50" s="38" t="s">
        <v>166</v>
      </c>
      <c r="E50" s="63"/>
      <c r="M50" s="44" t="n">
        <f aca="false">ROUND(C50*VLOOKUP(D50,$H$15:$I$19,2,0),0)</f>
        <v>0</v>
      </c>
    </row>
    <row r="51" customFormat="false" ht="15" hidden="false" customHeight="false" outlineLevel="0" collapsed="false">
      <c r="A51" s="27" t="s">
        <v>110</v>
      </c>
      <c r="B51" s="27" t="s">
        <v>64</v>
      </c>
      <c r="C51" s="30" t="n">
        <v>500000</v>
      </c>
      <c r="D51" s="27" t="s">
        <v>170</v>
      </c>
      <c r="E51" s="63"/>
      <c r="M51" s="44" t="n">
        <f aca="false">ROUND(C51*VLOOKUP(D51,$H$15:$I$19,2,0),0)</f>
        <v>25000</v>
      </c>
    </row>
    <row r="52" customFormat="false" ht="15" hidden="false" customHeight="false" outlineLevel="0" collapsed="false">
      <c r="A52" s="38" t="s">
        <v>111</v>
      </c>
      <c r="B52" s="38" t="s">
        <v>71</v>
      </c>
      <c r="C52" s="41" t="n">
        <v>364500</v>
      </c>
      <c r="D52" s="38" t="s">
        <v>167</v>
      </c>
      <c r="E52" s="63"/>
      <c r="M52" s="44" t="n">
        <f aca="false">ROUND(C52*VLOOKUP(D52,$H$15:$I$19,2,0),0)</f>
        <v>54675</v>
      </c>
    </row>
    <row r="53" customFormat="false" ht="15" hidden="false" customHeight="false" outlineLevel="0" collapsed="false">
      <c r="A53" s="27" t="s">
        <v>112</v>
      </c>
      <c r="B53" s="27" t="s">
        <v>47</v>
      </c>
      <c r="C53" s="30" t="n">
        <v>447500</v>
      </c>
      <c r="D53" s="27" t="s">
        <v>171</v>
      </c>
      <c r="E53" s="63"/>
      <c r="M53" s="44" t="n">
        <f aca="false">ROUND(C53*VLOOKUP(D53,$H$15:$I$19,2,0),0)</f>
        <v>4475</v>
      </c>
    </row>
    <row r="54" customFormat="false" ht="15" hidden="false" customHeight="false" outlineLevel="0" collapsed="false">
      <c r="A54" s="38" t="s">
        <v>113</v>
      </c>
      <c r="B54" s="38" t="s">
        <v>52</v>
      </c>
      <c r="C54" s="41" t="n">
        <v>43000</v>
      </c>
      <c r="D54" s="38" t="s">
        <v>166</v>
      </c>
      <c r="E54" s="63"/>
      <c r="M54" s="44" t="n">
        <f aca="false">ROUND(C54*VLOOKUP(D54,$H$15:$I$19,2,0),0)</f>
        <v>0</v>
      </c>
    </row>
    <row r="55" customFormat="false" ht="15" hidden="false" customHeight="false" outlineLevel="0" collapsed="false">
      <c r="A55" s="27" t="s">
        <v>114</v>
      </c>
      <c r="B55" s="27" t="s">
        <v>64</v>
      </c>
      <c r="C55" s="30" t="n">
        <v>189500</v>
      </c>
      <c r="D55" s="27" t="s">
        <v>171</v>
      </c>
      <c r="E55" s="63"/>
      <c r="M55" s="44" t="n">
        <f aca="false">ROUND(C55*VLOOKUP(D55,$H$15:$I$19,2,0),0)</f>
        <v>1895</v>
      </c>
    </row>
    <row r="56" customFormat="false" ht="15" hidden="false" customHeight="false" outlineLevel="0" collapsed="false">
      <c r="A56" s="38" t="s">
        <v>115</v>
      </c>
      <c r="B56" s="38" t="s">
        <v>69</v>
      </c>
      <c r="C56" s="41" t="n">
        <v>168000</v>
      </c>
      <c r="D56" s="38" t="s">
        <v>170</v>
      </c>
      <c r="E56" s="63"/>
      <c r="M56" s="44" t="n">
        <f aca="false">ROUND(C56*VLOOKUP(D56,$H$15:$I$19,2,0),0)</f>
        <v>8400</v>
      </c>
    </row>
    <row r="57" customFormat="false" ht="15" hidden="false" customHeight="false" outlineLevel="0" collapsed="false">
      <c r="A57" s="27" t="s">
        <v>116</v>
      </c>
      <c r="B57" s="27" t="s">
        <v>109</v>
      </c>
      <c r="C57" s="30" t="n">
        <v>171000</v>
      </c>
      <c r="D57" s="27" t="s">
        <v>171</v>
      </c>
      <c r="E57" s="63"/>
      <c r="M57" s="44" t="n">
        <f aca="false">ROUND(C57*VLOOKUP(D57,$H$15:$I$19,2,0),0)</f>
        <v>1710</v>
      </c>
    </row>
    <row r="58" customFormat="false" ht="15" hidden="false" customHeight="false" outlineLevel="0" collapsed="false">
      <c r="A58" s="38" t="s">
        <v>117</v>
      </c>
      <c r="B58" s="38" t="s">
        <v>64</v>
      </c>
      <c r="C58" s="41" t="n">
        <v>288000</v>
      </c>
      <c r="D58" s="38" t="s">
        <v>166</v>
      </c>
      <c r="E58" s="63"/>
      <c r="M58" s="44" t="n">
        <f aca="false">ROUND(C58*VLOOKUP(D58,$H$15:$I$19,2,0),0)</f>
        <v>0</v>
      </c>
    </row>
  </sheetData>
  <mergeCells count="3">
    <mergeCell ref="A1:K1"/>
    <mergeCell ref="A2:K2"/>
    <mergeCell ref="A3:K5"/>
  </mergeCells>
  <conditionalFormatting sqref="J9:J11">
    <cfRule type="expression" priority="2" aboveAverage="0" equalAverage="0" bottom="0" percent="0" rank="0" text="" dxfId="0">
      <formula>LEFT(J9,1)="✓"</formula>
    </cfRule>
    <cfRule type="expression" priority="3" aboveAverage="0" equalAverage="0" bottom="0" percent="0" rank="0" text="" dxfId="1">
      <formula>LEFT(J9,1)="✗"</formula>
    </cfRule>
    <cfRule type="expression" priority="4" aboveAverage="0" equalAverage="0" bottom="0" percent="0" rank="0" text="" dxfId="2">
      <formula>LEFT(J9,1)="✎"</formula>
    </cfRule>
    <cfRule type="expression" priority="5" aboveAverage="0" equalAverage="0" bottom="0" percent="0" rank="0" text="" dxfId="3">
      <formula>LEFT(J9,1)="◯"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11D48"/>
    <pageSetUpPr fitToPage="tru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9"/>
    <col collapsed="false" customWidth="true" hidden="false" outlineLevel="0" max="5" min="5" style="0" width="3"/>
    <col collapsed="false" customWidth="true" hidden="false" outlineLevel="0" max="6" min="6" style="0" width="5"/>
    <col collapsed="false" customWidth="true" hidden="false" outlineLevel="0" max="7" min="7" style="0" width="46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0" min="10" style="0" width="38"/>
    <col collapsed="false" customWidth="true" hidden="true" outlineLevel="0" max="14" min="11" style="0" width="13"/>
  </cols>
  <sheetData>
    <row r="1" customFormat="false" ht="31.5" hidden="false" customHeight="true" outlineLevel="0" collapsed="false">
      <c r="A1" s="70" t="s">
        <v>172</v>
      </c>
      <c r="B1" s="70"/>
      <c r="C1" s="70"/>
      <c r="D1" s="70"/>
      <c r="E1" s="70"/>
      <c r="F1" s="70"/>
      <c r="G1" s="70"/>
      <c r="H1" s="70"/>
      <c r="I1" s="70"/>
      <c r="J1" s="70"/>
    </row>
    <row r="2" customFormat="false" ht="19.5" hidden="false" customHeight="true" outlineLevel="0" collapsed="false">
      <c r="A2" s="71" t="s">
        <v>173</v>
      </c>
      <c r="B2" s="71"/>
      <c r="C2" s="71"/>
      <c r="D2" s="71"/>
      <c r="E2" s="71"/>
      <c r="F2" s="71"/>
      <c r="G2" s="71"/>
      <c r="H2" s="71"/>
      <c r="I2" s="71"/>
      <c r="J2" s="71"/>
    </row>
    <row r="3" customFormat="false" ht="18.75" hidden="false" customHeight="true" outlineLevel="0" collapsed="false">
      <c r="A3" s="72" t="s">
        <v>174</v>
      </c>
      <c r="B3" s="72"/>
      <c r="C3" s="72"/>
      <c r="D3" s="72"/>
      <c r="E3" s="72"/>
      <c r="F3" s="72"/>
      <c r="G3" s="72"/>
      <c r="H3" s="72"/>
      <c r="I3" s="72"/>
      <c r="J3" s="72"/>
    </row>
    <row r="4" customFormat="false" ht="18.75" hidden="false" customHeight="true" outlineLevel="0" collapsed="false">
      <c r="A4" s="72"/>
      <c r="B4" s="72"/>
      <c r="C4" s="72"/>
      <c r="D4" s="72"/>
      <c r="E4" s="72"/>
      <c r="F4" s="72"/>
      <c r="G4" s="72"/>
      <c r="H4" s="72"/>
      <c r="I4" s="72"/>
      <c r="J4" s="72"/>
    </row>
    <row r="5" customFormat="false" ht="18.75" hidden="false" customHeight="true" outlineLevel="0" collapsed="false">
      <c r="A5" s="72"/>
      <c r="B5" s="72"/>
      <c r="C5" s="72"/>
      <c r="D5" s="72"/>
      <c r="E5" s="72"/>
      <c r="F5" s="72"/>
      <c r="G5" s="72"/>
      <c r="H5" s="72"/>
      <c r="I5" s="72"/>
      <c r="J5" s="72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35</v>
      </c>
      <c r="B8" s="24" t="s">
        <v>36</v>
      </c>
      <c r="C8" s="24" t="s">
        <v>39</v>
      </c>
      <c r="D8" s="24" t="s">
        <v>147</v>
      </c>
      <c r="F8" s="73" t="s">
        <v>14</v>
      </c>
      <c r="G8" s="73" t="s">
        <v>42</v>
      </c>
      <c r="H8" s="73" t="s">
        <v>43</v>
      </c>
      <c r="I8" s="73" t="s">
        <v>44</v>
      </c>
      <c r="J8" s="73" t="s">
        <v>45</v>
      </c>
    </row>
    <row r="9" customFormat="false" ht="33.75" hidden="false" customHeight="true" outlineLevel="0" collapsed="false">
      <c r="A9" s="27" t="s">
        <v>46</v>
      </c>
      <c r="B9" s="27" t="s">
        <v>47</v>
      </c>
      <c r="C9" s="30" t="n">
        <v>100500</v>
      </c>
      <c r="D9" s="27" t="s">
        <v>159</v>
      </c>
      <c r="F9" s="74" t="n">
        <v>1</v>
      </c>
      <c r="G9" s="34" t="s">
        <v>175</v>
      </c>
      <c r="H9" s="35" t="s">
        <v>176</v>
      </c>
      <c r="I9" s="36" t="str">
        <f aca="false">IF(COUNT($H$15:$I$19)=0,"◯ Not attempted",IF(NOT(_xlfn.ISFORMULA(H15)),"✎ Use a formula",IFERROR(IF(SUMPRODUCT(--(ABS($H$15:$I$19-$L$15:$M$19)&lt;0.01))=10,"✓ Correct","✗ "&amp;(10-SUMPRODUCT(--(ABS($H$15:$I$19-$L$15:$M$19)&lt;0.01)))&amp;" cells differ"),"✗ Check the grid")))</f>
        <v>◯ Not attempted</v>
      </c>
      <c r="J9" s="37" t="s">
        <v>177</v>
      </c>
    </row>
    <row r="10" customFormat="false" ht="33.75" hidden="false" customHeight="true" outlineLevel="0" collapsed="false">
      <c r="A10" s="38" t="s">
        <v>51</v>
      </c>
      <c r="B10" s="38" t="s">
        <v>52</v>
      </c>
      <c r="C10" s="41" t="n">
        <v>410500</v>
      </c>
      <c r="D10" s="38" t="s">
        <v>159</v>
      </c>
      <c r="F10" s="74" t="n">
        <v>2</v>
      </c>
      <c r="G10" s="34" t="s">
        <v>178</v>
      </c>
      <c r="H10" s="75"/>
      <c r="I10" s="36" t="str">
        <f aca="false">IF(ISBLANK(H10),"◯ Not attempted",IF(NOT(_xlfn.ISFORMULA(H10)),"✎ Use a formula",IF(ISNUMBER(H10),IF(ABS(H10-$K$10)&lt;0.0005,"✓ Correct","✗ Check again"),"✗ Not a number")))</f>
        <v>◯ Not attempted</v>
      </c>
      <c r="J10" s="37" t="s">
        <v>179</v>
      </c>
      <c r="K10" s="76" t="n">
        <f aca="false">(SUMIF($D$9:$D$58,"61-90",$C$9:$C$58)+SUMIF($D$9:$D$58,"90+",$C$9:$C$58))/SUM($C$9:$C$58)</f>
        <v>0.431695639045853</v>
      </c>
    </row>
    <row r="11" customFormat="false" ht="33.75" hidden="false" customHeight="true" outlineLevel="0" collapsed="false">
      <c r="A11" s="27" t="s">
        <v>56</v>
      </c>
      <c r="B11" s="27" t="s">
        <v>57</v>
      </c>
      <c r="C11" s="30" t="n">
        <v>97500</v>
      </c>
      <c r="D11" s="27" t="s">
        <v>159</v>
      </c>
      <c r="F11" s="74" t="n">
        <v>3</v>
      </c>
      <c r="G11" s="34" t="s">
        <v>180</v>
      </c>
      <c r="H11" s="57"/>
      <c r="I11" s="36" t="str">
        <f aca="false">IF(ISBLANK(H11),"◯ Not attempted",IF(NOT(_xlfn.ISFORMULA(H11)),"✎ Use a formula",IF(ISNUMBER(H11),IF(ABS(H11-$K$11)&lt;0.5,"✓ Correct","✗ Check again"),"✗ Not a number")))</f>
        <v>◯ Not attempted</v>
      </c>
      <c r="J11" s="37" t="s">
        <v>181</v>
      </c>
      <c r="K11" s="0" t="n">
        <f aca="false">0</f>
        <v>0</v>
      </c>
    </row>
    <row r="12" customFormat="false" ht="15" hidden="false" customHeight="false" outlineLevel="0" collapsed="false">
      <c r="A12" s="38" t="s">
        <v>60</v>
      </c>
      <c r="B12" s="38" t="s">
        <v>57</v>
      </c>
      <c r="C12" s="41" t="n">
        <v>193000</v>
      </c>
      <c r="D12" s="38" t="s">
        <v>166</v>
      </c>
    </row>
    <row r="13" customFormat="false" ht="15" hidden="false" customHeight="false" outlineLevel="0" collapsed="false">
      <c r="A13" s="27" t="s">
        <v>63</v>
      </c>
      <c r="B13" s="27" t="s">
        <v>64</v>
      </c>
      <c r="C13" s="30" t="n">
        <v>140500</v>
      </c>
      <c r="D13" s="27" t="s">
        <v>167</v>
      </c>
      <c r="G13" s="77" t="s">
        <v>182</v>
      </c>
    </row>
    <row r="14" customFormat="false" ht="15" hidden="false" customHeight="false" outlineLevel="0" collapsed="false">
      <c r="A14" s="38" t="s">
        <v>65</v>
      </c>
      <c r="B14" s="38" t="s">
        <v>47</v>
      </c>
      <c r="C14" s="41" t="n">
        <v>51500</v>
      </c>
      <c r="D14" s="38" t="s">
        <v>167</v>
      </c>
      <c r="G14" s="67"/>
      <c r="H14" s="67" t="s">
        <v>183</v>
      </c>
      <c r="I14" s="67" t="s">
        <v>39</v>
      </c>
    </row>
    <row r="15" customFormat="false" ht="15" hidden="false" customHeight="false" outlineLevel="0" collapsed="false">
      <c r="A15" s="27" t="s">
        <v>66</v>
      </c>
      <c r="B15" s="27" t="s">
        <v>52</v>
      </c>
      <c r="C15" s="30" t="n">
        <v>218000</v>
      </c>
      <c r="D15" s="27" t="s">
        <v>170</v>
      </c>
      <c r="G15" s="78" t="s">
        <v>166</v>
      </c>
      <c r="H15" s="79"/>
      <c r="I15" s="79"/>
      <c r="L15" s="44" t="n">
        <f aca="false">COUNTIF($D$9:$D$58,$G15)</f>
        <v>15</v>
      </c>
      <c r="M15" s="44" t="n">
        <f aca="false">SUMIF($D$9:$D$58,$G15,$C$9:$C$58)</f>
        <v>3819500</v>
      </c>
    </row>
    <row r="16" customFormat="false" ht="15" hidden="false" customHeight="false" outlineLevel="0" collapsed="false">
      <c r="A16" s="38" t="s">
        <v>67</v>
      </c>
      <c r="B16" s="38" t="s">
        <v>57</v>
      </c>
      <c r="C16" s="41" t="n">
        <v>101000</v>
      </c>
      <c r="D16" s="38" t="s">
        <v>159</v>
      </c>
      <c r="G16" s="78" t="s">
        <v>171</v>
      </c>
      <c r="H16" s="79"/>
      <c r="I16" s="79"/>
      <c r="L16" s="44" t="n">
        <f aca="false">COUNTIF($D$9:$D$58,$G16)</f>
        <v>6</v>
      </c>
      <c r="M16" s="44" t="n">
        <f aca="false">SUMIF($D$9:$D$58,$G16,$C$9:$C$58)</f>
        <v>1326500</v>
      </c>
    </row>
    <row r="17" customFormat="false" ht="15" hidden="false" customHeight="false" outlineLevel="0" collapsed="false">
      <c r="A17" s="27" t="s">
        <v>68</v>
      </c>
      <c r="B17" s="27" t="s">
        <v>69</v>
      </c>
      <c r="C17" s="30" t="n">
        <v>171000</v>
      </c>
      <c r="D17" s="27" t="s">
        <v>166</v>
      </c>
      <c r="G17" s="78" t="s">
        <v>170</v>
      </c>
      <c r="H17" s="79"/>
      <c r="I17" s="79"/>
      <c r="L17" s="44" t="n">
        <f aca="false">COUNTIF($D$9:$D$58,$G17)</f>
        <v>6</v>
      </c>
      <c r="M17" s="44" t="n">
        <f aca="false">SUMIF($D$9:$D$58,$G17,$C$9:$C$58)</f>
        <v>1441500</v>
      </c>
    </row>
    <row r="18" customFormat="false" ht="15" hidden="false" customHeight="false" outlineLevel="0" collapsed="false">
      <c r="A18" s="38" t="s">
        <v>70</v>
      </c>
      <c r="B18" s="38" t="s">
        <v>71</v>
      </c>
      <c r="C18" s="41" t="n">
        <v>224500</v>
      </c>
      <c r="D18" s="38" t="s">
        <v>166</v>
      </c>
      <c r="G18" s="78" t="s">
        <v>167</v>
      </c>
      <c r="H18" s="79"/>
      <c r="I18" s="79"/>
      <c r="L18" s="44" t="n">
        <f aca="false">COUNTIF($D$9:$D$58,$G18)</f>
        <v>5</v>
      </c>
      <c r="M18" s="44" t="n">
        <f aca="false">SUMIF($D$9:$D$58,$G18,$C$9:$C$58)</f>
        <v>1142500</v>
      </c>
    </row>
    <row r="19" customFormat="false" ht="15" hidden="false" customHeight="false" outlineLevel="0" collapsed="false">
      <c r="A19" s="27" t="s">
        <v>72</v>
      </c>
      <c r="B19" s="27" t="s">
        <v>57</v>
      </c>
      <c r="C19" s="30" t="n">
        <v>333000</v>
      </c>
      <c r="D19" s="27" t="s">
        <v>170</v>
      </c>
      <c r="G19" s="78" t="s">
        <v>159</v>
      </c>
      <c r="H19" s="79"/>
      <c r="I19" s="79"/>
      <c r="L19" s="44" t="n">
        <f aca="false">COUNTIF($D$9:$D$58,$G19)</f>
        <v>18</v>
      </c>
      <c r="M19" s="44" t="n">
        <f aca="false">SUMIF($D$9:$D$58,$G19,$C$9:$C$58)</f>
        <v>3861500</v>
      </c>
    </row>
    <row r="20" customFormat="false" ht="15" hidden="false" customHeight="false" outlineLevel="0" collapsed="false">
      <c r="A20" s="38" t="s">
        <v>73</v>
      </c>
      <c r="B20" s="38" t="s">
        <v>74</v>
      </c>
      <c r="C20" s="41" t="n">
        <v>206500</v>
      </c>
      <c r="D20" s="38" t="s">
        <v>170</v>
      </c>
    </row>
    <row r="21" customFormat="false" ht="15" hidden="false" customHeight="false" outlineLevel="0" collapsed="false">
      <c r="A21" s="27" t="s">
        <v>75</v>
      </c>
      <c r="B21" s="27" t="s">
        <v>76</v>
      </c>
      <c r="C21" s="30" t="n">
        <v>250000</v>
      </c>
      <c r="D21" s="27" t="s">
        <v>166</v>
      </c>
    </row>
    <row r="22" customFormat="false" ht="15" hidden="false" customHeight="false" outlineLevel="0" collapsed="false">
      <c r="A22" s="38" t="s">
        <v>77</v>
      </c>
      <c r="B22" s="38" t="s">
        <v>78</v>
      </c>
      <c r="C22" s="41" t="n">
        <v>319500</v>
      </c>
      <c r="D22" s="38" t="s">
        <v>171</v>
      </c>
    </row>
    <row r="23" customFormat="false" ht="15" hidden="false" customHeight="false" outlineLevel="0" collapsed="false">
      <c r="A23" s="27" t="s">
        <v>79</v>
      </c>
      <c r="B23" s="27" t="s">
        <v>80</v>
      </c>
      <c r="C23" s="30" t="n">
        <v>151000</v>
      </c>
      <c r="D23" s="27" t="s">
        <v>159</v>
      </c>
    </row>
    <row r="24" customFormat="false" ht="15" hidden="false" customHeight="false" outlineLevel="0" collapsed="false">
      <c r="A24" s="38" t="s">
        <v>81</v>
      </c>
      <c r="B24" s="38" t="s">
        <v>71</v>
      </c>
      <c r="C24" s="41" t="n">
        <v>16000</v>
      </c>
      <c r="D24" s="38" t="s">
        <v>170</v>
      </c>
    </row>
    <row r="25" customFormat="false" ht="15" hidden="false" customHeight="false" outlineLevel="0" collapsed="false">
      <c r="A25" s="27" t="s">
        <v>82</v>
      </c>
      <c r="B25" s="27" t="s">
        <v>47</v>
      </c>
      <c r="C25" s="30" t="n">
        <v>110500</v>
      </c>
      <c r="D25" s="27" t="s">
        <v>171</v>
      </c>
    </row>
    <row r="26" customFormat="false" ht="15" hidden="false" customHeight="false" outlineLevel="0" collapsed="false">
      <c r="A26" s="38" t="s">
        <v>83</v>
      </c>
      <c r="B26" s="38" t="s">
        <v>52</v>
      </c>
      <c r="C26" s="41" t="n">
        <v>48000</v>
      </c>
      <c r="D26" s="38" t="s">
        <v>166</v>
      </c>
    </row>
    <row r="27" customFormat="false" ht="15" hidden="false" customHeight="false" outlineLevel="0" collapsed="false">
      <c r="A27" s="27" t="s">
        <v>84</v>
      </c>
      <c r="B27" s="27" t="s">
        <v>80</v>
      </c>
      <c r="C27" s="30" t="n">
        <v>452500</v>
      </c>
      <c r="D27" s="27" t="s">
        <v>167</v>
      </c>
    </row>
    <row r="28" customFormat="false" ht="15" hidden="false" customHeight="false" outlineLevel="0" collapsed="false">
      <c r="A28" s="38" t="s">
        <v>85</v>
      </c>
      <c r="B28" s="38" t="s">
        <v>74</v>
      </c>
      <c r="C28" s="41" t="n">
        <v>484000</v>
      </c>
      <c r="D28" s="38" t="s">
        <v>159</v>
      </c>
    </row>
    <row r="29" customFormat="false" ht="15" hidden="false" customHeight="false" outlineLevel="0" collapsed="false">
      <c r="A29" s="27" t="s">
        <v>86</v>
      </c>
      <c r="B29" s="27" t="s">
        <v>87</v>
      </c>
      <c r="C29" s="30" t="n">
        <v>92500</v>
      </c>
      <c r="D29" s="27" t="s">
        <v>159</v>
      </c>
    </row>
    <row r="30" customFormat="false" ht="15" hidden="false" customHeight="false" outlineLevel="0" collapsed="false">
      <c r="A30" s="38" t="s">
        <v>88</v>
      </c>
      <c r="B30" s="38" t="s">
        <v>78</v>
      </c>
      <c r="C30" s="41" t="n">
        <v>104000</v>
      </c>
      <c r="D30" s="38" t="s">
        <v>159</v>
      </c>
    </row>
    <row r="31" customFormat="false" ht="15" hidden="false" customHeight="false" outlineLevel="0" collapsed="false">
      <c r="A31" s="27" t="s">
        <v>89</v>
      </c>
      <c r="B31" s="27" t="s">
        <v>71</v>
      </c>
      <c r="C31" s="30" t="n">
        <v>133500</v>
      </c>
      <c r="D31" s="27" t="s">
        <v>167</v>
      </c>
    </row>
    <row r="32" customFormat="false" ht="15" hidden="false" customHeight="false" outlineLevel="0" collapsed="false">
      <c r="A32" s="38" t="s">
        <v>90</v>
      </c>
      <c r="B32" s="38" t="s">
        <v>64</v>
      </c>
      <c r="C32" s="41" t="n">
        <v>208000</v>
      </c>
      <c r="D32" s="38" t="s">
        <v>159</v>
      </c>
    </row>
    <row r="33" customFormat="false" ht="15" hidden="false" customHeight="false" outlineLevel="0" collapsed="false">
      <c r="A33" s="27" t="s">
        <v>91</v>
      </c>
      <c r="B33" s="27" t="s">
        <v>69</v>
      </c>
      <c r="C33" s="30" t="n">
        <v>429500</v>
      </c>
      <c r="D33" s="27" t="s">
        <v>159</v>
      </c>
    </row>
    <row r="34" customFormat="false" ht="15" hidden="false" customHeight="false" outlineLevel="0" collapsed="false">
      <c r="A34" s="38" t="s">
        <v>92</v>
      </c>
      <c r="B34" s="38" t="s">
        <v>71</v>
      </c>
      <c r="C34" s="41" t="n">
        <v>143500</v>
      </c>
      <c r="D34" s="38" t="s">
        <v>159</v>
      </c>
    </row>
    <row r="35" customFormat="false" ht="15" hidden="false" customHeight="false" outlineLevel="0" collapsed="false">
      <c r="A35" s="27" t="s">
        <v>93</v>
      </c>
      <c r="B35" s="27" t="s">
        <v>64</v>
      </c>
      <c r="C35" s="30" t="n">
        <v>446000</v>
      </c>
      <c r="D35" s="27" t="s">
        <v>166</v>
      </c>
    </row>
    <row r="36" customFormat="false" ht="15" hidden="false" customHeight="false" outlineLevel="0" collapsed="false">
      <c r="A36" s="38" t="s">
        <v>94</v>
      </c>
      <c r="B36" s="38" t="s">
        <v>69</v>
      </c>
      <c r="C36" s="41" t="n">
        <v>126500</v>
      </c>
      <c r="D36" s="38" t="s">
        <v>159</v>
      </c>
    </row>
    <row r="37" customFormat="false" ht="15" hidden="false" customHeight="false" outlineLevel="0" collapsed="false">
      <c r="A37" s="27" t="s">
        <v>95</v>
      </c>
      <c r="B37" s="27" t="s">
        <v>74</v>
      </c>
      <c r="C37" s="30" t="n">
        <v>493500</v>
      </c>
      <c r="D37" s="27" t="s">
        <v>166</v>
      </c>
    </row>
    <row r="38" customFormat="false" ht="15" hidden="false" customHeight="false" outlineLevel="0" collapsed="false">
      <c r="A38" s="38" t="s">
        <v>96</v>
      </c>
      <c r="B38" s="38" t="s">
        <v>47</v>
      </c>
      <c r="C38" s="41" t="n">
        <v>499000</v>
      </c>
      <c r="D38" s="38" t="s">
        <v>166</v>
      </c>
    </row>
    <row r="39" customFormat="false" ht="15" hidden="false" customHeight="false" outlineLevel="0" collapsed="false">
      <c r="A39" s="27" t="s">
        <v>97</v>
      </c>
      <c r="B39" s="27" t="s">
        <v>78</v>
      </c>
      <c r="C39" s="30" t="n">
        <v>88500</v>
      </c>
      <c r="D39" s="27" t="s">
        <v>171</v>
      </c>
    </row>
    <row r="40" customFormat="false" ht="15" hidden="false" customHeight="false" outlineLevel="0" collapsed="false">
      <c r="A40" s="38" t="s">
        <v>98</v>
      </c>
      <c r="B40" s="38" t="s">
        <v>52</v>
      </c>
      <c r="C40" s="41" t="n">
        <v>518500</v>
      </c>
      <c r="D40" s="38" t="s">
        <v>166</v>
      </c>
    </row>
    <row r="41" customFormat="false" ht="15" hidden="false" customHeight="false" outlineLevel="0" collapsed="false">
      <c r="A41" s="27" t="s">
        <v>99</v>
      </c>
      <c r="B41" s="27" t="s">
        <v>57</v>
      </c>
      <c r="C41" s="30" t="n">
        <v>376000</v>
      </c>
      <c r="D41" s="27" t="s">
        <v>159</v>
      </c>
    </row>
    <row r="42" customFormat="false" ht="15" hidden="false" customHeight="false" outlineLevel="0" collapsed="false">
      <c r="A42" s="38" t="s">
        <v>100</v>
      </c>
      <c r="B42" s="38" t="s">
        <v>57</v>
      </c>
      <c r="C42" s="41" t="n">
        <v>49000</v>
      </c>
      <c r="D42" s="38" t="s">
        <v>166</v>
      </c>
    </row>
    <row r="43" customFormat="false" ht="15" hidden="false" customHeight="false" outlineLevel="0" collapsed="false">
      <c r="A43" s="27" t="s">
        <v>101</v>
      </c>
      <c r="B43" s="27" t="s">
        <v>57</v>
      </c>
      <c r="C43" s="30" t="n">
        <v>317500</v>
      </c>
      <c r="D43" s="27" t="s">
        <v>166</v>
      </c>
    </row>
    <row r="44" customFormat="false" ht="15" hidden="false" customHeight="false" outlineLevel="0" collapsed="false">
      <c r="A44" s="38" t="s">
        <v>102</v>
      </c>
      <c r="B44" s="38" t="s">
        <v>71</v>
      </c>
      <c r="C44" s="41" t="n">
        <v>40000</v>
      </c>
      <c r="D44" s="38" t="s">
        <v>159</v>
      </c>
    </row>
    <row r="45" customFormat="false" ht="15" hidden="false" customHeight="false" outlineLevel="0" collapsed="false">
      <c r="A45" s="27" t="s">
        <v>103</v>
      </c>
      <c r="B45" s="27" t="s">
        <v>57</v>
      </c>
      <c r="C45" s="30" t="n">
        <v>115500</v>
      </c>
      <c r="D45" s="27" t="s">
        <v>159</v>
      </c>
    </row>
    <row r="46" customFormat="false" ht="15" hidden="false" customHeight="false" outlineLevel="0" collapsed="false">
      <c r="A46" s="38" t="s">
        <v>104</v>
      </c>
      <c r="B46" s="38" t="s">
        <v>52</v>
      </c>
      <c r="C46" s="41" t="n">
        <v>131000</v>
      </c>
      <c r="D46" s="38" t="s">
        <v>159</v>
      </c>
    </row>
    <row r="47" customFormat="false" ht="15" hidden="false" customHeight="false" outlineLevel="0" collapsed="false">
      <c r="A47" s="27" t="s">
        <v>105</v>
      </c>
      <c r="B47" s="27" t="s">
        <v>47</v>
      </c>
      <c r="C47" s="30" t="n">
        <v>256500</v>
      </c>
      <c r="D47" s="27" t="s">
        <v>166</v>
      </c>
    </row>
    <row r="48" customFormat="false" ht="15" hidden="false" customHeight="false" outlineLevel="0" collapsed="false">
      <c r="A48" s="38" t="s">
        <v>106</v>
      </c>
      <c r="B48" s="38" t="s">
        <v>87</v>
      </c>
      <c r="C48" s="41" t="n">
        <v>514500</v>
      </c>
      <c r="D48" s="38" t="s">
        <v>159</v>
      </c>
    </row>
    <row r="49" customFormat="false" ht="15" hidden="false" customHeight="false" outlineLevel="0" collapsed="false">
      <c r="A49" s="27" t="s">
        <v>107</v>
      </c>
      <c r="B49" s="27" t="s">
        <v>69</v>
      </c>
      <c r="C49" s="30" t="n">
        <v>236000</v>
      </c>
      <c r="D49" s="27" t="s">
        <v>159</v>
      </c>
    </row>
    <row r="50" customFormat="false" ht="15" hidden="false" customHeight="false" outlineLevel="0" collapsed="false">
      <c r="A50" s="38" t="s">
        <v>108</v>
      </c>
      <c r="B50" s="38" t="s">
        <v>109</v>
      </c>
      <c r="C50" s="41" t="n">
        <v>22000</v>
      </c>
      <c r="D50" s="38" t="s">
        <v>166</v>
      </c>
    </row>
    <row r="51" customFormat="false" ht="15" hidden="false" customHeight="false" outlineLevel="0" collapsed="false">
      <c r="A51" s="27" t="s">
        <v>110</v>
      </c>
      <c r="B51" s="27" t="s">
        <v>64</v>
      </c>
      <c r="C51" s="30" t="n">
        <v>500000</v>
      </c>
      <c r="D51" s="27" t="s">
        <v>170</v>
      </c>
    </row>
    <row r="52" customFormat="false" ht="15" hidden="false" customHeight="false" outlineLevel="0" collapsed="false">
      <c r="A52" s="38" t="s">
        <v>111</v>
      </c>
      <c r="B52" s="38" t="s">
        <v>71</v>
      </c>
      <c r="C52" s="41" t="n">
        <v>364500</v>
      </c>
      <c r="D52" s="38" t="s">
        <v>167</v>
      </c>
    </row>
    <row r="53" customFormat="false" ht="15" hidden="false" customHeight="false" outlineLevel="0" collapsed="false">
      <c r="A53" s="27" t="s">
        <v>112</v>
      </c>
      <c r="B53" s="27" t="s">
        <v>47</v>
      </c>
      <c r="C53" s="30" t="n">
        <v>447500</v>
      </c>
      <c r="D53" s="27" t="s">
        <v>171</v>
      </c>
    </row>
    <row r="54" customFormat="false" ht="15" hidden="false" customHeight="false" outlineLevel="0" collapsed="false">
      <c r="A54" s="38" t="s">
        <v>113</v>
      </c>
      <c r="B54" s="38" t="s">
        <v>52</v>
      </c>
      <c r="C54" s="41" t="n">
        <v>43000</v>
      </c>
      <c r="D54" s="38" t="s">
        <v>166</v>
      </c>
    </row>
    <row r="55" customFormat="false" ht="15" hidden="false" customHeight="false" outlineLevel="0" collapsed="false">
      <c r="A55" s="27" t="s">
        <v>114</v>
      </c>
      <c r="B55" s="27" t="s">
        <v>64</v>
      </c>
      <c r="C55" s="30" t="n">
        <v>189500</v>
      </c>
      <c r="D55" s="27" t="s">
        <v>171</v>
      </c>
    </row>
    <row r="56" customFormat="false" ht="15" hidden="false" customHeight="false" outlineLevel="0" collapsed="false">
      <c r="A56" s="38" t="s">
        <v>115</v>
      </c>
      <c r="B56" s="38" t="s">
        <v>69</v>
      </c>
      <c r="C56" s="41" t="n">
        <v>168000</v>
      </c>
      <c r="D56" s="38" t="s">
        <v>170</v>
      </c>
    </row>
    <row r="57" customFormat="false" ht="15" hidden="false" customHeight="false" outlineLevel="0" collapsed="false">
      <c r="A57" s="27" t="s">
        <v>116</v>
      </c>
      <c r="B57" s="27" t="s">
        <v>109</v>
      </c>
      <c r="C57" s="30" t="n">
        <v>171000</v>
      </c>
      <c r="D57" s="27" t="s">
        <v>171</v>
      </c>
    </row>
    <row r="58" customFormat="false" ht="15" hidden="false" customHeight="false" outlineLevel="0" collapsed="false">
      <c r="A58" s="38" t="s">
        <v>117</v>
      </c>
      <c r="B58" s="38" t="s">
        <v>64</v>
      </c>
      <c r="C58" s="41" t="n">
        <v>288000</v>
      </c>
      <c r="D58" s="38" t="s">
        <v>166</v>
      </c>
    </row>
  </sheetData>
  <mergeCells count="3">
    <mergeCell ref="A1:J1"/>
    <mergeCell ref="A2:J2"/>
    <mergeCell ref="A3:J5"/>
  </mergeCells>
  <conditionalFormatting sqref="I9:I11">
    <cfRule type="expression" priority="2" aboveAverage="0" equalAverage="0" bottom="0" percent="0" rank="0" text="" dxfId="0">
      <formula>LEFT(I9,1)="✓"</formula>
    </cfRule>
    <cfRule type="expression" priority="3" aboveAverage="0" equalAverage="0" bottom="0" percent="0" rank="0" text="" dxfId="1">
      <formula>LEFT(I9,1)="✗"</formula>
    </cfRule>
    <cfRule type="expression" priority="4" aboveAverage="0" equalAverage="0" bottom="0" percent="0" rank="0" text="" dxfId="2">
      <formula>LEFT(I9,1)="✎"</formula>
    </cfRule>
    <cfRule type="expression" priority="5" aboveAverage="0" equalAverage="0" bottom="0" percent="0" rank="0" text="" dxfId="3">
      <formula>LEFT(I9,1)="◯"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5" min="4" style="0" width="44"/>
    <col collapsed="false" customWidth="true" hidden="false" outlineLevel="0" max="6" min="6" style="0" width="46"/>
  </cols>
  <sheetData>
    <row r="1" customFormat="false" ht="30" hidden="false" customHeight="true" outlineLevel="0" collapsed="false">
      <c r="A1" s="80" t="s">
        <v>184</v>
      </c>
      <c r="B1" s="80"/>
      <c r="C1" s="80"/>
      <c r="D1" s="80"/>
      <c r="E1" s="80"/>
      <c r="F1" s="80"/>
    </row>
    <row r="2" customFormat="false" ht="15" hidden="false" customHeight="false" outlineLevel="0" collapsed="false">
      <c r="A2" s="81" t="s">
        <v>185</v>
      </c>
    </row>
    <row r="4" customFormat="false" ht="21.75" hidden="false" customHeight="true" outlineLevel="0" collapsed="false">
      <c r="A4" s="82" t="s">
        <v>186</v>
      </c>
      <c r="B4" s="82"/>
      <c r="C4" s="82"/>
      <c r="D4" s="82"/>
      <c r="E4" s="82"/>
      <c r="F4" s="82"/>
    </row>
    <row r="5" customFormat="false" ht="15" hidden="false" customHeight="false" outlineLevel="0" collapsed="false">
      <c r="A5" s="83" t="s">
        <v>14</v>
      </c>
      <c r="B5" s="83" t="s">
        <v>42</v>
      </c>
      <c r="C5" s="83" t="s">
        <v>187</v>
      </c>
      <c r="D5" s="83" t="s">
        <v>188</v>
      </c>
      <c r="E5" s="83" t="s">
        <v>189</v>
      </c>
      <c r="F5" s="83" t="s">
        <v>190</v>
      </c>
    </row>
    <row r="6" customFormat="false" ht="30" hidden="false" customHeight="true" outlineLevel="0" collapsed="false">
      <c r="A6" s="84" t="n">
        <v>1</v>
      </c>
      <c r="B6" s="84" t="s">
        <v>48</v>
      </c>
      <c r="C6" s="84" t="s">
        <v>191</v>
      </c>
      <c r="D6" s="85" t="s">
        <v>192</v>
      </c>
      <c r="E6" s="86" t="s">
        <v>193</v>
      </c>
      <c r="F6" s="84"/>
    </row>
    <row r="7" customFormat="false" ht="30" hidden="false" customHeight="true" outlineLevel="0" collapsed="false">
      <c r="A7" s="84" t="n">
        <v>2</v>
      </c>
      <c r="B7" s="84" t="s">
        <v>53</v>
      </c>
      <c r="C7" s="84" t="s">
        <v>194</v>
      </c>
      <c r="D7" s="85" t="s">
        <v>195</v>
      </c>
      <c r="E7" s="86" t="s">
        <v>196</v>
      </c>
      <c r="F7" s="84" t="s">
        <v>197</v>
      </c>
    </row>
    <row r="8" customFormat="false" ht="30" hidden="false" customHeight="true" outlineLevel="0" collapsed="false">
      <c r="A8" s="84" t="n">
        <v>3</v>
      </c>
      <c r="B8" s="84" t="s">
        <v>58</v>
      </c>
      <c r="C8" s="84" t="s">
        <v>198</v>
      </c>
      <c r="D8" s="85" t="s">
        <v>199</v>
      </c>
      <c r="E8" s="86" t="s">
        <v>200</v>
      </c>
      <c r="F8" s="84"/>
    </row>
    <row r="9" customFormat="false" ht="30" hidden="false" customHeight="true" outlineLevel="0" collapsed="false">
      <c r="A9" s="84" t="n">
        <v>4</v>
      </c>
      <c r="B9" s="84" t="s">
        <v>61</v>
      </c>
      <c r="C9" s="84" t="s">
        <v>201</v>
      </c>
      <c r="D9" s="85" t="s">
        <v>202</v>
      </c>
      <c r="E9" s="86"/>
      <c r="F9" s="84"/>
    </row>
    <row r="11" customFormat="false" ht="21.75" hidden="false" customHeight="true" outlineLevel="0" collapsed="false">
      <c r="A11" s="87" t="s">
        <v>203</v>
      </c>
      <c r="B11" s="87"/>
      <c r="C11" s="87"/>
      <c r="D11" s="87"/>
      <c r="E11" s="87"/>
      <c r="F11" s="87"/>
    </row>
    <row r="12" customFormat="false" ht="15" hidden="false" customHeight="false" outlineLevel="0" collapsed="false">
      <c r="A12" s="83" t="s">
        <v>14</v>
      </c>
      <c r="B12" s="83" t="s">
        <v>42</v>
      </c>
      <c r="C12" s="83" t="s">
        <v>187</v>
      </c>
      <c r="D12" s="83" t="s">
        <v>188</v>
      </c>
      <c r="E12" s="83" t="s">
        <v>189</v>
      </c>
      <c r="F12" s="83" t="s">
        <v>190</v>
      </c>
    </row>
    <row r="13" customFormat="false" ht="42" hidden="false" customHeight="true" outlineLevel="0" collapsed="false">
      <c r="A13" s="84" t="n">
        <v>1</v>
      </c>
      <c r="B13" s="84" t="s">
        <v>123</v>
      </c>
      <c r="C13" s="84" t="s">
        <v>191</v>
      </c>
      <c r="D13" s="85" t="s">
        <v>204</v>
      </c>
      <c r="E13" s="86" t="s">
        <v>205</v>
      </c>
      <c r="F13" s="84" t="s">
        <v>206</v>
      </c>
    </row>
    <row r="14" customFormat="false" ht="30" hidden="false" customHeight="true" outlineLevel="0" collapsed="false">
      <c r="A14" s="84" t="n">
        <v>2</v>
      </c>
      <c r="B14" s="84" t="s">
        <v>125</v>
      </c>
      <c r="C14" s="84" t="s">
        <v>207</v>
      </c>
      <c r="D14" s="85" t="s">
        <v>208</v>
      </c>
      <c r="E14" s="86"/>
      <c r="F14" s="84"/>
    </row>
    <row r="15" customFormat="false" ht="30" hidden="false" customHeight="true" outlineLevel="0" collapsed="false">
      <c r="A15" s="84" t="n">
        <v>3</v>
      </c>
      <c r="B15" s="84" t="s">
        <v>127</v>
      </c>
      <c r="C15" s="84" t="s">
        <v>209</v>
      </c>
      <c r="D15" s="85" t="s">
        <v>210</v>
      </c>
      <c r="E15" s="86"/>
      <c r="F15" s="84"/>
    </row>
    <row r="16" customFormat="false" ht="30" hidden="false" customHeight="true" outlineLevel="0" collapsed="false">
      <c r="A16" s="84" t="n">
        <v>4</v>
      </c>
      <c r="B16" s="84" t="s">
        <v>129</v>
      </c>
      <c r="C16" s="84" t="s">
        <v>211</v>
      </c>
      <c r="D16" s="85" t="s">
        <v>212</v>
      </c>
      <c r="E16" s="86"/>
      <c r="F16" s="84"/>
    </row>
    <row r="18" customFormat="false" ht="21.75" hidden="false" customHeight="true" outlineLevel="0" collapsed="false">
      <c r="A18" s="87" t="s">
        <v>213</v>
      </c>
      <c r="B18" s="87"/>
      <c r="C18" s="87"/>
      <c r="D18" s="87"/>
      <c r="E18" s="87"/>
      <c r="F18" s="87"/>
    </row>
    <row r="19" customFormat="false" ht="15" hidden="false" customHeight="false" outlineLevel="0" collapsed="false">
      <c r="A19" s="83" t="s">
        <v>14</v>
      </c>
      <c r="B19" s="83" t="s">
        <v>42</v>
      </c>
      <c r="C19" s="83" t="s">
        <v>187</v>
      </c>
      <c r="D19" s="83" t="s">
        <v>188</v>
      </c>
      <c r="E19" s="83" t="s">
        <v>189</v>
      </c>
      <c r="F19" s="83" t="s">
        <v>190</v>
      </c>
    </row>
    <row r="20" customFormat="false" ht="30" hidden="false" customHeight="true" outlineLevel="0" collapsed="false">
      <c r="A20" s="84" t="n">
        <v>1</v>
      </c>
      <c r="B20" s="84" t="s">
        <v>136</v>
      </c>
      <c r="C20" s="84" t="s">
        <v>191</v>
      </c>
      <c r="D20" s="85" t="s">
        <v>214</v>
      </c>
      <c r="E20" s="86"/>
      <c r="F20" s="84"/>
    </row>
    <row r="21" customFormat="false" ht="30" hidden="false" customHeight="true" outlineLevel="0" collapsed="false">
      <c r="A21" s="84" t="n">
        <v>2</v>
      </c>
      <c r="B21" s="84" t="s">
        <v>138</v>
      </c>
      <c r="C21" s="84" t="s">
        <v>194</v>
      </c>
      <c r="D21" s="85" t="s">
        <v>215</v>
      </c>
      <c r="E21" s="86" t="s">
        <v>216</v>
      </c>
      <c r="F21" s="84"/>
    </row>
    <row r="22" customFormat="false" ht="30" hidden="false" customHeight="true" outlineLevel="0" collapsed="false">
      <c r="A22" s="84" t="n">
        <v>3</v>
      </c>
      <c r="B22" s="84" t="s">
        <v>140</v>
      </c>
      <c r="C22" s="84" t="s">
        <v>198</v>
      </c>
      <c r="D22" s="85" t="s">
        <v>217</v>
      </c>
      <c r="E22" s="86"/>
      <c r="F22" s="84"/>
    </row>
    <row r="23" customFormat="false" ht="30" hidden="false" customHeight="true" outlineLevel="0" collapsed="false">
      <c r="A23" s="84" t="n">
        <v>4</v>
      </c>
      <c r="B23" s="84" t="s">
        <v>142</v>
      </c>
      <c r="C23" s="84" t="s">
        <v>201</v>
      </c>
      <c r="D23" s="85" t="s">
        <v>218</v>
      </c>
      <c r="E23" s="86"/>
      <c r="F23" s="84"/>
    </row>
    <row r="25" customFormat="false" ht="21.75" hidden="false" customHeight="true" outlineLevel="0" collapsed="false">
      <c r="A25" s="88" t="s">
        <v>219</v>
      </c>
      <c r="B25" s="88"/>
      <c r="C25" s="88"/>
      <c r="D25" s="88"/>
      <c r="E25" s="88"/>
      <c r="F25" s="88"/>
    </row>
    <row r="26" customFormat="false" ht="15" hidden="false" customHeight="false" outlineLevel="0" collapsed="false">
      <c r="A26" s="83" t="s">
        <v>14</v>
      </c>
      <c r="B26" s="83" t="s">
        <v>42</v>
      </c>
      <c r="C26" s="83" t="s">
        <v>187</v>
      </c>
      <c r="D26" s="83" t="s">
        <v>188</v>
      </c>
      <c r="E26" s="83" t="s">
        <v>189</v>
      </c>
      <c r="F26" s="83" t="s">
        <v>190</v>
      </c>
    </row>
    <row r="27" customFormat="false" ht="42" hidden="false" customHeight="true" outlineLevel="0" collapsed="false">
      <c r="A27" s="84" t="n">
        <v>1</v>
      </c>
      <c r="B27" s="84" t="s">
        <v>148</v>
      </c>
      <c r="C27" s="84" t="s">
        <v>220</v>
      </c>
      <c r="D27" s="85" t="s">
        <v>221</v>
      </c>
      <c r="E27" s="86" t="s">
        <v>222</v>
      </c>
      <c r="F27" s="84" t="s">
        <v>223</v>
      </c>
    </row>
    <row r="28" customFormat="false" ht="30" hidden="false" customHeight="true" outlineLevel="0" collapsed="false">
      <c r="A28" s="84" t="n">
        <v>2</v>
      </c>
      <c r="B28" s="84" t="s">
        <v>151</v>
      </c>
      <c r="C28" s="84" t="s">
        <v>224</v>
      </c>
      <c r="D28" s="85" t="s">
        <v>225</v>
      </c>
      <c r="E28" s="86"/>
      <c r="F28" s="84"/>
    </row>
    <row r="29" customFormat="false" ht="30" hidden="false" customHeight="true" outlineLevel="0" collapsed="false">
      <c r="A29" s="84" t="n">
        <v>3</v>
      </c>
      <c r="B29" s="84" t="s">
        <v>153</v>
      </c>
      <c r="C29" s="84" t="s">
        <v>226</v>
      </c>
      <c r="D29" s="85" t="s">
        <v>227</v>
      </c>
      <c r="E29" s="86"/>
      <c r="F29" s="84"/>
    </row>
    <row r="31" customFormat="false" ht="21.75" hidden="false" customHeight="true" outlineLevel="0" collapsed="false">
      <c r="A31" s="88" t="s">
        <v>228</v>
      </c>
      <c r="B31" s="88"/>
      <c r="C31" s="88"/>
      <c r="D31" s="88"/>
      <c r="E31" s="88"/>
      <c r="F31" s="88"/>
    </row>
    <row r="32" customFormat="false" ht="15" hidden="false" customHeight="false" outlineLevel="0" collapsed="false">
      <c r="A32" s="83" t="s">
        <v>14</v>
      </c>
      <c r="B32" s="83" t="s">
        <v>42</v>
      </c>
      <c r="C32" s="83" t="s">
        <v>187</v>
      </c>
      <c r="D32" s="83" t="s">
        <v>188</v>
      </c>
      <c r="E32" s="83" t="s">
        <v>189</v>
      </c>
      <c r="F32" s="83" t="s">
        <v>190</v>
      </c>
    </row>
    <row r="33" customFormat="false" ht="30" hidden="false" customHeight="true" outlineLevel="0" collapsed="false">
      <c r="A33" s="84" t="n">
        <v>1</v>
      </c>
      <c r="B33" s="84" t="s">
        <v>160</v>
      </c>
      <c r="C33" s="84" t="s">
        <v>220</v>
      </c>
      <c r="D33" s="85" t="s">
        <v>229</v>
      </c>
      <c r="E33" s="86" t="s">
        <v>230</v>
      </c>
      <c r="F33" s="84"/>
    </row>
    <row r="34" customFormat="false" ht="30" hidden="false" customHeight="true" outlineLevel="0" collapsed="false">
      <c r="A34" s="84" t="n">
        <v>2</v>
      </c>
      <c r="B34" s="84" t="s">
        <v>162</v>
      </c>
      <c r="C34" s="84" t="s">
        <v>224</v>
      </c>
      <c r="D34" s="85" t="s">
        <v>231</v>
      </c>
      <c r="E34" s="86"/>
      <c r="F34" s="84"/>
    </row>
    <row r="35" customFormat="false" ht="30" hidden="false" customHeight="true" outlineLevel="0" collapsed="false">
      <c r="A35" s="84" t="n">
        <v>3</v>
      </c>
      <c r="B35" s="84" t="s">
        <v>164</v>
      </c>
      <c r="C35" s="84" t="s">
        <v>226</v>
      </c>
      <c r="D35" s="85" t="s">
        <v>232</v>
      </c>
      <c r="E35" s="86"/>
      <c r="F35" s="84"/>
    </row>
    <row r="37" customFormat="false" ht="21.75" hidden="false" customHeight="true" outlineLevel="0" collapsed="false">
      <c r="A37" s="89" t="s">
        <v>233</v>
      </c>
      <c r="B37" s="89"/>
      <c r="C37" s="89"/>
      <c r="D37" s="89"/>
      <c r="E37" s="89"/>
      <c r="F37" s="89"/>
    </row>
    <row r="38" customFormat="false" ht="15" hidden="false" customHeight="false" outlineLevel="0" collapsed="false">
      <c r="A38" s="83" t="s">
        <v>14</v>
      </c>
      <c r="B38" s="83" t="s">
        <v>42</v>
      </c>
      <c r="C38" s="83" t="s">
        <v>187</v>
      </c>
      <c r="D38" s="83" t="s">
        <v>188</v>
      </c>
      <c r="E38" s="83" t="s">
        <v>189</v>
      </c>
      <c r="F38" s="83" t="s">
        <v>190</v>
      </c>
    </row>
    <row r="39" customFormat="false" ht="30" hidden="false" customHeight="true" outlineLevel="0" collapsed="false">
      <c r="A39" s="84" t="n">
        <v>1</v>
      </c>
      <c r="B39" s="84" t="s">
        <v>175</v>
      </c>
      <c r="C39" s="84" t="s">
        <v>234</v>
      </c>
      <c r="D39" s="85" t="s">
        <v>235</v>
      </c>
      <c r="E39" s="86"/>
      <c r="F39" s="84"/>
    </row>
    <row r="40" customFormat="false" ht="30" hidden="false" customHeight="true" outlineLevel="0" collapsed="false">
      <c r="A40" s="84" t="n">
        <v>2</v>
      </c>
      <c r="B40" s="84" t="s">
        <v>178</v>
      </c>
      <c r="C40" s="84" t="s">
        <v>236</v>
      </c>
      <c r="D40" s="85" t="s">
        <v>237</v>
      </c>
      <c r="E40" s="86" t="s">
        <v>238</v>
      </c>
      <c r="F40" s="84"/>
    </row>
    <row r="41" customFormat="false" ht="30" hidden="false" customHeight="true" outlineLevel="0" collapsed="false">
      <c r="A41" s="84" t="n">
        <v>3</v>
      </c>
      <c r="B41" s="84" t="s">
        <v>180</v>
      </c>
      <c r="C41" s="84" t="s">
        <v>239</v>
      </c>
      <c r="D41" s="85" t="s">
        <v>240</v>
      </c>
      <c r="E41" s="86"/>
      <c r="F41" s="84"/>
    </row>
  </sheetData>
  <mergeCells count="7">
    <mergeCell ref="A1:F1"/>
    <mergeCell ref="A4:F4"/>
    <mergeCell ref="A11:F11"/>
    <mergeCell ref="A18:F18"/>
    <mergeCell ref="A25:F25"/>
    <mergeCell ref="A31:F31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2026-09-25T07:00:42Z</dcterms:created>
  <dc:creator>openpyxl</dc:creator>
  <dc:description/>
  <dc:language>en-US</dc:language>
  <cp:lastModifiedBy/>
  <dcterms:modified xsi:type="dcterms:W3CDTF">2026-09-25T07:00:42Z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